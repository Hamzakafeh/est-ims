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EDB08705-DF5D-4A21-BDAA-952E0E578618}" xr6:coauthVersionLast="47" xr6:coauthVersionMax="47" xr10:uidLastSave="{00000000-0000-0000-0000-000000000000}"/>
  <bookViews>
    <workbookView xWindow="-108" yWindow="-108" windowWidth="23256" windowHeight="12456" tabRatio="636" activeTab="2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<sst xmlns="http://schemas.openxmlformats.org/spreadsheetml/2006/main" count="1629" uniqueCount="93">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</sst>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298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22" fontId="0" fillId="0" borderId="17" xfId="0" applyNumberFormat="1" applyBorder="1"/>
    <xf numFmtId="0" fontId="8" fillId="0" borderId="28" xfId="0" applyFont="1" applyBorder="1" applyAlignment="1">
      <alignment horizontal="center" vertical="center"/>
    </xf>
    <xf numFmtId="164" fontId="5" fillId="0" borderId="28" xfId="7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15" borderId="7" xfId="0" applyFont="1" applyFill="1" applyBorder="1"/>
    <xf numFmtId="164" fontId="28" fillId="15" borderId="7" xfId="7" applyNumberFormat="1" applyFont="1" applyFill="1" applyBorder="1"/>
    <xf numFmtId="0" fontId="16" fillId="15" borderId="7" xfId="0" applyFont="1" applyFill="1" applyBorder="1"/>
    <xf numFmtId="15" fontId="8" fillId="0" borderId="2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64" fontId="8" fillId="0" borderId="7" xfId="7" applyNumberFormat="1" applyFont="1" applyFill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164" fontId="5" fillId="0" borderId="2" xfId="7" applyNumberFormat="1" applyFont="1" applyBorder="1" applyAlignment="1">
      <alignment vertical="center"/>
    </xf>
    <xf numFmtId="0" fontId="28" fillId="15" borderId="2" xfId="0" applyFont="1" applyFill="1" applyBorder="1" applyAlignment="1">
      <alignment horizontal="center" vertical="center"/>
    </xf>
    <xf numFmtId="164" fontId="28" fillId="15" borderId="2" xfId="7" applyNumberFormat="1" applyFont="1" applyFill="1" applyBorder="1" applyAlignment="1">
      <alignment horizontal="center" vertical="center"/>
    </xf>
    <xf numFmtId="15" fontId="28" fillId="15" borderId="2" xfId="0" applyNumberFormat="1" applyFont="1" applyFill="1" applyBorder="1" applyAlignment="1">
      <alignment horizontal="center" vertical="center"/>
    </xf>
    <xf numFmtId="0" fontId="28" fillId="15" borderId="2" xfId="0" applyFont="1" applyFill="1" applyBorder="1" applyAlignment="1">
      <alignment vertical="center"/>
    </xf>
    <xf numFmtId="164" fontId="28" fillId="15" borderId="2" xfId="7" applyNumberFormat="1" applyFont="1" applyFill="1" applyBorder="1" applyAlignment="1">
      <alignment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15" fontId="28" fillId="15" borderId="28" xfId="0" applyNumberFormat="1" applyFont="1" applyFill="1" applyBorder="1" applyAlignment="1">
      <alignment horizontal="center" vertical="center"/>
    </xf>
    <xf numFmtId="0" fontId="28" fillId="15" borderId="37" xfId="0" applyFont="1" applyFill="1" applyBorder="1" applyAlignment="1">
      <alignment horizontal="center" vertical="center"/>
    </xf>
    <xf numFmtId="164" fontId="28" fillId="15" borderId="37" xfId="7" applyNumberFormat="1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center" vertical="center"/>
    </xf>
    <xf numFmtId="0" fontId="28" fillId="15" borderId="28" xfId="0" applyFont="1" applyFill="1" applyBorder="1" applyAlignment="1">
      <alignment horizontal="center" vertical="center"/>
    </xf>
    <xf numFmtId="164" fontId="28" fillId="15" borderId="28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93"/>
  <sheetViews>
    <sheetView topLeftCell="A73" zoomScale="70" zoomScaleNormal="70" workbookViewId="0">
      <selection activeCell="F85" sqref="F85"/>
    </sheetView>
  </sheetViews>
  <sheetFormatPr defaultRowHeight="14.4"/>
  <cols>
    <col min="3" max="3" width="41.44140625" style="14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86" t="s">
        <v>8</v>
      </c>
      <c r="D2" s="187"/>
      <c r="E2" s="187"/>
      <c r="F2" s="187"/>
      <c r="G2" s="187"/>
      <c r="H2" s="187"/>
      <c r="I2" s="187"/>
      <c r="J2" s="188"/>
      <c r="K2" s="1"/>
    </row>
    <row r="3" spans="3:13" ht="27" customHeight="1" thickBot="1">
      <c r="C3" s="189"/>
      <c r="D3" s="190"/>
      <c r="E3" s="190"/>
      <c r="F3" s="190"/>
      <c r="G3" s="190"/>
      <c r="H3" s="190"/>
      <c r="I3" s="190"/>
      <c r="J3" s="191"/>
      <c r="K3" s="1"/>
      <c r="L3" s="176" t="s">
        <v>16</v>
      </c>
      <c r="M3" s="177"/>
    </row>
    <row r="4" spans="3:13" ht="27.75" customHeight="1" thickTop="1" thickBot="1">
      <c r="C4" s="192"/>
      <c r="D4" s="193"/>
      <c r="E4" s="193"/>
      <c r="F4" s="193"/>
      <c r="G4" s="193"/>
      <c r="H4" s="193"/>
      <c r="I4" s="193"/>
      <c r="J4" s="194"/>
      <c r="K4" s="1"/>
      <c r="L4" s="178"/>
      <c r="M4" s="179"/>
    </row>
    <row r="5" spans="3:13" ht="26.4" thickBot="1">
      <c r="C5" s="180"/>
      <c r="D5" s="181"/>
      <c r="E5" s="181"/>
      <c r="F5" s="181"/>
      <c r="G5" s="181"/>
      <c r="H5" s="181"/>
      <c r="I5" s="181"/>
      <c r="J5" s="182"/>
      <c r="K5" s="1"/>
      <c r="L5" s="1"/>
      <c r="M5" s="1"/>
    </row>
    <row r="6" spans="3:13" ht="33" customHeight="1" thickBot="1">
      <c r="C6" s="5" t="s">
        <v>17</v>
      </c>
      <c r="D6" s="133" t="s">
        <v>10</v>
      </c>
      <c r="E6" s="129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30">
        <v>46143</v>
      </c>
      <c r="D7" s="195" t="s">
        <v>18</v>
      </c>
      <c r="E7" s="195" t="s">
        <v>3</v>
      </c>
      <c r="F7" s="120" t="s">
        <v>28</v>
      </c>
      <c r="G7" s="54" t="s">
        <v>29</v>
      </c>
      <c r="H7" s="15"/>
      <c r="I7" s="14">
        <v>47598</v>
      </c>
      <c r="J7" s="20">
        <v>47598</v>
      </c>
      <c r="K7" s="1"/>
      <c r="L7" s="11"/>
      <c r="M7" s="11"/>
    </row>
    <row r="8" spans="3:13" ht="26.4" thickBot="1">
      <c r="C8" s="130">
        <v>46143</v>
      </c>
      <c r="D8" s="196"/>
      <c r="E8" s="196"/>
      <c r="F8" s="121" t="s">
        <v>30</v>
      </c>
      <c r="G8" s="54" t="s">
        <v>29</v>
      </c>
      <c r="H8" s="15"/>
      <c r="I8" s="16">
        <v>59</v>
      </c>
      <c r="J8" s="20">
        <v>59</v>
      </c>
      <c r="K8" s="1"/>
      <c r="L8" s="11"/>
      <c r="M8" s="11"/>
    </row>
    <row r="9" spans="3:13" ht="26.4" thickBot="1">
      <c r="C9" s="130">
        <v>46143</v>
      </c>
      <c r="D9" s="196"/>
      <c r="E9" s="196"/>
      <c r="F9" s="121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30">
        <v>46143</v>
      </c>
      <c r="D10" s="196"/>
      <c r="E10" s="196"/>
      <c r="F10" s="121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30">
        <v>46143</v>
      </c>
      <c r="D11" s="196"/>
      <c r="E11" s="196"/>
      <c r="F11" s="121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30">
        <v>46143</v>
      </c>
      <c r="D12" s="196"/>
      <c r="E12" s="196"/>
      <c r="F12" s="120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30">
        <v>46143</v>
      </c>
      <c r="D13" s="196"/>
      <c r="E13" s="196"/>
      <c r="F13" s="120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0" customFormat="1" ht="26.4" thickBot="1">
      <c r="C14" s="130">
        <v>46143</v>
      </c>
      <c r="D14" s="196"/>
      <c r="E14" s="196"/>
      <c r="F14" s="122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30">
        <v>46143</v>
      </c>
      <c r="D15" s="196"/>
      <c r="E15" s="196"/>
      <c r="F15" s="121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30">
        <v>46143</v>
      </c>
      <c r="D16" s="196"/>
      <c r="E16" s="196"/>
      <c r="F16" s="120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30">
        <v>46143</v>
      </c>
      <c r="D17" s="196"/>
      <c r="E17" s="196"/>
      <c r="F17" s="120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30">
        <v>46143</v>
      </c>
      <c r="D18" s="196"/>
      <c r="E18" s="196"/>
      <c r="F18" s="121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30">
        <v>46143</v>
      </c>
      <c r="D19" s="196"/>
      <c r="E19" s="196"/>
      <c r="F19" s="120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30">
        <v>46143</v>
      </c>
      <c r="D20" s="196"/>
      <c r="E20" s="196"/>
      <c r="F20" s="120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31"/>
      <c r="D21" s="196"/>
      <c r="E21" s="196"/>
      <c r="F21" s="123"/>
      <c r="G21" s="47"/>
      <c r="H21" s="47"/>
      <c r="I21" s="57"/>
      <c r="J21" s="57"/>
      <c r="K21" s="36"/>
      <c r="L21" s="47"/>
      <c r="M21" s="47"/>
    </row>
    <row r="22" spans="3:13" ht="26.25" customHeight="1" thickBot="1">
      <c r="C22" s="140">
        <v>46144</v>
      </c>
      <c r="D22" s="196"/>
      <c r="E22" s="196"/>
      <c r="F22" s="124"/>
      <c r="G22" s="63"/>
      <c r="H22" s="63"/>
      <c r="I22" s="69"/>
      <c r="J22" s="69"/>
      <c r="K22" s="1"/>
      <c r="L22" s="63"/>
      <c r="M22" s="63"/>
    </row>
    <row r="23" spans="3:13" ht="26.25" customHeight="1" thickBot="1">
      <c r="C23" s="68"/>
      <c r="D23" s="196"/>
      <c r="E23" s="196"/>
      <c r="F23" s="123"/>
      <c r="G23" s="47"/>
      <c r="H23" s="47"/>
      <c r="I23" s="57"/>
      <c r="J23" s="57"/>
      <c r="K23" s="1"/>
      <c r="L23" s="47"/>
      <c r="M23" s="47"/>
    </row>
    <row r="24" spans="3:13" ht="26.25" customHeight="1" thickBot="1">
      <c r="C24" s="140">
        <v>46145</v>
      </c>
      <c r="D24" s="196"/>
      <c r="E24" s="196"/>
      <c r="F24" s="124"/>
      <c r="G24" s="63"/>
      <c r="H24" s="63"/>
      <c r="I24" s="69"/>
      <c r="J24" s="69"/>
      <c r="K24" s="1"/>
      <c r="L24" s="63"/>
      <c r="M24" s="63"/>
    </row>
    <row r="25" spans="3:13" ht="26.25" customHeight="1" thickBot="1">
      <c r="C25" s="131"/>
      <c r="D25" s="196"/>
      <c r="E25" s="196"/>
      <c r="F25" s="123"/>
      <c r="G25" s="47"/>
      <c r="H25" s="47"/>
      <c r="I25" s="57"/>
      <c r="J25" s="57"/>
      <c r="K25" s="1"/>
      <c r="L25" s="47"/>
      <c r="M25" s="47"/>
    </row>
    <row r="26" spans="3:13" ht="26.25" customHeight="1" thickBot="1">
      <c r="C26" s="140">
        <v>46146</v>
      </c>
      <c r="D26" s="196"/>
      <c r="E26" s="196"/>
      <c r="F26" s="124"/>
      <c r="G26" s="63"/>
      <c r="H26" s="63"/>
      <c r="I26" s="69"/>
      <c r="J26" s="69"/>
      <c r="K26" s="1"/>
      <c r="L26" s="63"/>
      <c r="M26" s="70"/>
    </row>
    <row r="27" spans="3:13" ht="26.25" customHeight="1" thickBot="1">
      <c r="C27" s="131">
        <v>46147</v>
      </c>
      <c r="D27" s="196"/>
      <c r="E27" s="196"/>
      <c r="F27" s="123"/>
      <c r="G27" s="47"/>
      <c r="H27" s="47"/>
      <c r="I27" s="57"/>
      <c r="J27" s="57"/>
      <c r="K27" s="1"/>
      <c r="L27" s="84"/>
      <c r="M27" s="47"/>
    </row>
    <row r="28" spans="3:13" ht="26.25" customHeight="1" thickBot="1">
      <c r="C28" s="140">
        <v>46147</v>
      </c>
      <c r="D28" s="196"/>
      <c r="E28" s="196"/>
      <c r="F28" s="146"/>
      <c r="G28" s="143"/>
      <c r="H28" s="143"/>
      <c r="I28" s="147"/>
      <c r="J28" s="147"/>
      <c r="K28" s="1"/>
      <c r="L28" s="143"/>
      <c r="M28" s="143"/>
    </row>
    <row r="29" spans="3:13" ht="26.25" customHeight="1" thickBot="1">
      <c r="C29" s="141">
        <v>46148</v>
      </c>
      <c r="D29" s="196"/>
      <c r="E29" s="196"/>
      <c r="F29" s="146"/>
      <c r="G29" s="143"/>
      <c r="H29" s="143"/>
      <c r="I29" s="147"/>
      <c r="J29" s="147"/>
      <c r="K29" s="1"/>
      <c r="L29" s="143"/>
      <c r="M29" s="143"/>
    </row>
    <row r="30" spans="3:13" ht="26.25" customHeight="1" thickBot="1">
      <c r="C30" s="132">
        <v>46149</v>
      </c>
      <c r="D30" s="196"/>
      <c r="E30" s="196"/>
      <c r="F30" s="121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2">
        <v>46149</v>
      </c>
      <c r="D31" s="196"/>
      <c r="E31" s="196"/>
      <c r="F31" s="122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2">
        <v>46149</v>
      </c>
      <c r="D32" s="196"/>
      <c r="E32" s="196"/>
      <c r="F32" s="120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2">
        <v>46149</v>
      </c>
      <c r="D33" s="196"/>
      <c r="E33" s="196"/>
      <c r="F33" s="120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2">
        <v>46149</v>
      </c>
      <c r="D34" s="196"/>
      <c r="E34" s="196"/>
      <c r="F34" s="120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2">
        <v>46149</v>
      </c>
      <c r="D35" s="196"/>
      <c r="E35" s="196"/>
      <c r="F35" s="120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2">
        <v>46149</v>
      </c>
      <c r="D36" s="196"/>
      <c r="E36" s="196"/>
      <c r="F36" s="120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2">
        <v>46149</v>
      </c>
      <c r="D37" s="196"/>
      <c r="E37" s="196"/>
      <c r="F37" s="120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2">
        <v>46149</v>
      </c>
      <c r="D38" s="196"/>
      <c r="E38" s="196"/>
      <c r="F38" s="122" t="s">
        <v>37</v>
      </c>
      <c r="G38" s="54" t="s">
        <v>29</v>
      </c>
      <c r="H38" s="54" t="s">
        <v>66</v>
      </c>
      <c r="I38" s="88">
        <v>66373</v>
      </c>
      <c r="J38" s="88">
        <v>66343</v>
      </c>
      <c r="K38" s="1"/>
      <c r="L38" s="54"/>
      <c r="M38" s="54"/>
    </row>
    <row r="39" spans="3:13" ht="26.25" customHeight="1" thickBot="1">
      <c r="C39" s="132">
        <v>46149</v>
      </c>
      <c r="D39" s="196"/>
      <c r="E39" s="196"/>
      <c r="F39" s="120" t="s">
        <v>28</v>
      </c>
      <c r="G39" s="54" t="s">
        <v>29</v>
      </c>
      <c r="H39" s="54" t="s">
        <v>66</v>
      </c>
      <c r="I39" s="89">
        <v>47393</v>
      </c>
      <c r="J39" s="89">
        <v>46983</v>
      </c>
      <c r="L39" s="91"/>
      <c r="M39" s="91"/>
    </row>
    <row r="40" spans="3:13" ht="26.25" customHeight="1" thickBot="1">
      <c r="C40" s="132">
        <v>46149</v>
      </c>
      <c r="D40" s="196"/>
      <c r="E40" s="196"/>
      <c r="F40" s="125" t="s">
        <v>24</v>
      </c>
      <c r="G40" s="89" t="s">
        <v>29</v>
      </c>
      <c r="H40" s="54" t="s">
        <v>66</v>
      </c>
      <c r="I40" s="89">
        <v>2581</v>
      </c>
      <c r="J40" s="89">
        <v>2496</v>
      </c>
      <c r="L40" s="91"/>
      <c r="M40" s="91"/>
    </row>
    <row r="41" spans="3:13" ht="26.25" customHeight="1" thickBot="1">
      <c r="C41" s="132">
        <v>46149</v>
      </c>
      <c r="D41" s="196"/>
      <c r="E41" s="196"/>
      <c r="F41" s="125" t="s">
        <v>38</v>
      </c>
      <c r="G41" s="89" t="s">
        <v>29</v>
      </c>
      <c r="H41" s="54" t="s">
        <v>66</v>
      </c>
      <c r="I41" s="89">
        <v>6276</v>
      </c>
      <c r="J41" s="89">
        <v>6191</v>
      </c>
      <c r="L41" s="91"/>
      <c r="M41" s="91"/>
    </row>
    <row r="42" spans="3:13" ht="26.25" customHeight="1" thickBot="1">
      <c r="C42" s="132">
        <v>46149</v>
      </c>
      <c r="D42" s="196"/>
      <c r="E42" s="196"/>
      <c r="F42" s="125" t="s">
        <v>42</v>
      </c>
      <c r="G42" s="89" t="s">
        <v>29</v>
      </c>
      <c r="H42" s="54" t="s">
        <v>1</v>
      </c>
      <c r="I42" s="89">
        <v>41</v>
      </c>
      <c r="J42" s="89">
        <v>75</v>
      </c>
      <c r="L42" s="91"/>
      <c r="M42" s="91"/>
    </row>
    <row r="43" spans="3:13" ht="26.25" customHeight="1" thickBot="1">
      <c r="C43" s="132">
        <v>46149</v>
      </c>
      <c r="D43" s="196"/>
      <c r="E43" s="196"/>
      <c r="F43" s="125" t="s">
        <v>42</v>
      </c>
      <c r="G43" s="89" t="s">
        <v>29</v>
      </c>
      <c r="H43" s="54" t="s">
        <v>66</v>
      </c>
      <c r="I43" s="89">
        <v>75</v>
      </c>
      <c r="J43" s="89">
        <v>30</v>
      </c>
      <c r="L43" s="91"/>
      <c r="M43" s="91"/>
    </row>
    <row r="44" spans="3:13" ht="26.25" customHeight="1" thickBot="1">
      <c r="C44" s="132">
        <v>46149</v>
      </c>
      <c r="D44" s="196"/>
      <c r="E44" s="196"/>
      <c r="F44" s="125" t="s">
        <v>40</v>
      </c>
      <c r="G44" s="89" t="s">
        <v>29</v>
      </c>
      <c r="H44" s="54" t="s">
        <v>66</v>
      </c>
      <c r="I44" s="89">
        <v>64282</v>
      </c>
      <c r="J44" s="89">
        <v>64157</v>
      </c>
      <c r="L44" s="91"/>
      <c r="M44" s="91"/>
    </row>
    <row r="45" spans="3:13" ht="26.25" customHeight="1" thickBot="1">
      <c r="C45" s="132">
        <v>46149</v>
      </c>
      <c r="D45" s="196"/>
      <c r="E45" s="196"/>
      <c r="F45" s="125" t="s">
        <v>37</v>
      </c>
      <c r="G45" s="89" t="s">
        <v>29</v>
      </c>
      <c r="H45" s="54" t="s">
        <v>66</v>
      </c>
      <c r="I45" s="89">
        <v>66343</v>
      </c>
      <c r="J45" s="89">
        <v>66138</v>
      </c>
      <c r="L45" s="91"/>
      <c r="M45" s="91"/>
    </row>
    <row r="46" spans="3:13" ht="26.25" customHeight="1" thickBot="1">
      <c r="C46" s="132">
        <v>46149</v>
      </c>
      <c r="D46" s="196"/>
      <c r="E46" s="196"/>
      <c r="F46" s="125" t="s">
        <v>40</v>
      </c>
      <c r="G46" s="89" t="s">
        <v>29</v>
      </c>
      <c r="H46" s="54" t="s">
        <v>66</v>
      </c>
      <c r="I46" s="89">
        <v>64157</v>
      </c>
      <c r="J46" s="89">
        <v>63952</v>
      </c>
      <c r="L46" s="91"/>
      <c r="M46" s="91"/>
    </row>
    <row r="47" spans="3:13" ht="26.25" customHeight="1" thickBot="1">
      <c r="C47" s="132">
        <v>46149</v>
      </c>
      <c r="D47" s="196"/>
      <c r="E47" s="196"/>
      <c r="F47" s="125" t="s">
        <v>31</v>
      </c>
      <c r="G47" s="89" t="s">
        <v>29</v>
      </c>
      <c r="H47" s="54" t="s">
        <v>66</v>
      </c>
      <c r="I47" s="89">
        <v>7731</v>
      </c>
      <c r="J47" s="89">
        <v>7723</v>
      </c>
      <c r="L47" s="91"/>
      <c r="M47" s="91"/>
    </row>
    <row r="48" spans="3:13" ht="26.25" customHeight="1" thickBot="1">
      <c r="C48" s="132">
        <v>46149</v>
      </c>
      <c r="D48" s="196"/>
      <c r="E48" s="196"/>
      <c r="F48" s="125" t="s">
        <v>24</v>
      </c>
      <c r="G48" s="89" t="s">
        <v>29</v>
      </c>
      <c r="H48" s="54" t="s">
        <v>66</v>
      </c>
      <c r="I48" s="89">
        <v>2496</v>
      </c>
      <c r="J48" s="89">
        <v>2494</v>
      </c>
      <c r="L48" s="91"/>
      <c r="M48" s="91"/>
    </row>
    <row r="49" spans="3:13" ht="26.25" customHeight="1" thickBot="1">
      <c r="C49" s="140">
        <v>46150</v>
      </c>
      <c r="D49" s="196"/>
      <c r="E49" s="196"/>
      <c r="F49" s="126"/>
      <c r="G49" s="114"/>
      <c r="H49" s="114"/>
      <c r="I49" s="114"/>
      <c r="J49" s="114"/>
      <c r="L49" s="91"/>
      <c r="M49" s="91"/>
    </row>
    <row r="50" spans="3:13" ht="26.25" customHeight="1">
      <c r="C50" s="141">
        <v>46151</v>
      </c>
      <c r="D50" s="196"/>
      <c r="E50" s="196"/>
      <c r="F50" s="126"/>
      <c r="G50" s="114"/>
      <c r="H50" s="114"/>
      <c r="I50" s="114"/>
      <c r="J50" s="114"/>
      <c r="L50" s="91"/>
      <c r="M50" s="91"/>
    </row>
    <row r="51" spans="3:13" ht="26.25" customHeight="1">
      <c r="C51" s="116">
        <v>46152</v>
      </c>
      <c r="D51" s="196"/>
      <c r="E51" s="196"/>
      <c r="F51" s="125" t="s">
        <v>28</v>
      </c>
      <c r="G51" s="89" t="s">
        <v>29</v>
      </c>
      <c r="H51" s="89" t="s">
        <v>66</v>
      </c>
      <c r="I51" s="90">
        <v>46983</v>
      </c>
      <c r="J51" s="90">
        <v>44158</v>
      </c>
      <c r="L51" s="91"/>
      <c r="M51" s="91"/>
    </row>
    <row r="52" spans="3:13" ht="25.8">
      <c r="C52" s="116">
        <v>46152</v>
      </c>
      <c r="D52" s="196"/>
      <c r="E52" s="196"/>
      <c r="F52" s="127" t="s">
        <v>36</v>
      </c>
      <c r="G52" s="113" t="s">
        <v>29</v>
      </c>
      <c r="H52" s="113" t="s">
        <v>66</v>
      </c>
      <c r="I52" s="115">
        <v>8380</v>
      </c>
      <c r="J52" s="115">
        <v>8095</v>
      </c>
      <c r="L52" s="113"/>
      <c r="M52" s="113"/>
    </row>
    <row r="53" spans="3:13" ht="25.8">
      <c r="C53" s="116">
        <v>46152</v>
      </c>
      <c r="D53" s="196"/>
      <c r="E53" s="196"/>
      <c r="F53" s="127" t="s">
        <v>37</v>
      </c>
      <c r="G53" s="113" t="s">
        <v>29</v>
      </c>
      <c r="H53" s="113" t="s">
        <v>66</v>
      </c>
      <c r="I53" s="115">
        <v>66138</v>
      </c>
      <c r="J53" s="115">
        <v>65283</v>
      </c>
      <c r="L53" s="113"/>
      <c r="M53" s="113"/>
    </row>
    <row r="54" spans="3:13" ht="25.8">
      <c r="C54" s="116">
        <v>46152</v>
      </c>
      <c r="D54" s="196"/>
      <c r="E54" s="196"/>
      <c r="F54" s="128" t="s">
        <v>39</v>
      </c>
      <c r="G54" s="113" t="s">
        <v>29</v>
      </c>
      <c r="H54" s="113" t="s">
        <v>66</v>
      </c>
      <c r="I54" s="115">
        <v>489</v>
      </c>
      <c r="J54" s="115">
        <v>384</v>
      </c>
      <c r="L54" s="113"/>
      <c r="M54" s="113"/>
    </row>
    <row r="55" spans="3:13" ht="25.8">
      <c r="C55" s="116">
        <v>46152</v>
      </c>
      <c r="D55" s="196"/>
      <c r="E55" s="196"/>
      <c r="F55" s="127" t="s">
        <v>38</v>
      </c>
      <c r="G55" s="113" t="s">
        <v>29</v>
      </c>
      <c r="H55" s="113" t="s">
        <v>66</v>
      </c>
      <c r="I55" s="115">
        <v>6191</v>
      </c>
      <c r="J55" s="115">
        <v>6146</v>
      </c>
      <c r="L55" s="113"/>
      <c r="M55" s="113"/>
    </row>
    <row r="56" spans="3:13" ht="25.8">
      <c r="C56" s="116">
        <v>46153</v>
      </c>
      <c r="D56" s="196"/>
      <c r="E56" s="196"/>
      <c r="F56" s="127" t="s">
        <v>28</v>
      </c>
      <c r="G56" s="113" t="s">
        <v>29</v>
      </c>
      <c r="H56" s="113" t="s">
        <v>66</v>
      </c>
      <c r="I56" s="115">
        <v>44158</v>
      </c>
      <c r="J56" s="115">
        <v>43673</v>
      </c>
      <c r="L56" s="113"/>
      <c r="M56" s="113"/>
    </row>
    <row r="57" spans="3:13" ht="25.8">
      <c r="C57" s="116">
        <v>46153</v>
      </c>
      <c r="D57" s="196"/>
      <c r="E57" s="196"/>
      <c r="F57" s="127" t="s">
        <v>24</v>
      </c>
      <c r="G57" s="113" t="s">
        <v>29</v>
      </c>
      <c r="H57" s="113" t="s">
        <v>66</v>
      </c>
      <c r="I57" s="115">
        <v>2494</v>
      </c>
      <c r="J57" s="115">
        <v>2169</v>
      </c>
      <c r="L57" s="113"/>
      <c r="M57" s="113"/>
    </row>
    <row r="58" spans="3:13" ht="25.8">
      <c r="C58" s="116">
        <v>46153</v>
      </c>
      <c r="D58" s="196"/>
      <c r="E58" s="196"/>
      <c r="F58" s="127" t="s">
        <v>28</v>
      </c>
      <c r="G58" s="113" t="s">
        <v>29</v>
      </c>
      <c r="H58" s="113" t="s">
        <v>66</v>
      </c>
      <c r="I58" s="115">
        <v>43673</v>
      </c>
      <c r="J58" s="115">
        <v>43668</v>
      </c>
      <c r="L58" s="113"/>
      <c r="M58" s="113"/>
    </row>
    <row r="59" spans="3:13" ht="25.8">
      <c r="C59" s="116">
        <v>46154</v>
      </c>
      <c r="D59" s="196"/>
      <c r="E59" s="196"/>
      <c r="F59" s="128" t="s">
        <v>36</v>
      </c>
      <c r="G59" s="113" t="s">
        <v>29</v>
      </c>
      <c r="H59" s="113" t="s">
        <v>66</v>
      </c>
      <c r="I59" s="115">
        <v>8095</v>
      </c>
      <c r="J59" s="115">
        <v>7690</v>
      </c>
      <c r="L59" s="113"/>
      <c r="M59" s="113"/>
    </row>
    <row r="60" spans="3:13" ht="25.8">
      <c r="C60" s="116">
        <v>46154</v>
      </c>
      <c r="D60" s="196"/>
      <c r="E60" s="196"/>
      <c r="F60" s="128" t="s">
        <v>24</v>
      </c>
      <c r="G60" s="113" t="s">
        <v>29</v>
      </c>
      <c r="H60" s="113" t="s">
        <v>66</v>
      </c>
      <c r="I60" s="115">
        <v>2169</v>
      </c>
      <c r="J60" s="115">
        <v>1564</v>
      </c>
      <c r="L60" s="113"/>
      <c r="M60" s="113"/>
    </row>
    <row r="61" spans="3:13" ht="25.8">
      <c r="C61" s="116">
        <v>46154</v>
      </c>
      <c r="D61" s="196"/>
      <c r="E61" s="196"/>
      <c r="F61" s="127" t="s">
        <v>28</v>
      </c>
      <c r="G61" s="113" t="s">
        <v>29</v>
      </c>
      <c r="H61" s="113" t="s">
        <v>66</v>
      </c>
      <c r="I61" s="115">
        <v>43668</v>
      </c>
      <c r="J61" s="115">
        <v>43663</v>
      </c>
      <c r="L61" s="113"/>
      <c r="M61" s="113"/>
    </row>
    <row r="62" spans="3:13" ht="25.8">
      <c r="C62" s="116">
        <v>46154</v>
      </c>
      <c r="D62" s="196"/>
      <c r="E62" s="196"/>
      <c r="F62" s="128" t="s">
        <v>40</v>
      </c>
      <c r="G62" s="113" t="s">
        <v>29</v>
      </c>
      <c r="H62" s="113" t="s">
        <v>66</v>
      </c>
      <c r="I62" s="115">
        <v>63952</v>
      </c>
      <c r="J62" s="115">
        <v>63787</v>
      </c>
      <c r="L62" s="113"/>
      <c r="M62" s="113"/>
    </row>
    <row r="63" spans="3:13" ht="25.8">
      <c r="C63" s="116">
        <v>46154</v>
      </c>
      <c r="D63" s="196"/>
      <c r="E63" s="196"/>
      <c r="F63" s="128" t="s">
        <v>40</v>
      </c>
      <c r="G63" s="113" t="s">
        <v>29</v>
      </c>
      <c r="H63" s="113" t="s">
        <v>66</v>
      </c>
      <c r="I63" s="115">
        <v>63787</v>
      </c>
      <c r="J63" s="115">
        <v>63582</v>
      </c>
      <c r="L63" s="113"/>
      <c r="M63" s="113"/>
    </row>
    <row r="64" spans="3:13" ht="25.8">
      <c r="C64" s="116">
        <v>46154</v>
      </c>
      <c r="D64" s="196"/>
      <c r="E64" s="196"/>
      <c r="F64" s="127" t="s">
        <v>28</v>
      </c>
      <c r="G64" s="113" t="s">
        <v>29</v>
      </c>
      <c r="H64" s="113" t="s">
        <v>66</v>
      </c>
      <c r="I64" s="115">
        <v>43663</v>
      </c>
      <c r="J64" s="115">
        <v>43418</v>
      </c>
      <c r="L64" s="113"/>
      <c r="M64" s="113"/>
    </row>
    <row r="65" spans="3:13" ht="25.8">
      <c r="C65" s="116">
        <v>46154</v>
      </c>
      <c r="D65" s="196"/>
      <c r="E65" s="196"/>
      <c r="F65" s="113" t="s">
        <v>39</v>
      </c>
      <c r="G65" s="113" t="s">
        <v>29</v>
      </c>
      <c r="H65" s="113" t="s">
        <v>66</v>
      </c>
      <c r="I65" s="115">
        <v>384</v>
      </c>
      <c r="J65" s="115">
        <v>339</v>
      </c>
      <c r="L65" s="113"/>
      <c r="M65" s="113"/>
    </row>
    <row r="66" spans="3:13" ht="25.8">
      <c r="C66" s="116">
        <v>46154</v>
      </c>
      <c r="D66" s="196"/>
      <c r="E66" s="196"/>
      <c r="F66" s="113" t="s">
        <v>37</v>
      </c>
      <c r="G66" s="113" t="s">
        <v>29</v>
      </c>
      <c r="H66" s="113" t="s">
        <v>66</v>
      </c>
      <c r="I66" s="115">
        <v>65283</v>
      </c>
      <c r="J66" s="115">
        <v>65078</v>
      </c>
      <c r="L66" s="113"/>
      <c r="M66" s="113"/>
    </row>
    <row r="67" spans="3:13" ht="25.8">
      <c r="C67" s="116">
        <v>46155</v>
      </c>
      <c r="D67" s="196"/>
      <c r="E67" s="196"/>
      <c r="F67" s="113" t="s">
        <v>38</v>
      </c>
      <c r="G67" s="113" t="s">
        <v>29</v>
      </c>
      <c r="H67" s="113" t="s">
        <v>66</v>
      </c>
      <c r="I67" s="115">
        <v>6146</v>
      </c>
      <c r="J67" s="115">
        <v>6061</v>
      </c>
      <c r="L67" s="113"/>
      <c r="M67" s="113"/>
    </row>
    <row r="68" spans="3:13" ht="25.8">
      <c r="C68" s="116">
        <v>46155</v>
      </c>
      <c r="D68" s="196"/>
      <c r="E68" s="196"/>
      <c r="F68" s="113" t="s">
        <v>40</v>
      </c>
      <c r="G68" s="113" t="s">
        <v>29</v>
      </c>
      <c r="H68" s="113" t="s">
        <v>66</v>
      </c>
      <c r="I68" s="115">
        <v>63582</v>
      </c>
      <c r="J68" s="115">
        <v>62617</v>
      </c>
      <c r="L68" s="113"/>
      <c r="M68" s="113"/>
    </row>
    <row r="69" spans="3:13" ht="25.8">
      <c r="C69" s="116">
        <v>46155</v>
      </c>
      <c r="D69" s="196"/>
      <c r="E69" s="196"/>
      <c r="F69" s="113" t="s">
        <v>41</v>
      </c>
      <c r="G69" s="113" t="s">
        <v>29</v>
      </c>
      <c r="H69" s="113" t="s">
        <v>66</v>
      </c>
      <c r="I69" s="115">
        <v>8017</v>
      </c>
      <c r="J69" s="115">
        <v>7812</v>
      </c>
      <c r="L69" s="113"/>
      <c r="M69" s="113"/>
    </row>
    <row r="70" spans="3:13" ht="25.8">
      <c r="C70" s="116">
        <v>46155</v>
      </c>
      <c r="D70" s="196"/>
      <c r="E70" s="196"/>
      <c r="F70" s="113" t="s">
        <v>40</v>
      </c>
      <c r="G70" s="113" t="s">
        <v>29</v>
      </c>
      <c r="H70" s="113" t="s">
        <v>66</v>
      </c>
      <c r="I70" s="115">
        <v>62617</v>
      </c>
      <c r="J70" s="115">
        <v>62412</v>
      </c>
      <c r="L70" s="113"/>
      <c r="M70" s="113"/>
    </row>
    <row r="71" spans="3:13" ht="25.8">
      <c r="C71" s="116">
        <v>46155</v>
      </c>
      <c r="D71" s="196"/>
      <c r="E71" s="196"/>
      <c r="F71" s="113" t="s">
        <v>37</v>
      </c>
      <c r="G71" s="113" t="s">
        <v>29</v>
      </c>
      <c r="H71" s="113" t="s">
        <v>66</v>
      </c>
      <c r="I71" s="115">
        <v>65078</v>
      </c>
      <c r="J71" s="115">
        <v>63473</v>
      </c>
      <c r="L71" s="113"/>
      <c r="M71" s="113"/>
    </row>
    <row r="72" spans="3:13" ht="25.8">
      <c r="C72" s="116">
        <v>46155</v>
      </c>
      <c r="D72" s="196"/>
      <c r="E72" s="196"/>
      <c r="F72" s="113" t="s">
        <v>36</v>
      </c>
      <c r="G72" s="113" t="s">
        <v>29</v>
      </c>
      <c r="H72" s="113" t="s">
        <v>66</v>
      </c>
      <c r="I72" s="115">
        <v>7690</v>
      </c>
      <c r="J72" s="115">
        <v>7485</v>
      </c>
      <c r="L72" s="113"/>
      <c r="M72" s="113"/>
    </row>
    <row r="73" spans="3:13" ht="25.8">
      <c r="C73" s="116">
        <v>46156</v>
      </c>
      <c r="D73" s="196"/>
      <c r="E73" s="196"/>
      <c r="F73" s="113" t="s">
        <v>28</v>
      </c>
      <c r="G73" s="113" t="s">
        <v>29</v>
      </c>
      <c r="H73" s="113" t="s">
        <v>66</v>
      </c>
      <c r="I73" s="115">
        <v>43418</v>
      </c>
      <c r="J73" s="115">
        <v>43342</v>
      </c>
      <c r="L73" s="113"/>
      <c r="M73" s="113"/>
    </row>
    <row r="74" spans="3:13" ht="25.8">
      <c r="C74" s="116">
        <v>46156</v>
      </c>
      <c r="D74" s="196"/>
      <c r="E74" s="196"/>
      <c r="F74" s="113" t="s">
        <v>37</v>
      </c>
      <c r="G74" s="113" t="s">
        <v>29</v>
      </c>
      <c r="H74" s="113" t="s">
        <v>66</v>
      </c>
      <c r="I74" s="115">
        <v>63473</v>
      </c>
      <c r="J74" s="115">
        <v>61468</v>
      </c>
      <c r="L74" s="113"/>
      <c r="M74" s="113"/>
    </row>
    <row r="75" spans="3:13" ht="25.8">
      <c r="C75" s="116">
        <v>46156</v>
      </c>
      <c r="D75" s="196"/>
      <c r="E75" s="196"/>
      <c r="F75" s="113" t="s">
        <v>37</v>
      </c>
      <c r="G75" s="113" t="s">
        <v>29</v>
      </c>
      <c r="H75" s="113" t="s">
        <v>66</v>
      </c>
      <c r="I75" s="115">
        <v>61468</v>
      </c>
      <c r="J75" s="115">
        <v>57063</v>
      </c>
      <c r="L75" s="113"/>
      <c r="M75" s="113"/>
    </row>
    <row r="76" spans="3:13" ht="25.8">
      <c r="C76" s="116">
        <v>46156</v>
      </c>
      <c r="D76" s="196"/>
      <c r="E76" s="196"/>
      <c r="F76" s="113" t="s">
        <v>28</v>
      </c>
      <c r="G76" s="113" t="s">
        <v>29</v>
      </c>
      <c r="H76" s="113" t="s">
        <v>66</v>
      </c>
      <c r="I76" s="115">
        <v>43342</v>
      </c>
      <c r="J76" s="115">
        <v>42457</v>
      </c>
      <c r="L76" s="113"/>
      <c r="M76" s="113"/>
    </row>
    <row r="77" spans="3:13" ht="25.8">
      <c r="C77" s="116">
        <v>46156</v>
      </c>
      <c r="D77" s="196"/>
      <c r="E77" s="196"/>
      <c r="F77" s="113" t="s">
        <v>37</v>
      </c>
      <c r="G77" s="113" t="s">
        <v>29</v>
      </c>
      <c r="H77" s="113" t="s">
        <v>66</v>
      </c>
      <c r="I77" s="115">
        <v>57063</v>
      </c>
      <c r="J77" s="115">
        <v>57016</v>
      </c>
      <c r="L77" s="113"/>
      <c r="M77" s="113"/>
    </row>
    <row r="78" spans="3:13" ht="25.8">
      <c r="C78" s="164">
        <v>46157</v>
      </c>
      <c r="D78" s="196"/>
      <c r="E78" s="196"/>
      <c r="F78" s="165"/>
      <c r="G78" s="165"/>
      <c r="H78" s="165"/>
      <c r="I78" s="166"/>
      <c r="J78" s="166"/>
      <c r="L78" s="162"/>
      <c r="M78" s="162"/>
    </row>
    <row r="79" spans="3:13" ht="25.8">
      <c r="C79" s="116">
        <v>46158</v>
      </c>
      <c r="D79" s="196"/>
      <c r="E79" s="196"/>
      <c r="F79" s="113" t="s">
        <v>38</v>
      </c>
      <c r="G79" s="113" t="s">
        <v>29</v>
      </c>
      <c r="H79" s="113" t="s">
        <v>66</v>
      </c>
      <c r="I79" s="115">
        <v>6061</v>
      </c>
      <c r="J79" s="115">
        <v>5936</v>
      </c>
      <c r="L79" s="113"/>
      <c r="M79" s="113"/>
    </row>
    <row r="80" spans="3:13" ht="25.8">
      <c r="C80" s="116">
        <v>46158</v>
      </c>
      <c r="D80" s="196"/>
      <c r="E80" s="196"/>
      <c r="F80" s="113" t="s">
        <v>31</v>
      </c>
      <c r="G80" s="113" t="s">
        <v>29</v>
      </c>
      <c r="H80" s="113" t="s">
        <v>66</v>
      </c>
      <c r="I80" s="115">
        <v>7723</v>
      </c>
      <c r="J80" s="115">
        <v>7662</v>
      </c>
      <c r="L80" s="113"/>
      <c r="M80" s="113"/>
    </row>
    <row r="81" spans="3:13" ht="25.8">
      <c r="C81" s="116">
        <v>46159</v>
      </c>
      <c r="D81" s="196"/>
      <c r="E81" s="196"/>
      <c r="F81" s="113" t="s">
        <v>24</v>
      </c>
      <c r="G81" s="113" t="s">
        <v>29</v>
      </c>
      <c r="H81" s="113" t="s">
        <v>66</v>
      </c>
      <c r="I81" s="161">
        <v>1564</v>
      </c>
      <c r="J81" s="161">
        <v>1509</v>
      </c>
      <c r="L81" s="113"/>
      <c r="M81" s="113"/>
    </row>
    <row r="82" spans="3:13" ht="25.8">
      <c r="C82" s="116">
        <v>46159</v>
      </c>
      <c r="D82" s="196"/>
      <c r="E82" s="196"/>
      <c r="F82" s="113" t="s">
        <v>38</v>
      </c>
      <c r="G82" s="113" t="s">
        <v>29</v>
      </c>
      <c r="H82" s="113" t="s">
        <v>66</v>
      </c>
      <c r="I82" s="161">
        <v>5936</v>
      </c>
      <c r="J82" s="161">
        <v>5731</v>
      </c>
      <c r="L82" s="113"/>
      <c r="M82" s="113"/>
    </row>
    <row r="83" spans="3:13" ht="25.8">
      <c r="C83" s="116">
        <v>46159</v>
      </c>
      <c r="D83" s="196"/>
      <c r="E83" s="196"/>
      <c r="F83" s="113" t="s">
        <v>31</v>
      </c>
      <c r="G83" s="113" t="s">
        <v>29</v>
      </c>
      <c r="H83" s="113" t="s">
        <v>66</v>
      </c>
      <c r="I83" s="161">
        <v>7662</v>
      </c>
      <c r="J83" s="161">
        <v>7537</v>
      </c>
      <c r="L83" s="113"/>
      <c r="M83" s="113"/>
    </row>
    <row r="84" spans="3:13" ht="25.8">
      <c r="C84" s="116">
        <v>46159</v>
      </c>
      <c r="D84" s="196"/>
      <c r="E84" s="196"/>
      <c r="F84" s="113" t="s">
        <v>28</v>
      </c>
      <c r="G84" s="113" t="s">
        <v>29</v>
      </c>
      <c r="H84" s="113" t="s">
        <v>66</v>
      </c>
      <c r="I84" s="161">
        <v>42457</v>
      </c>
      <c r="J84" s="161">
        <v>41452</v>
      </c>
      <c r="L84" s="113"/>
      <c r="M84" s="113"/>
    </row>
    <row r="85" spans="3:13" ht="25.8">
      <c r="C85" s="116"/>
      <c r="D85" s="196"/>
      <c r="E85" s="196"/>
      <c r="F85" s="160"/>
      <c r="G85" s="160"/>
      <c r="H85" s="160"/>
      <c r="I85" s="161"/>
      <c r="J85" s="161"/>
      <c r="L85" s="113"/>
      <c r="M85" s="113"/>
    </row>
    <row r="86" spans="3:13" ht="25.8">
      <c r="C86" s="116"/>
      <c r="D86" s="196"/>
      <c r="E86" s="196"/>
      <c r="F86" s="160"/>
      <c r="G86" s="160"/>
      <c r="H86" s="160"/>
      <c r="I86" s="160"/>
      <c r="J86" s="160"/>
      <c r="L86" s="113"/>
      <c r="M86" s="113"/>
    </row>
    <row r="87" spans="3:13" ht="25.8">
      <c r="C87" s="116"/>
      <c r="D87" s="196"/>
      <c r="E87" s="196"/>
      <c r="F87" s="160"/>
      <c r="G87" s="160"/>
      <c r="H87" s="160"/>
      <c r="I87" s="160"/>
      <c r="J87" s="160"/>
      <c r="L87" s="113"/>
      <c r="M87" s="113"/>
    </row>
    <row r="88" spans="3:13" ht="25.8">
      <c r="C88" s="116"/>
      <c r="D88" s="196"/>
      <c r="E88" s="196"/>
      <c r="F88" s="160"/>
      <c r="G88" s="160"/>
      <c r="H88" s="160"/>
      <c r="I88" s="160"/>
      <c r="J88" s="160"/>
      <c r="L88" s="113"/>
      <c r="M88" s="113"/>
    </row>
    <row r="89" spans="3:13" ht="25.8">
      <c r="C89" s="116"/>
      <c r="D89" s="196"/>
      <c r="E89" s="196"/>
      <c r="F89" s="160"/>
      <c r="G89" s="160"/>
      <c r="H89" s="160"/>
      <c r="I89" s="160"/>
      <c r="J89" s="160"/>
      <c r="L89" s="113"/>
      <c r="M89" s="113"/>
    </row>
    <row r="90" spans="3:13" ht="25.8">
      <c r="C90" s="116"/>
      <c r="D90" s="196"/>
      <c r="E90" s="196"/>
      <c r="F90" s="160"/>
      <c r="G90" s="160"/>
      <c r="H90" s="160"/>
      <c r="I90" s="160"/>
      <c r="J90" s="160"/>
      <c r="L90" s="113"/>
      <c r="M90" s="113"/>
    </row>
    <row r="91" spans="3:13" ht="25.8">
      <c r="C91" s="116"/>
      <c r="D91" s="196"/>
      <c r="E91" s="196"/>
      <c r="F91" s="160"/>
      <c r="G91" s="160"/>
      <c r="H91" s="160"/>
      <c r="I91" s="160"/>
      <c r="J91" s="160"/>
      <c r="L91" s="113"/>
      <c r="M91" s="113"/>
    </row>
    <row r="92" spans="3:13" ht="25.8">
      <c r="C92" s="116"/>
      <c r="D92" s="196"/>
      <c r="E92" s="196"/>
      <c r="F92" s="160"/>
      <c r="G92" s="160"/>
      <c r="H92" s="160"/>
      <c r="I92" s="160"/>
      <c r="J92" s="160"/>
      <c r="L92" s="113"/>
      <c r="M92" s="113"/>
    </row>
    <row r="93" spans="3:13" ht="25.8">
      <c r="C93" s="116"/>
      <c r="D93" s="197"/>
      <c r="E93" s="197"/>
      <c r="F93" s="160"/>
      <c r="G93" s="160"/>
      <c r="H93" s="160"/>
      <c r="I93" s="160"/>
      <c r="J93" s="160"/>
      <c r="L93" s="113"/>
      <c r="M93" s="113"/>
    </row>
  </sheetData>
  <mergeCells count="5">
    <mergeCell ref="C2:J4"/>
    <mergeCell ref="L3:M4"/>
    <mergeCell ref="C5:J5"/>
    <mergeCell ref="D7:D93"/>
    <mergeCell ref="E7:E93"/>
  </mergeCells>
  <conditionalFormatting sqref="F7:F39">
    <cfRule type="containsText" priority="14" operator="containsText" text="Blue">
      <formula>NOT(ISERROR(SEARCH("Blue",F7)))</formula>
    </cfRule>
    <cfRule type="containsText" dxfId="122" priority="20" operator="containsText" text="Light Blue">
      <formula>NOT(ISERROR(SEARCH("Light Blue",F7)))</formula>
    </cfRule>
    <cfRule type="containsText" dxfId="121" priority="30" operator="containsText" text="Orange">
      <formula>NOT(ISERROR(SEARCH("Orange",F7)))</formula>
    </cfRule>
    <cfRule type="containsText" dxfId="120" priority="31" operator="containsText" text="Purple">
      <formula>NOT(ISERROR(SEARCH("Purple",F7)))</formula>
    </cfRule>
  </conditionalFormatting>
  <conditionalFormatting sqref="F7:F39">
    <cfRule type="containsText" dxfId="119" priority="18" operator="containsText" text="Light Blue">
      <formula>NOT(ISERROR(SEARCH("Light Blue",F7)))</formula>
    </cfRule>
    <cfRule type="containsText" dxfId="118" priority="21" operator="containsText" text="Dark Blue">
      <formula>NOT(ISERROR(SEARCH("Dark Blue",F7)))</formula>
    </cfRule>
    <cfRule type="containsText" dxfId="117" priority="22" operator="containsText" text="Blue">
      <formula>NOT(ISERROR(SEARCH("Blue",F7)))</formula>
    </cfRule>
    <cfRule type="containsText" dxfId="116" priority="23" operator="containsText" text="Yellow">
      <formula>NOT(ISERROR(SEARCH("Yellow",F7)))</formula>
    </cfRule>
    <cfRule type="containsText" dxfId="115" priority="24" operator="containsText" text="Light Blue">
      <formula>NOT(ISERROR(SEARCH("Light Blue",F7)))</formula>
    </cfRule>
    <cfRule type="containsText" dxfId="114" priority="25" operator="containsText" text="Dark Green">
      <formula>NOT(ISERROR(SEARCH("Dark Green",F7)))</formula>
    </cfRule>
    <cfRule type="containsText" dxfId="113" priority="26" operator="containsText" text="Brown">
      <formula>NOT(ISERROR(SEARCH("Brown",F7)))</formula>
    </cfRule>
    <cfRule type="containsText" dxfId="112" priority="27" operator="containsText" text="Green">
      <formula>NOT(ISERROR(SEARCH("Green",F7)))</formula>
    </cfRule>
    <cfRule type="containsText" dxfId="111" priority="28" operator="containsText" text="Red">
      <formula>NOT(ISERROR(SEARCH("Red",F7)))</formula>
    </cfRule>
    <cfRule type="containsText" dxfId="110" priority="29" operator="containsText" text="Gray">
      <formula>NOT(ISERROR(SEARCH("Gray",F7)))</formula>
    </cfRule>
  </conditionalFormatting>
  <conditionalFormatting sqref="F9">
    <cfRule type="containsText" dxfId="109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108" priority="17" operator="containsText" text="wHITE">
      <formula>NOT(ISERROR(SEARCH("wHITE",F20)))</formula>
    </cfRule>
  </conditionalFormatting>
  <conditionalFormatting sqref="F7:F39">
    <cfRule type="containsText" dxfId="107" priority="15" operator="containsText" text="White">
      <formula>NOT(ISERROR(SEARCH("White",F7)))</formula>
    </cfRule>
  </conditionalFormatting>
  <conditionalFormatting sqref="F40:F51">
    <cfRule type="containsText" dxfId="106" priority="11" operator="containsText" text="Brown">
      <formula>NOT(ISERROR(SEARCH("Brown",F40)))</formula>
    </cfRule>
    <cfRule type="containsText" dxfId="105" priority="12" operator="containsText" text="Dark Green">
      <formula>NOT(ISERROR(SEARCH("Dark Green",F40)))</formula>
    </cfRule>
    <cfRule type="containsText" dxfId="104" priority="13" operator="containsText" text="Blue">
      <formula>NOT(ISERROR(SEARCH("Blue",F40)))</formula>
    </cfRule>
  </conditionalFormatting>
  <conditionalFormatting sqref="F44">
    <cfRule type="containsText" dxfId="103" priority="10" operator="containsText" text="Dark Blue">
      <formula>NOT(ISERROR(SEARCH("Dark Blue",F44)))</formula>
    </cfRule>
  </conditionalFormatting>
  <conditionalFormatting sqref="F45:F51">
    <cfRule type="containsText" dxfId="102" priority="9" operator="containsText" text="Green">
      <formula>NOT(ISERROR(SEARCH("Green",F45)))</formula>
    </cfRule>
  </conditionalFormatting>
  <conditionalFormatting sqref="F46:F51">
    <cfRule type="containsText" dxfId="101" priority="8" operator="containsText" text="Dark Blue">
      <formula>NOT(ISERROR(SEARCH("Dark Blue",F46)))</formula>
    </cfRule>
  </conditionalFormatting>
  <conditionalFormatting sqref="F47:F51">
    <cfRule type="containsText" dxfId="100" priority="7" operator="containsText" text="Gray">
      <formula>NOT(ISERROR(SEARCH("Gray",F47)))</formula>
    </cfRule>
  </conditionalFormatting>
  <conditionalFormatting sqref="F51:F64">
    <cfRule type="containsText" dxfId="99" priority="6" operator="containsText" text="Purple">
      <formula>NOT(ISERROR(SEARCH("Purple",F51)))</formula>
    </cfRule>
  </conditionalFormatting>
  <conditionalFormatting sqref="F52">
    <cfRule type="containsText" dxfId="98" priority="5" operator="containsText" text="Red">
      <formula>NOT(ISERROR(SEARCH("Red",F52)))</formula>
    </cfRule>
  </conditionalFormatting>
  <conditionalFormatting sqref="F53">
    <cfRule type="containsText" dxfId="97" priority="4" operator="containsText" text="Green">
      <formula>NOT(ISERROR(SEARCH("Green",F53)))</formula>
    </cfRule>
  </conditionalFormatting>
  <conditionalFormatting sqref="F54">
    <cfRule type="containsText" dxfId="96" priority="3" operator="containsText" text="Light Blue">
      <formula>NOT(ISERROR(SEARCH("Light Blue",F54)))</formula>
    </cfRule>
  </conditionalFormatting>
  <conditionalFormatting sqref="F55">
    <cfRule type="containsText" dxfId="95" priority="2" operator="containsText" text="Dark Green">
      <formula>NOT(ISERROR(SEARCH("Dark Green",F55)))</formula>
    </cfRule>
  </conditionalFormatting>
  <conditionalFormatting sqref="F57">
    <cfRule type="containsText" dxfId="94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49"/>
  <sheetViews>
    <sheetView topLeftCell="A26" zoomScale="70" zoomScaleNormal="70" workbookViewId="0">
      <selection activeCell="M41" sqref="M4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98" t="s">
        <v>9</v>
      </c>
      <c r="D2" s="199"/>
      <c r="E2" s="199"/>
      <c r="F2" s="199"/>
      <c r="G2" s="199"/>
      <c r="H2" s="199"/>
      <c r="I2" s="199"/>
      <c r="J2" s="200"/>
      <c r="K2" s="1"/>
    </row>
    <row r="3" spans="3:13" ht="26.4" thickBot="1">
      <c r="C3" s="201"/>
      <c r="D3" s="202"/>
      <c r="E3" s="202"/>
      <c r="F3" s="202"/>
      <c r="G3" s="202"/>
      <c r="H3" s="202"/>
      <c r="I3" s="202"/>
      <c r="J3" s="203"/>
      <c r="K3" s="1"/>
      <c r="L3" s="176" t="s">
        <v>16</v>
      </c>
      <c r="M3" s="177"/>
    </row>
    <row r="4" spans="3:13" ht="27" thickTop="1" thickBot="1">
      <c r="C4" s="204"/>
      <c r="D4" s="205"/>
      <c r="E4" s="205"/>
      <c r="F4" s="205"/>
      <c r="G4" s="205"/>
      <c r="H4" s="205"/>
      <c r="I4" s="205"/>
      <c r="J4" s="206"/>
      <c r="K4" s="1"/>
      <c r="L4" s="178"/>
      <c r="M4" s="179"/>
    </row>
    <row r="5" spans="3:13" ht="26.4" thickBot="1">
      <c r="C5" s="180"/>
      <c r="D5" s="181"/>
      <c r="E5" s="181"/>
      <c r="F5" s="181"/>
      <c r="G5" s="181"/>
      <c r="H5" s="181"/>
      <c r="I5" s="181"/>
      <c r="J5" s="182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3" t="s">
        <v>18</v>
      </c>
      <c r="E7" s="183" t="s">
        <v>2</v>
      </c>
      <c r="F7" s="8" t="s">
        <v>24</v>
      </c>
      <c r="G7" s="11" t="s">
        <v>29</v>
      </c>
      <c r="H7" s="11"/>
      <c r="I7" s="22">
        <v>5118</v>
      </c>
      <c r="J7" s="60">
        <v>5118</v>
      </c>
      <c r="K7" s="1"/>
      <c r="L7" s="11"/>
      <c r="M7" s="11"/>
    </row>
    <row r="8" spans="3:13" ht="26.4" thickBot="1">
      <c r="C8" s="118">
        <v>46143</v>
      </c>
      <c r="D8" s="184"/>
      <c r="E8" s="184"/>
      <c r="F8" s="21" t="s">
        <v>36</v>
      </c>
      <c r="G8" s="11" t="s">
        <v>29</v>
      </c>
      <c r="H8" s="11"/>
      <c r="I8" s="22">
        <v>4753</v>
      </c>
      <c r="J8" s="60">
        <v>4753</v>
      </c>
      <c r="K8" s="1"/>
      <c r="L8" s="11"/>
      <c r="M8" s="11"/>
    </row>
    <row r="9" spans="3:13" ht="26.4" thickBot="1">
      <c r="C9" s="118">
        <v>46143</v>
      </c>
      <c r="D9" s="184"/>
      <c r="E9" s="184"/>
      <c r="F9" s="8" t="s">
        <v>30</v>
      </c>
      <c r="G9" s="11" t="s">
        <v>29</v>
      </c>
      <c r="H9" s="11"/>
      <c r="I9" s="22">
        <v>4153</v>
      </c>
      <c r="J9" s="60">
        <v>4153</v>
      </c>
      <c r="K9" s="1"/>
      <c r="L9" s="11"/>
      <c r="M9" s="11"/>
    </row>
    <row r="10" spans="3:13" ht="26.4" thickBot="1">
      <c r="C10" s="118">
        <v>46143</v>
      </c>
      <c r="D10" s="184"/>
      <c r="E10" s="184"/>
      <c r="F10" s="21" t="s">
        <v>28</v>
      </c>
      <c r="G10" s="11" t="s">
        <v>29</v>
      </c>
      <c r="H10" s="11"/>
      <c r="I10" s="22">
        <v>32357</v>
      </c>
      <c r="J10" s="60">
        <v>32357</v>
      </c>
      <c r="K10" s="1"/>
      <c r="L10" s="11"/>
      <c r="M10" s="11"/>
    </row>
    <row r="11" spans="3:13" ht="26.4" thickBot="1">
      <c r="C11" s="118">
        <v>46143</v>
      </c>
      <c r="D11" s="184"/>
      <c r="E11" s="184"/>
      <c r="F11" s="8" t="s">
        <v>37</v>
      </c>
      <c r="G11" s="11" t="s">
        <v>29</v>
      </c>
      <c r="H11" s="11"/>
      <c r="I11" s="22">
        <v>5904</v>
      </c>
      <c r="J11" s="60">
        <v>5904</v>
      </c>
      <c r="K11" s="1"/>
      <c r="L11" s="11"/>
      <c r="M11" s="11"/>
    </row>
    <row r="12" spans="3:13" ht="26.4" thickBot="1">
      <c r="C12" s="118">
        <v>46143</v>
      </c>
      <c r="D12" s="184"/>
      <c r="E12" s="184"/>
      <c r="F12" s="8" t="s">
        <v>38</v>
      </c>
      <c r="G12" s="11" t="s">
        <v>29</v>
      </c>
      <c r="H12" s="11"/>
      <c r="I12" s="22">
        <v>38160</v>
      </c>
      <c r="J12" s="60">
        <v>38160</v>
      </c>
      <c r="K12" s="1"/>
      <c r="L12" s="11"/>
      <c r="M12" s="11"/>
    </row>
    <row r="13" spans="3:13" ht="26.4" thickBot="1">
      <c r="C13" s="118">
        <v>46143</v>
      </c>
      <c r="D13" s="184"/>
      <c r="E13" s="184"/>
      <c r="F13" s="8" t="s">
        <v>45</v>
      </c>
      <c r="G13" s="11" t="s">
        <v>32</v>
      </c>
      <c r="H13" s="11"/>
      <c r="I13" s="22">
        <v>2410</v>
      </c>
      <c r="J13" s="22">
        <v>2410</v>
      </c>
      <c r="K13" s="1"/>
      <c r="L13" s="11"/>
      <c r="M13" s="11"/>
    </row>
    <row r="14" spans="3:13" s="40" customFormat="1" ht="26.4" thickBot="1">
      <c r="C14" s="46"/>
      <c r="D14" s="184"/>
      <c r="E14" s="184"/>
      <c r="F14" s="55"/>
      <c r="G14" s="47"/>
      <c r="H14" s="47"/>
      <c r="I14" s="58"/>
      <c r="J14" s="47"/>
      <c r="K14" s="36"/>
      <c r="L14" s="47"/>
      <c r="M14" s="47"/>
    </row>
    <row r="15" spans="3:13" ht="26.4" thickBot="1">
      <c r="C15" s="118">
        <v>46144</v>
      </c>
      <c r="D15" s="184"/>
      <c r="E15" s="184"/>
      <c r="F15" s="21" t="s">
        <v>24</v>
      </c>
      <c r="G15" s="11" t="s">
        <v>29</v>
      </c>
      <c r="H15" s="11" t="s">
        <v>66</v>
      </c>
      <c r="I15" s="22">
        <v>47500</v>
      </c>
      <c r="J15" s="22">
        <v>47430</v>
      </c>
      <c r="K15" s="1"/>
      <c r="L15" s="11"/>
      <c r="M15" s="11"/>
    </row>
    <row r="16" spans="3:13" ht="26.4" thickBot="1">
      <c r="C16" s="118">
        <v>46144</v>
      </c>
      <c r="D16" s="184"/>
      <c r="E16" s="184"/>
      <c r="F16" s="8" t="s">
        <v>45</v>
      </c>
      <c r="G16" s="11" t="s">
        <v>32</v>
      </c>
      <c r="H16" s="11" t="s">
        <v>66</v>
      </c>
      <c r="I16" s="22">
        <v>2410</v>
      </c>
      <c r="J16" s="22">
        <v>2407</v>
      </c>
      <c r="K16" s="1"/>
      <c r="L16" s="11"/>
      <c r="M16" s="11"/>
    </row>
    <row r="17" spans="3:13" ht="26.4" thickBot="1">
      <c r="C17" s="118">
        <v>46144</v>
      </c>
      <c r="D17" s="184"/>
      <c r="E17" s="184"/>
      <c r="F17" s="21" t="s">
        <v>24</v>
      </c>
      <c r="G17" s="11" t="s">
        <v>29</v>
      </c>
      <c r="H17" s="11" t="s">
        <v>66</v>
      </c>
      <c r="I17" s="22">
        <v>47430</v>
      </c>
      <c r="J17" s="22">
        <v>47424</v>
      </c>
      <c r="K17" s="1"/>
      <c r="L17" s="11"/>
      <c r="M17" s="11"/>
    </row>
    <row r="18" spans="3:13" ht="26.4" thickBot="1">
      <c r="C18" s="118">
        <v>46144</v>
      </c>
      <c r="D18" s="184"/>
      <c r="E18" s="184"/>
      <c r="F18" s="21" t="s">
        <v>28</v>
      </c>
      <c r="G18" s="11" t="s">
        <v>29</v>
      </c>
      <c r="H18" s="11" t="s">
        <v>66</v>
      </c>
      <c r="I18" s="22">
        <v>32357</v>
      </c>
      <c r="J18" s="22">
        <v>32356</v>
      </c>
      <c r="K18" s="1"/>
      <c r="L18" s="11"/>
      <c r="M18" s="11"/>
    </row>
    <row r="19" spans="3:13" ht="26.4" thickBot="1">
      <c r="C19" s="46"/>
      <c r="D19" s="184"/>
      <c r="E19" s="184"/>
      <c r="F19" s="55"/>
      <c r="G19" s="47"/>
      <c r="H19" s="47"/>
      <c r="I19" s="58"/>
      <c r="J19" s="56"/>
      <c r="K19" s="1"/>
      <c r="L19" s="47"/>
      <c r="M19" s="47"/>
    </row>
    <row r="20" spans="3:13" ht="26.4" thickBot="1">
      <c r="C20" s="142">
        <v>46145</v>
      </c>
      <c r="D20" s="184"/>
      <c r="E20" s="184"/>
      <c r="F20" s="64"/>
      <c r="G20" s="63"/>
      <c r="H20" s="63"/>
      <c r="I20" s="66"/>
      <c r="J20" s="65"/>
      <c r="K20" s="1"/>
      <c r="L20" s="63"/>
      <c r="M20" s="63"/>
    </row>
    <row r="21" spans="3:13" ht="26.25" customHeight="1" thickBot="1">
      <c r="C21" s="46"/>
      <c r="D21" s="184"/>
      <c r="E21" s="184"/>
      <c r="F21" s="55"/>
      <c r="G21" s="47"/>
      <c r="H21" s="47"/>
      <c r="I21" s="62"/>
      <c r="J21" s="56"/>
      <c r="K21" s="1"/>
      <c r="L21" s="47"/>
      <c r="M21" s="47"/>
    </row>
    <row r="22" spans="3:13" ht="26.25" customHeight="1" thickBot="1">
      <c r="C22" s="12">
        <v>46146</v>
      </c>
      <c r="D22" s="184"/>
      <c r="E22" s="184"/>
      <c r="F22" s="8" t="s">
        <v>30</v>
      </c>
      <c r="G22" s="11" t="s">
        <v>29</v>
      </c>
      <c r="H22" s="11" t="s">
        <v>66</v>
      </c>
      <c r="I22" s="33">
        <v>4153</v>
      </c>
      <c r="J22" s="22">
        <v>4151</v>
      </c>
      <c r="K22" s="1"/>
      <c r="L22" s="11"/>
      <c r="M22" s="11"/>
    </row>
    <row r="23" spans="3:13" ht="26.25" customHeight="1" thickBot="1">
      <c r="C23" s="12">
        <v>46147</v>
      </c>
      <c r="D23" s="184"/>
      <c r="E23" s="184"/>
      <c r="F23" s="64"/>
      <c r="G23" s="63"/>
      <c r="H23" s="63"/>
      <c r="I23" s="63"/>
      <c r="J23" s="65"/>
      <c r="K23" s="1"/>
      <c r="L23" s="63"/>
      <c r="M23" s="63"/>
    </row>
    <row r="24" spans="3:13" ht="26.25" customHeight="1" thickBot="1">
      <c r="C24" s="12">
        <v>46148</v>
      </c>
      <c r="D24" s="184"/>
      <c r="E24" s="184"/>
      <c r="F24" s="64"/>
      <c r="G24" s="63"/>
      <c r="H24" s="63"/>
      <c r="I24" s="63"/>
      <c r="J24" s="63"/>
      <c r="K24" s="1"/>
      <c r="L24" s="63"/>
      <c r="M24" s="63"/>
    </row>
    <row r="25" spans="3:13" ht="26.25" customHeight="1" thickBot="1">
      <c r="C25" s="118">
        <v>46149</v>
      </c>
      <c r="D25" s="184"/>
      <c r="E25" s="184"/>
      <c r="F25" s="8" t="s">
        <v>24</v>
      </c>
      <c r="G25" s="11" t="s">
        <v>29</v>
      </c>
      <c r="H25" s="11" t="s">
        <v>66</v>
      </c>
      <c r="I25" s="22">
        <v>47424</v>
      </c>
      <c r="J25" s="22">
        <v>47403</v>
      </c>
      <c r="K25" s="1"/>
      <c r="L25" s="11"/>
      <c r="M25" s="11"/>
    </row>
    <row r="26" spans="3:13" ht="26.25" customHeight="1" thickBot="1">
      <c r="C26" s="118">
        <v>46149</v>
      </c>
      <c r="D26" s="184"/>
      <c r="E26" s="184"/>
      <c r="F26" s="8" t="s">
        <v>30</v>
      </c>
      <c r="G26" s="11" t="s">
        <v>29</v>
      </c>
      <c r="H26" s="11" t="s">
        <v>66</v>
      </c>
      <c r="I26" s="22">
        <v>4151</v>
      </c>
      <c r="J26" s="22">
        <v>4130</v>
      </c>
      <c r="K26" s="1"/>
      <c r="L26" s="11"/>
      <c r="M26" s="11"/>
    </row>
    <row r="27" spans="3:13" ht="26.25" customHeight="1" thickBot="1">
      <c r="C27" s="118">
        <v>46149</v>
      </c>
      <c r="D27" s="184"/>
      <c r="E27" s="184"/>
      <c r="F27" s="8" t="s">
        <v>45</v>
      </c>
      <c r="G27" s="11" t="s">
        <v>32</v>
      </c>
      <c r="H27" s="11" t="s">
        <v>66</v>
      </c>
      <c r="I27" s="22">
        <v>2407</v>
      </c>
      <c r="J27" s="22">
        <v>1802</v>
      </c>
      <c r="K27" s="1"/>
      <c r="L27" s="11"/>
      <c r="M27" s="11"/>
    </row>
    <row r="28" spans="3:13" ht="26.25" customHeight="1" thickBot="1">
      <c r="C28" s="142">
        <v>46150</v>
      </c>
      <c r="D28" s="184"/>
      <c r="E28" s="184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84"/>
      <c r="E29" s="184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2">
        <v>46152</v>
      </c>
      <c r="D30" s="184"/>
      <c r="E30" s="184"/>
      <c r="F30" s="21" t="s">
        <v>28</v>
      </c>
      <c r="G30" s="11" t="s">
        <v>29</v>
      </c>
      <c r="H30" s="11" t="s">
        <v>66</v>
      </c>
      <c r="I30" s="22">
        <v>32356</v>
      </c>
      <c r="J30" s="22">
        <v>32111</v>
      </c>
      <c r="K30" s="1"/>
      <c r="L30" s="11"/>
      <c r="M30" s="11"/>
    </row>
    <row r="31" spans="3:13" ht="26.25" customHeight="1" thickBot="1">
      <c r="C31" s="12">
        <v>46153</v>
      </c>
      <c r="D31" s="184"/>
      <c r="E31" s="184"/>
      <c r="F31" s="8" t="s">
        <v>36</v>
      </c>
      <c r="G31" s="11" t="s">
        <v>29</v>
      </c>
      <c r="H31" s="11" t="s">
        <v>66</v>
      </c>
      <c r="I31" s="22">
        <v>4753</v>
      </c>
      <c r="J31" s="22">
        <v>4668</v>
      </c>
      <c r="K31" s="1"/>
      <c r="L31" s="11"/>
      <c r="M31" s="11"/>
    </row>
    <row r="32" spans="3:13" ht="26.25" customHeight="1" thickBot="1">
      <c r="C32" s="12">
        <v>46153</v>
      </c>
      <c r="D32" s="184"/>
      <c r="E32" s="184"/>
      <c r="F32" s="8" t="s">
        <v>24</v>
      </c>
      <c r="G32" s="11" t="s">
        <v>29</v>
      </c>
      <c r="H32" s="11" t="s">
        <v>66</v>
      </c>
      <c r="I32" s="22">
        <v>47403</v>
      </c>
      <c r="J32" s="22">
        <v>47358</v>
      </c>
      <c r="K32" s="1"/>
      <c r="L32" s="11"/>
      <c r="M32" s="11"/>
    </row>
    <row r="33" spans="3:13" ht="26.25" customHeight="1" thickBot="1">
      <c r="C33" s="12">
        <v>46153</v>
      </c>
      <c r="D33" s="184"/>
      <c r="E33" s="184"/>
      <c r="F33" s="8" t="s">
        <v>30</v>
      </c>
      <c r="G33" s="11" t="s">
        <v>29</v>
      </c>
      <c r="H33" s="11" t="s">
        <v>66</v>
      </c>
      <c r="I33" s="22">
        <v>4130</v>
      </c>
      <c r="J33" s="22">
        <v>3680</v>
      </c>
      <c r="K33" s="1"/>
      <c r="L33" s="11"/>
      <c r="M33" s="11"/>
    </row>
    <row r="34" spans="3:13" ht="26.25" customHeight="1" thickBot="1">
      <c r="C34" s="12">
        <v>46153</v>
      </c>
      <c r="D34" s="184"/>
      <c r="E34" s="184"/>
      <c r="F34" s="8" t="s">
        <v>45</v>
      </c>
      <c r="G34" s="11" t="s">
        <v>32</v>
      </c>
      <c r="H34" s="11" t="s">
        <v>66</v>
      </c>
      <c r="I34" s="22">
        <v>1802</v>
      </c>
      <c r="J34" s="22">
        <v>1397</v>
      </c>
      <c r="K34" s="1"/>
      <c r="L34" s="11"/>
      <c r="M34" s="11"/>
    </row>
    <row r="35" spans="3:13" ht="26.25" customHeight="1" thickBot="1">
      <c r="C35" s="156">
        <v>46154</v>
      </c>
      <c r="D35" s="184"/>
      <c r="E35" s="184"/>
      <c r="F35" s="21" t="s">
        <v>30</v>
      </c>
      <c r="G35" s="8" t="s">
        <v>29</v>
      </c>
      <c r="H35" s="11" t="s">
        <v>66</v>
      </c>
      <c r="I35" s="158">
        <v>3680</v>
      </c>
      <c r="J35" s="158">
        <v>3675</v>
      </c>
      <c r="K35" s="1"/>
      <c r="L35" s="157"/>
      <c r="M35" s="157"/>
    </row>
    <row r="36" spans="3:13" ht="26.25" customHeight="1" thickBot="1">
      <c r="C36" s="164">
        <v>46155</v>
      </c>
      <c r="D36" s="184"/>
      <c r="E36" s="184"/>
      <c r="F36" s="143"/>
      <c r="G36" s="143"/>
      <c r="H36" s="143"/>
      <c r="I36" s="295"/>
      <c r="J36" s="295"/>
      <c r="K36" s="1"/>
      <c r="L36" s="143"/>
      <c r="M36" s="143"/>
    </row>
    <row r="37" spans="3:13" ht="26.25" customHeight="1">
      <c r="C37" s="164">
        <v>46156</v>
      </c>
      <c r="D37" s="184"/>
      <c r="E37" s="184"/>
      <c r="F37" s="296"/>
      <c r="G37" s="296"/>
      <c r="H37" s="296"/>
      <c r="I37" s="297"/>
      <c r="J37" s="297"/>
      <c r="K37" s="1"/>
      <c r="L37" s="296"/>
      <c r="M37" s="296"/>
    </row>
    <row r="38" spans="3:13" ht="25.8">
      <c r="C38" s="164">
        <v>46157</v>
      </c>
      <c r="D38" s="184"/>
      <c r="E38" s="184"/>
      <c r="F38" s="162"/>
      <c r="G38" s="162"/>
      <c r="H38" s="162"/>
      <c r="I38" s="163"/>
      <c r="J38" s="163"/>
      <c r="L38" s="162"/>
      <c r="M38" s="162"/>
    </row>
    <row r="39" spans="3:13" ht="26.4" thickBot="1">
      <c r="C39" s="164">
        <v>46158</v>
      </c>
      <c r="D39" s="184"/>
      <c r="E39" s="184"/>
      <c r="F39" s="162"/>
      <c r="G39" s="162"/>
      <c r="H39" s="162"/>
      <c r="I39" s="163"/>
      <c r="J39" s="163"/>
      <c r="L39" s="162"/>
      <c r="M39" s="162"/>
    </row>
    <row r="40" spans="3:13" ht="26.4" thickBot="1">
      <c r="C40" s="156">
        <v>46159</v>
      </c>
      <c r="D40" s="184"/>
      <c r="E40" s="184"/>
      <c r="F40" s="113" t="s">
        <v>30</v>
      </c>
      <c r="G40" s="113" t="s">
        <v>29</v>
      </c>
      <c r="H40" s="11" t="s">
        <v>66</v>
      </c>
      <c r="I40" s="115">
        <v>3675</v>
      </c>
      <c r="J40" s="115">
        <v>3673</v>
      </c>
      <c r="L40" s="113"/>
      <c r="M40" s="113"/>
    </row>
    <row r="41" spans="3:13" ht="25.8">
      <c r="C41" s="113"/>
      <c r="D41" s="184"/>
      <c r="E41" s="184"/>
      <c r="F41" s="113"/>
      <c r="G41" s="113"/>
      <c r="H41" s="113"/>
      <c r="I41" s="115"/>
      <c r="J41" s="115"/>
      <c r="L41" s="113"/>
      <c r="M41" s="113"/>
    </row>
    <row r="42" spans="3:13" ht="25.8">
      <c r="C42" s="113"/>
      <c r="D42" s="184"/>
      <c r="E42" s="184"/>
      <c r="F42" s="113"/>
      <c r="G42" s="113"/>
      <c r="H42" s="113"/>
      <c r="I42" s="115"/>
      <c r="J42" s="115"/>
      <c r="L42" s="113"/>
      <c r="M42" s="113"/>
    </row>
    <row r="43" spans="3:13" ht="25.8">
      <c r="C43" s="113"/>
      <c r="D43" s="184"/>
      <c r="E43" s="184"/>
      <c r="F43" s="113"/>
      <c r="G43" s="113"/>
      <c r="H43" s="113"/>
      <c r="I43" s="113"/>
      <c r="J43" s="113"/>
      <c r="L43" s="113"/>
      <c r="M43" s="113"/>
    </row>
    <row r="44" spans="3:13" ht="25.8">
      <c r="C44" s="113"/>
      <c r="D44" s="184"/>
      <c r="E44" s="184"/>
      <c r="F44" s="113"/>
      <c r="G44" s="113"/>
      <c r="H44" s="113"/>
      <c r="I44" s="113"/>
      <c r="J44" s="113"/>
      <c r="L44" s="113"/>
      <c r="M44" s="113"/>
    </row>
    <row r="45" spans="3:13" ht="25.8">
      <c r="C45" s="113"/>
      <c r="D45" s="184"/>
      <c r="E45" s="184"/>
      <c r="F45" s="113"/>
      <c r="G45" s="113"/>
      <c r="H45" s="113"/>
      <c r="I45" s="113"/>
      <c r="J45" s="113"/>
      <c r="L45" s="113"/>
      <c r="M45" s="113"/>
    </row>
    <row r="46" spans="3:13" ht="25.8">
      <c r="C46" s="113"/>
      <c r="D46" s="184"/>
      <c r="E46" s="184"/>
      <c r="F46" s="113"/>
      <c r="G46" s="113"/>
      <c r="H46" s="113"/>
      <c r="I46" s="113"/>
      <c r="J46" s="113"/>
      <c r="L46" s="113"/>
      <c r="M46" s="113"/>
    </row>
    <row r="47" spans="3:13" ht="25.8">
      <c r="C47" s="113"/>
      <c r="D47" s="184"/>
      <c r="E47" s="184"/>
      <c r="F47" s="113"/>
      <c r="G47" s="113"/>
      <c r="H47" s="113"/>
      <c r="I47" s="113"/>
      <c r="J47" s="113"/>
      <c r="L47" s="113"/>
      <c r="M47" s="113"/>
    </row>
    <row r="48" spans="3:13" ht="25.8">
      <c r="C48" s="113"/>
      <c r="D48" s="184"/>
      <c r="E48" s="184"/>
      <c r="F48" s="113"/>
      <c r="G48" s="113"/>
      <c r="H48" s="113"/>
      <c r="I48" s="113"/>
      <c r="J48" s="113"/>
      <c r="L48" s="113"/>
      <c r="M48" s="113"/>
    </row>
    <row r="49" spans="3:13" ht="25.8">
      <c r="C49" s="113"/>
      <c r="D49" s="185"/>
      <c r="E49" s="185"/>
      <c r="F49" s="113"/>
      <c r="G49" s="113"/>
      <c r="H49" s="113"/>
      <c r="I49" s="113"/>
      <c r="J49" s="113"/>
      <c r="L49" s="113"/>
      <c r="M49" s="113"/>
    </row>
  </sheetData>
  <mergeCells count="5">
    <mergeCell ref="C2:J4"/>
    <mergeCell ref="L3:M4"/>
    <mergeCell ref="C5:J5"/>
    <mergeCell ref="E7:E49"/>
    <mergeCell ref="D7:D49"/>
  </mergeCells>
  <conditionalFormatting sqref="F7:F37">
    <cfRule type="containsText" dxfId="93" priority="6" operator="containsText" text="Light Blue">
      <formula>NOT(ISERROR(SEARCH("Light Blue",F7)))</formula>
    </cfRule>
    <cfRule type="containsText" dxfId="92" priority="16" operator="containsText" text="Orange">
      <formula>NOT(ISERROR(SEARCH("Orange",F7)))</formula>
    </cfRule>
    <cfRule type="containsText" dxfId="91" priority="17" operator="containsText" text="Purple">
      <formula>NOT(ISERROR(SEARCH("Purple",F7)))</formula>
    </cfRule>
  </conditionalFormatting>
  <conditionalFormatting sqref="F7:F37">
    <cfRule type="containsText" dxfId="90" priority="4" operator="containsText" text="Light Blue">
      <formula>NOT(ISERROR(SEARCH("Light Blue",F7)))</formula>
    </cfRule>
    <cfRule type="containsText" dxfId="89" priority="7" operator="containsText" text="Dark Blue">
      <formula>NOT(ISERROR(SEARCH("Dark Blue",F7)))</formula>
    </cfRule>
    <cfRule type="containsText" dxfId="88" priority="8" operator="containsText" text="Blue">
      <formula>NOT(ISERROR(SEARCH("Blue",F7)))</formula>
    </cfRule>
    <cfRule type="containsText" dxfId="87" priority="9" operator="containsText" text="Yellow">
      <formula>NOT(ISERROR(SEARCH("Yellow",F7)))</formula>
    </cfRule>
    <cfRule type="containsText" dxfId="86" priority="10" operator="containsText" text="Light Blue">
      <formula>NOT(ISERROR(SEARCH("Light Blue",F7)))</formula>
    </cfRule>
    <cfRule type="containsText" dxfId="85" priority="11" operator="containsText" text="Dark Green">
      <formula>NOT(ISERROR(SEARCH("Dark Green",F7)))</formula>
    </cfRule>
    <cfRule type="containsText" dxfId="84" priority="12" operator="containsText" text="Brown">
      <formula>NOT(ISERROR(SEARCH("Brown",F7)))</formula>
    </cfRule>
    <cfRule type="containsText" dxfId="83" priority="13" operator="containsText" text="Green">
      <formula>NOT(ISERROR(SEARCH("Green",F7)))</formula>
    </cfRule>
    <cfRule type="containsText" dxfId="82" priority="14" operator="containsText" text="Red">
      <formula>NOT(ISERROR(SEARCH("Red",F7)))</formula>
    </cfRule>
    <cfRule type="containsText" dxfId="81" priority="15" operator="containsText" text="Gray">
      <formula>NOT(ISERROR(SEARCH("Gray",F7)))</formula>
    </cfRule>
  </conditionalFormatting>
  <conditionalFormatting sqref="F8">
    <cfRule type="containsText" dxfId="80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79" priority="3" operator="containsText" text="wHITE">
      <formula>NOT(ISERROR(SEARCH("wHITE",F19)))</formula>
    </cfRule>
  </conditionalFormatting>
  <conditionalFormatting sqref="F7:F37">
    <cfRule type="containsText" dxfId="78" priority="1" operator="containsText" text="White">
      <formula>NOT(ISERROR(SEARCH("White",F7)))</formula>
    </cfRule>
  </conditionalFormatting>
  <dataValidations count="4">
    <dataValidation type="list" allowBlank="1" showInputMessage="1" showErrorMessage="1" sqref="G1:G1048576" xr:uid="{00000000-0002-0000-0100-000000000000}">
      <formula1>"(75*9),(75*13),(70*45)"</formula1>
    </dataValidation>
    <dataValidation type="list" allowBlank="1" showInputMessage="1" showErrorMessage="1" sqref="F1:F1048576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55"/>
  <sheetViews>
    <sheetView tabSelected="1" topLeftCell="A36" zoomScale="70" zoomScaleNormal="70" workbookViewId="0">
      <selection activeCell="M52" sqref="M52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4" customWidth="1"/>
    <col min="10" max="10" width="42.33203125" style="34" customWidth="1"/>
    <col min="12" max="13" width="16.6640625" customWidth="1"/>
  </cols>
  <sheetData>
    <row r="1" spans="3:13" ht="15" thickBot="1"/>
    <row r="2" spans="3:13" ht="26.4" thickBot="1">
      <c r="C2" s="207" t="s">
        <v>6</v>
      </c>
      <c r="D2" s="208"/>
      <c r="E2" s="208"/>
      <c r="F2" s="208"/>
      <c r="G2" s="208"/>
      <c r="H2" s="208"/>
      <c r="I2" s="208"/>
      <c r="J2" s="209"/>
      <c r="K2" s="1"/>
    </row>
    <row r="3" spans="3:13" ht="27.75" customHeight="1" thickBot="1">
      <c r="C3" s="210"/>
      <c r="D3" s="211"/>
      <c r="E3" s="211"/>
      <c r="F3" s="211"/>
      <c r="G3" s="211"/>
      <c r="H3" s="211"/>
      <c r="I3" s="211"/>
      <c r="J3" s="212"/>
      <c r="K3" s="1"/>
      <c r="L3" s="176" t="s">
        <v>16</v>
      </c>
      <c r="M3" s="177"/>
    </row>
    <row r="4" spans="3:13" ht="27.75" customHeight="1" thickTop="1" thickBot="1">
      <c r="C4" s="213"/>
      <c r="D4" s="214"/>
      <c r="E4" s="214"/>
      <c r="F4" s="214"/>
      <c r="G4" s="214"/>
      <c r="H4" s="214"/>
      <c r="I4" s="214"/>
      <c r="J4" s="215"/>
      <c r="K4" s="1"/>
      <c r="L4" s="178"/>
      <c r="M4" s="179"/>
    </row>
    <row r="5" spans="3:13" ht="26.4" thickBot="1">
      <c r="C5" s="180"/>
      <c r="D5" s="181"/>
      <c r="E5" s="181"/>
      <c r="F5" s="181"/>
      <c r="G5" s="181"/>
      <c r="H5" s="181"/>
      <c r="I5" s="181"/>
      <c r="J5" s="182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8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3" t="s">
        <v>18</v>
      </c>
      <c r="E7" s="183" t="s">
        <v>5</v>
      </c>
      <c r="F7" s="37" t="s">
        <v>56</v>
      </c>
      <c r="G7" s="11" t="s">
        <v>57</v>
      </c>
      <c r="H7" s="11"/>
      <c r="I7" s="22">
        <v>7591</v>
      </c>
      <c r="J7" s="22">
        <v>7591</v>
      </c>
      <c r="K7" s="1"/>
      <c r="L7" s="11"/>
      <c r="M7" s="11"/>
    </row>
    <row r="8" spans="3:13" ht="26.4" thickBot="1">
      <c r="C8" s="118">
        <v>46143</v>
      </c>
      <c r="D8" s="184"/>
      <c r="E8" s="184"/>
      <c r="F8" s="21" t="s">
        <v>24</v>
      </c>
      <c r="G8" s="11" t="s">
        <v>29</v>
      </c>
      <c r="H8" s="11"/>
      <c r="I8" s="22">
        <v>6945</v>
      </c>
      <c r="J8" s="22">
        <v>6945</v>
      </c>
      <c r="K8" s="1"/>
      <c r="L8" s="11"/>
      <c r="M8" s="11"/>
    </row>
    <row r="9" spans="3:13" ht="26.4" thickBot="1">
      <c r="C9" s="118">
        <v>46143</v>
      </c>
      <c r="D9" s="184"/>
      <c r="E9" s="184"/>
      <c r="F9" s="10" t="s">
        <v>58</v>
      </c>
      <c r="G9" s="11" t="s">
        <v>57</v>
      </c>
      <c r="H9" s="11"/>
      <c r="I9" s="22">
        <v>7450</v>
      </c>
      <c r="J9" s="22">
        <v>7450</v>
      </c>
      <c r="K9" s="1"/>
      <c r="L9" s="11"/>
      <c r="M9" s="13"/>
    </row>
    <row r="10" spans="3:13" ht="26.4" thickBot="1">
      <c r="C10" s="118">
        <v>46143</v>
      </c>
      <c r="D10" s="184"/>
      <c r="E10" s="184"/>
      <c r="F10" s="8" t="s">
        <v>37</v>
      </c>
      <c r="G10" s="11" t="s">
        <v>29</v>
      </c>
      <c r="H10" s="11"/>
      <c r="I10" s="22">
        <v>20729</v>
      </c>
      <c r="J10" s="22">
        <v>20729</v>
      </c>
      <c r="K10" s="1"/>
      <c r="L10" s="11"/>
      <c r="M10" s="11"/>
    </row>
    <row r="11" spans="3:13" ht="26.4" thickBot="1">
      <c r="C11" s="118">
        <v>46143</v>
      </c>
      <c r="D11" s="184"/>
      <c r="E11" s="184"/>
      <c r="F11" s="8" t="s">
        <v>36</v>
      </c>
      <c r="G11" s="11" t="s">
        <v>29</v>
      </c>
      <c r="H11" s="11"/>
      <c r="I11" s="22">
        <v>24013</v>
      </c>
      <c r="J11" s="22">
        <v>24013</v>
      </c>
      <c r="K11" s="1"/>
      <c r="L11" s="11"/>
      <c r="M11" s="11"/>
    </row>
    <row r="12" spans="3:13" ht="26.4" thickBot="1">
      <c r="C12" s="118">
        <v>46143</v>
      </c>
      <c r="D12" s="184"/>
      <c r="E12" s="184"/>
      <c r="F12" s="8" t="s">
        <v>59</v>
      </c>
      <c r="G12" s="11"/>
      <c r="H12" s="11"/>
      <c r="I12" s="22">
        <v>13993</v>
      </c>
      <c r="J12" s="22">
        <v>13993</v>
      </c>
      <c r="K12" s="1"/>
      <c r="L12" s="11"/>
      <c r="M12" s="11"/>
    </row>
    <row r="13" spans="3:13" ht="26.4" thickBot="1">
      <c r="C13" s="118">
        <v>46143</v>
      </c>
      <c r="D13" s="184"/>
      <c r="E13" s="184"/>
      <c r="F13" s="21" t="s">
        <v>42</v>
      </c>
      <c r="G13" s="11"/>
      <c r="H13" s="11"/>
      <c r="I13" s="22">
        <v>5516</v>
      </c>
      <c r="J13" s="22">
        <v>5516</v>
      </c>
      <c r="K13" s="1"/>
      <c r="L13" s="11"/>
      <c r="M13" s="11"/>
    </row>
    <row r="14" spans="3:13" ht="26.4" thickBot="1">
      <c r="C14" s="46"/>
      <c r="D14" s="184"/>
      <c r="E14" s="184"/>
      <c r="F14" s="55"/>
      <c r="G14" s="47"/>
      <c r="H14" s="47"/>
      <c r="I14" s="56"/>
      <c r="J14" s="56"/>
      <c r="K14" s="36"/>
      <c r="L14" s="47"/>
      <c r="M14" s="47"/>
    </row>
    <row r="15" spans="3:13" ht="26.4" thickBot="1">
      <c r="C15" s="12">
        <v>46144</v>
      </c>
      <c r="D15" s="184"/>
      <c r="E15" s="184"/>
      <c r="F15" s="10" t="s">
        <v>59</v>
      </c>
      <c r="G15" s="11"/>
      <c r="H15" s="11" t="s">
        <v>66</v>
      </c>
      <c r="I15" s="22">
        <v>13978</v>
      </c>
      <c r="J15" s="22">
        <v>13888</v>
      </c>
      <c r="K15" s="1"/>
      <c r="L15" s="11"/>
      <c r="M15" s="11"/>
    </row>
    <row r="16" spans="3:13" ht="26.4" thickBot="1">
      <c r="C16" s="46"/>
      <c r="D16" s="184"/>
      <c r="E16" s="184"/>
      <c r="F16" s="55"/>
      <c r="G16" s="47"/>
      <c r="H16" s="47"/>
      <c r="I16" s="56"/>
      <c r="J16" s="56"/>
      <c r="K16" s="1"/>
      <c r="L16" s="11"/>
      <c r="M16" s="11"/>
    </row>
    <row r="17" spans="3:13" ht="26.4" thickBot="1">
      <c r="C17" s="12">
        <v>46145</v>
      </c>
      <c r="D17" s="184"/>
      <c r="E17" s="184"/>
      <c r="F17" s="8" t="s">
        <v>59</v>
      </c>
      <c r="G17" s="11"/>
      <c r="H17" s="11" t="s">
        <v>66</v>
      </c>
      <c r="I17" s="22">
        <v>13888</v>
      </c>
      <c r="J17" s="22">
        <v>5888</v>
      </c>
      <c r="K17" s="1"/>
      <c r="L17" s="11"/>
      <c r="M17" s="11"/>
    </row>
    <row r="18" spans="3:13" ht="26.4" thickBot="1">
      <c r="C18" s="46"/>
      <c r="D18" s="184"/>
      <c r="E18" s="184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2">
        <v>46146</v>
      </c>
      <c r="D19" s="184"/>
      <c r="E19" s="184"/>
      <c r="F19" s="8"/>
      <c r="G19" s="11"/>
      <c r="H19" s="11"/>
      <c r="I19" s="22"/>
      <c r="J19" s="22"/>
      <c r="K19" s="1"/>
      <c r="L19" s="11"/>
      <c r="M19" s="11"/>
    </row>
    <row r="20" spans="3:13" ht="26.4" thickBot="1">
      <c r="C20" s="12">
        <v>46148</v>
      </c>
      <c r="D20" s="184"/>
      <c r="E20" s="184"/>
      <c r="F20" s="8" t="s">
        <v>59</v>
      </c>
      <c r="G20" s="11"/>
      <c r="H20" s="11" t="s">
        <v>66</v>
      </c>
      <c r="I20" s="22">
        <v>5888</v>
      </c>
      <c r="J20" s="22">
        <v>5828</v>
      </c>
      <c r="K20" s="1"/>
      <c r="L20" s="11"/>
      <c r="M20" s="11"/>
    </row>
    <row r="21" spans="3:13" ht="26.25" customHeight="1" thickBot="1">
      <c r="C21" s="118">
        <v>46149</v>
      </c>
      <c r="D21" s="184"/>
      <c r="E21" s="184"/>
      <c r="F21" s="10" t="s">
        <v>59</v>
      </c>
      <c r="G21" s="11"/>
      <c r="H21" s="11" t="s">
        <v>66</v>
      </c>
      <c r="I21" s="22">
        <v>5828</v>
      </c>
      <c r="J21" s="22">
        <v>5728</v>
      </c>
      <c r="K21" s="1"/>
      <c r="L21" s="11"/>
      <c r="M21" s="11"/>
    </row>
    <row r="22" spans="3:13" ht="26.25" customHeight="1" thickBot="1">
      <c r="C22" s="118">
        <v>46149</v>
      </c>
      <c r="D22" s="184"/>
      <c r="E22" s="184"/>
      <c r="F22" s="8" t="s">
        <v>59</v>
      </c>
      <c r="G22" s="11"/>
      <c r="H22" s="11" t="s">
        <v>66</v>
      </c>
      <c r="I22" s="22">
        <v>5728</v>
      </c>
      <c r="J22" s="22">
        <v>5722</v>
      </c>
      <c r="K22" s="1"/>
      <c r="L22" s="11"/>
      <c r="M22" s="11"/>
    </row>
    <row r="23" spans="3:13" ht="26.25" customHeight="1" thickBot="1">
      <c r="C23" s="118">
        <v>46149</v>
      </c>
      <c r="D23" s="184"/>
      <c r="E23" s="184"/>
      <c r="F23" s="8" t="s">
        <v>59</v>
      </c>
      <c r="G23" s="11"/>
      <c r="H23" s="11" t="s">
        <v>66</v>
      </c>
      <c r="I23" s="22">
        <v>5722</v>
      </c>
      <c r="J23" s="22">
        <v>5557</v>
      </c>
      <c r="K23" s="1"/>
      <c r="L23" s="11"/>
      <c r="M23" s="11"/>
    </row>
    <row r="24" spans="3:13" ht="26.25" customHeight="1" thickBot="1">
      <c r="C24" s="118">
        <v>46149</v>
      </c>
      <c r="D24" s="184"/>
      <c r="E24" s="184"/>
      <c r="F24" s="8" t="s">
        <v>59</v>
      </c>
      <c r="G24" s="11"/>
      <c r="H24" s="11" t="s">
        <v>66</v>
      </c>
      <c r="I24" s="22">
        <v>5557</v>
      </c>
      <c r="J24" s="22">
        <v>5517</v>
      </c>
      <c r="K24" s="1"/>
      <c r="L24" s="11"/>
      <c r="M24" s="11"/>
    </row>
    <row r="25" spans="3:13" ht="26.25" customHeight="1" thickBot="1">
      <c r="C25" s="118">
        <v>46149</v>
      </c>
      <c r="D25" s="184"/>
      <c r="E25" s="184"/>
      <c r="F25" s="8" t="s">
        <v>37</v>
      </c>
      <c r="G25" s="11"/>
      <c r="H25" s="11" t="s">
        <v>66</v>
      </c>
      <c r="I25" s="22">
        <v>20729</v>
      </c>
      <c r="J25" s="22">
        <v>20604</v>
      </c>
      <c r="K25" s="1"/>
      <c r="L25" s="11"/>
      <c r="M25" s="11"/>
    </row>
    <row r="26" spans="3:13" ht="26.25" customHeight="1" thickBot="1">
      <c r="C26" s="118">
        <v>46149</v>
      </c>
      <c r="D26" s="184"/>
      <c r="E26" s="184"/>
      <c r="F26" s="8" t="s">
        <v>37</v>
      </c>
      <c r="G26" s="11"/>
      <c r="H26" s="11" t="s">
        <v>66</v>
      </c>
      <c r="I26" s="22">
        <v>20604</v>
      </c>
      <c r="J26" s="22">
        <v>20591</v>
      </c>
      <c r="K26" s="1"/>
      <c r="L26" s="11"/>
      <c r="M26" s="11"/>
    </row>
    <row r="27" spans="3:13" ht="26.25" customHeight="1" thickBot="1">
      <c r="C27" s="118">
        <v>46149</v>
      </c>
      <c r="D27" s="184"/>
      <c r="E27" s="184"/>
      <c r="F27" s="8" t="s">
        <v>59</v>
      </c>
      <c r="G27" s="11"/>
      <c r="H27" s="11" t="s">
        <v>66</v>
      </c>
      <c r="I27" s="22">
        <v>5517</v>
      </c>
      <c r="J27" s="22">
        <v>5457</v>
      </c>
      <c r="K27" s="1"/>
      <c r="L27" s="11"/>
      <c r="M27" s="11"/>
    </row>
    <row r="28" spans="3:13" ht="26.25" customHeight="1" thickBot="1">
      <c r="C28" s="142">
        <v>46150</v>
      </c>
      <c r="D28" s="184"/>
      <c r="E28" s="184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84"/>
      <c r="E29" s="184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46152</v>
      </c>
      <c r="D30" s="184"/>
      <c r="E30" s="184"/>
      <c r="F30" s="64"/>
      <c r="G30" s="63"/>
      <c r="H30" s="63"/>
      <c r="I30" s="65"/>
      <c r="J30" s="65"/>
      <c r="K30" s="1"/>
      <c r="L30" s="63"/>
      <c r="M30" s="63"/>
    </row>
    <row r="31" spans="3:13" ht="26.25" customHeight="1" thickBot="1">
      <c r="C31" s="12">
        <v>46153</v>
      </c>
      <c r="D31" s="184"/>
      <c r="E31" s="184"/>
      <c r="F31" s="8" t="s">
        <v>42</v>
      </c>
      <c r="G31" s="11" t="s">
        <v>29</v>
      </c>
      <c r="H31" s="11" t="s">
        <v>66</v>
      </c>
      <c r="I31" s="22">
        <v>5516</v>
      </c>
      <c r="J31" s="22">
        <v>5450</v>
      </c>
      <c r="K31" s="1"/>
      <c r="L31" s="11"/>
      <c r="M31" s="11"/>
    </row>
    <row r="32" spans="3:13" ht="26.25" customHeight="1" thickBot="1">
      <c r="C32" s="12">
        <v>46153</v>
      </c>
      <c r="D32" s="184"/>
      <c r="E32" s="184"/>
      <c r="F32" s="8" t="s">
        <v>24</v>
      </c>
      <c r="G32" s="11" t="s">
        <v>29</v>
      </c>
      <c r="H32" s="11" t="s">
        <v>66</v>
      </c>
      <c r="I32" s="22">
        <v>6945</v>
      </c>
      <c r="J32" s="22">
        <v>6865</v>
      </c>
      <c r="K32" s="1"/>
      <c r="L32" s="11"/>
      <c r="M32" s="11"/>
    </row>
    <row r="33" spans="3:13" ht="26.25" customHeight="1" thickBot="1">
      <c r="C33" s="12">
        <v>46153</v>
      </c>
      <c r="D33" s="184"/>
      <c r="E33" s="184"/>
      <c r="F33" s="8" t="s">
        <v>59</v>
      </c>
      <c r="G33" s="11"/>
      <c r="H33" s="11" t="s">
        <v>66</v>
      </c>
      <c r="I33" s="22">
        <v>5457</v>
      </c>
      <c r="J33" s="22">
        <v>5429</v>
      </c>
      <c r="K33" s="1"/>
      <c r="L33" s="11"/>
      <c r="M33" s="11"/>
    </row>
    <row r="34" spans="3:13" ht="26.25" customHeight="1" thickBot="1">
      <c r="C34" s="12">
        <v>46154</v>
      </c>
      <c r="D34" s="184"/>
      <c r="E34" s="184"/>
      <c r="F34" s="8" t="s">
        <v>24</v>
      </c>
      <c r="G34" s="11" t="s">
        <v>29</v>
      </c>
      <c r="H34" s="11" t="s">
        <v>66</v>
      </c>
      <c r="I34" s="22">
        <v>6865</v>
      </c>
      <c r="J34" s="22">
        <v>6860</v>
      </c>
      <c r="K34" s="1"/>
      <c r="L34" s="11"/>
      <c r="M34" s="11"/>
    </row>
    <row r="35" spans="3:13" ht="26.25" customHeight="1" thickBot="1">
      <c r="C35" s="12">
        <v>46154</v>
      </c>
      <c r="D35" s="184"/>
      <c r="E35" s="184"/>
      <c r="F35" s="21" t="s">
        <v>56</v>
      </c>
      <c r="G35" s="11" t="s">
        <v>57</v>
      </c>
      <c r="H35" s="11" t="s">
        <v>66</v>
      </c>
      <c r="I35" s="22">
        <v>7591</v>
      </c>
      <c r="J35" s="22">
        <v>7466</v>
      </c>
      <c r="K35" s="1"/>
      <c r="L35" s="11"/>
      <c r="M35" s="11"/>
    </row>
    <row r="36" spans="3:13" ht="26.25" customHeight="1" thickBot="1">
      <c r="C36" s="12">
        <v>46154</v>
      </c>
      <c r="D36" s="184"/>
      <c r="E36" s="184"/>
      <c r="F36" s="8" t="s">
        <v>37</v>
      </c>
      <c r="G36" s="11" t="s">
        <v>29</v>
      </c>
      <c r="H36" s="11" t="s">
        <v>66</v>
      </c>
      <c r="I36" s="22">
        <v>20591</v>
      </c>
      <c r="J36" s="22">
        <v>20506</v>
      </c>
      <c r="K36" s="1"/>
      <c r="L36" s="11"/>
      <c r="M36" s="11"/>
    </row>
    <row r="37" spans="3:13" ht="26.25" customHeight="1" thickBot="1">
      <c r="C37" s="118">
        <v>46154</v>
      </c>
      <c r="D37" s="184"/>
      <c r="E37" s="184"/>
      <c r="F37" s="150" t="s">
        <v>24</v>
      </c>
      <c r="G37" s="54" t="s">
        <v>29</v>
      </c>
      <c r="H37" s="54" t="s">
        <v>66</v>
      </c>
      <c r="I37" s="151">
        <v>6860</v>
      </c>
      <c r="J37" s="151">
        <v>6857</v>
      </c>
      <c r="K37" s="1"/>
      <c r="L37" s="152"/>
      <c r="M37" s="54"/>
    </row>
    <row r="38" spans="3:13" ht="26.4" thickBot="1">
      <c r="C38" s="118">
        <v>46154</v>
      </c>
      <c r="D38" s="184"/>
      <c r="E38" s="184"/>
      <c r="F38" s="113" t="s">
        <v>59</v>
      </c>
      <c r="G38" s="113"/>
      <c r="H38" s="54" t="s">
        <v>66</v>
      </c>
      <c r="I38" s="115">
        <v>5429</v>
      </c>
      <c r="J38" s="115">
        <v>5417</v>
      </c>
      <c r="L38" s="113"/>
      <c r="M38" s="113"/>
    </row>
    <row r="39" spans="3:13" ht="26.4" thickBot="1">
      <c r="C39" s="118">
        <v>46155</v>
      </c>
      <c r="D39" s="184"/>
      <c r="E39" s="184"/>
      <c r="F39" s="113" t="s">
        <v>59</v>
      </c>
      <c r="G39" s="113"/>
      <c r="H39" s="54" t="s">
        <v>66</v>
      </c>
      <c r="I39" s="115">
        <v>5417</v>
      </c>
      <c r="J39" s="115">
        <v>5393</v>
      </c>
      <c r="L39" s="113"/>
      <c r="M39" s="113"/>
    </row>
    <row r="40" spans="3:13" ht="26.4" thickBot="1">
      <c r="C40" s="118">
        <v>46155</v>
      </c>
      <c r="D40" s="184"/>
      <c r="E40" s="184"/>
      <c r="F40" s="113" t="s">
        <v>37</v>
      </c>
      <c r="G40" s="113" t="s">
        <v>29</v>
      </c>
      <c r="H40" s="54" t="s">
        <v>66</v>
      </c>
      <c r="I40" s="115">
        <v>20506</v>
      </c>
      <c r="J40" s="115">
        <v>20421</v>
      </c>
      <c r="L40" s="113"/>
      <c r="M40" s="113"/>
    </row>
    <row r="41" spans="3:13" ht="26.4" thickBot="1">
      <c r="C41" s="118">
        <v>46155</v>
      </c>
      <c r="D41" s="184"/>
      <c r="E41" s="184"/>
      <c r="F41" s="113" t="s">
        <v>24</v>
      </c>
      <c r="G41" s="113" t="s">
        <v>29</v>
      </c>
      <c r="H41" s="54" t="s">
        <v>66</v>
      </c>
      <c r="I41" s="115">
        <v>6857</v>
      </c>
      <c r="J41" s="115">
        <v>6612</v>
      </c>
      <c r="L41" s="113"/>
      <c r="M41" s="113"/>
    </row>
    <row r="42" spans="3:13" ht="26.4" thickBot="1">
      <c r="C42" s="118">
        <v>46155</v>
      </c>
      <c r="D42" s="184"/>
      <c r="E42" s="184"/>
      <c r="F42" s="113" t="s">
        <v>42</v>
      </c>
      <c r="G42" s="113"/>
      <c r="H42" s="54" t="s">
        <v>66</v>
      </c>
      <c r="I42" s="115">
        <v>5450</v>
      </c>
      <c r="J42" s="115">
        <v>5405</v>
      </c>
      <c r="L42" s="113"/>
      <c r="M42" s="113"/>
    </row>
    <row r="43" spans="3:13" ht="26.4" thickBot="1">
      <c r="C43" s="118">
        <v>46156</v>
      </c>
      <c r="D43" s="184"/>
      <c r="E43" s="184"/>
      <c r="F43" s="113" t="s">
        <v>59</v>
      </c>
      <c r="G43" s="113"/>
      <c r="H43" s="54" t="s">
        <v>66</v>
      </c>
      <c r="I43" s="115">
        <v>5393</v>
      </c>
      <c r="J43" s="115">
        <v>5381</v>
      </c>
      <c r="L43" s="113"/>
      <c r="M43" s="113"/>
    </row>
    <row r="44" spans="3:13" ht="26.4" thickBot="1">
      <c r="C44" s="118">
        <v>46156</v>
      </c>
      <c r="D44" s="184"/>
      <c r="E44" s="184"/>
      <c r="F44" s="113" t="s">
        <v>59</v>
      </c>
      <c r="G44" s="113"/>
      <c r="H44" s="54" t="s">
        <v>66</v>
      </c>
      <c r="I44" s="115">
        <v>5381</v>
      </c>
      <c r="J44" s="115">
        <v>5366</v>
      </c>
      <c r="L44" s="113"/>
      <c r="M44" s="113"/>
    </row>
    <row r="45" spans="3:13" ht="26.4" thickBot="1">
      <c r="C45" s="118">
        <v>46156</v>
      </c>
      <c r="D45" s="184"/>
      <c r="E45" s="184"/>
      <c r="F45" s="113" t="s">
        <v>24</v>
      </c>
      <c r="G45" s="113" t="s">
        <v>29</v>
      </c>
      <c r="H45" s="54" t="s">
        <v>66</v>
      </c>
      <c r="I45" s="115">
        <v>6612</v>
      </c>
      <c r="J45" s="115">
        <v>6527</v>
      </c>
      <c r="L45" s="113"/>
      <c r="M45" s="113"/>
    </row>
    <row r="46" spans="3:13" ht="26.4" thickBot="1">
      <c r="C46" s="118">
        <v>46156</v>
      </c>
      <c r="D46" s="184"/>
      <c r="E46" s="184"/>
      <c r="F46" s="113" t="s">
        <v>59</v>
      </c>
      <c r="G46" s="113"/>
      <c r="H46" s="54" t="s">
        <v>66</v>
      </c>
      <c r="I46" s="115">
        <v>5366</v>
      </c>
      <c r="J46" s="115">
        <v>5358</v>
      </c>
      <c r="L46" s="113"/>
      <c r="M46" s="113"/>
    </row>
    <row r="47" spans="3:13" ht="26.4" thickBot="1">
      <c r="C47" s="292">
        <v>46157</v>
      </c>
      <c r="D47" s="184"/>
      <c r="E47" s="184"/>
      <c r="F47" s="293"/>
      <c r="G47" s="293"/>
      <c r="H47" s="293"/>
      <c r="I47" s="294"/>
      <c r="J47" s="294"/>
      <c r="L47" s="162"/>
      <c r="M47" s="162"/>
    </row>
    <row r="48" spans="3:13" ht="26.4" thickBot="1">
      <c r="C48" s="118">
        <v>46158</v>
      </c>
      <c r="D48" s="184"/>
      <c r="E48" s="184"/>
      <c r="F48" s="113" t="s">
        <v>24</v>
      </c>
      <c r="G48" s="113" t="s">
        <v>29</v>
      </c>
      <c r="H48" s="54" t="s">
        <v>66</v>
      </c>
      <c r="I48" s="115">
        <v>6527</v>
      </c>
      <c r="J48" s="115">
        <v>6482</v>
      </c>
      <c r="L48" s="113"/>
      <c r="M48" s="113"/>
    </row>
    <row r="49" spans="3:13" ht="26.4" thickBot="1">
      <c r="C49" s="292">
        <v>46159</v>
      </c>
      <c r="D49" s="184"/>
      <c r="E49" s="184"/>
      <c r="F49" s="162"/>
      <c r="G49" s="162"/>
      <c r="H49" s="162"/>
      <c r="I49" s="163"/>
      <c r="J49" s="163"/>
      <c r="L49" s="162"/>
      <c r="M49" s="162"/>
    </row>
    <row r="50" spans="3:13" ht="26.4" thickBot="1">
      <c r="C50" s="118">
        <v>46160</v>
      </c>
      <c r="D50" s="184"/>
      <c r="E50" s="184"/>
      <c r="F50" s="113" t="s">
        <v>42</v>
      </c>
      <c r="G50" s="113" t="s">
        <v>29</v>
      </c>
      <c r="H50" s="54" t="s">
        <v>66</v>
      </c>
      <c r="I50" s="115">
        <v>5405</v>
      </c>
      <c r="J50" s="115">
        <v>5394</v>
      </c>
      <c r="L50" s="113"/>
      <c r="M50" s="113"/>
    </row>
    <row r="51" spans="3:13" ht="25.8">
      <c r="C51" s="159"/>
      <c r="D51" s="184"/>
      <c r="E51" s="184"/>
      <c r="F51" s="113" t="s">
        <v>59</v>
      </c>
      <c r="G51" s="113" t="s">
        <v>29</v>
      </c>
      <c r="H51" s="54" t="s">
        <v>66</v>
      </c>
      <c r="I51" s="115">
        <v>5358</v>
      </c>
      <c r="J51" s="115">
        <v>5347</v>
      </c>
      <c r="L51" s="113"/>
      <c r="M51" s="113"/>
    </row>
    <row r="52" spans="3:13" ht="25.8">
      <c r="C52" s="159"/>
      <c r="D52" s="184"/>
      <c r="E52" s="184"/>
      <c r="F52" s="113"/>
      <c r="G52" s="113"/>
      <c r="H52" s="113"/>
      <c r="I52" s="115"/>
      <c r="J52" s="115"/>
      <c r="L52" s="113"/>
      <c r="M52" s="113"/>
    </row>
    <row r="53" spans="3:13" ht="25.8">
      <c r="C53" s="159"/>
      <c r="D53" s="184"/>
      <c r="E53" s="184"/>
      <c r="F53" s="113"/>
      <c r="G53" s="113"/>
      <c r="H53" s="113"/>
      <c r="I53" s="115"/>
      <c r="J53" s="115"/>
      <c r="L53" s="113"/>
      <c r="M53" s="113"/>
    </row>
    <row r="54" spans="3:13" ht="25.8">
      <c r="C54" s="159"/>
      <c r="D54" s="184"/>
      <c r="E54" s="184"/>
      <c r="F54" s="113"/>
      <c r="G54" s="113"/>
      <c r="H54" s="113"/>
      <c r="I54" s="115"/>
      <c r="J54" s="115"/>
      <c r="L54" s="113"/>
      <c r="M54" s="113"/>
    </row>
    <row r="55" spans="3:13" ht="25.8">
      <c r="C55" s="159"/>
      <c r="D55" s="185"/>
      <c r="E55" s="185"/>
      <c r="F55" s="113"/>
      <c r="G55" s="113"/>
      <c r="H55" s="113"/>
      <c r="I55" s="115"/>
      <c r="J55" s="115"/>
      <c r="L55" s="113"/>
      <c r="M55" s="113"/>
    </row>
  </sheetData>
  <mergeCells count="5">
    <mergeCell ref="C2:J4"/>
    <mergeCell ref="L3:M4"/>
    <mergeCell ref="C5:J5"/>
    <mergeCell ref="D7:D55"/>
    <mergeCell ref="E7:E55"/>
  </mergeCells>
  <conditionalFormatting sqref="F1:F1048576">
    <cfRule type="containsText" dxfId="77" priority="1" operator="containsText" text="White">
      <formula>NOT(ISERROR(SEARCH("White",F1)))</formula>
    </cfRule>
    <cfRule type="containsText" dxfId="76" priority="2" operator="containsText" text="Brown">
      <formula>NOT(ISERROR(SEARCH("Brown",F1)))</formula>
    </cfRule>
    <cfRule type="containsText" dxfId="75" priority="3" operator="containsText" text="Red">
      <formula>NOT(ISERROR(SEARCH("Red",F1)))</formula>
    </cfRule>
    <cfRule type="containsText" dxfId="74" priority="4" operator="containsText" text="Green">
      <formula>NOT(ISERROR(SEARCH("Green",F1)))</formula>
    </cfRule>
    <cfRule type="containsText" dxfId="73" priority="5" operator="containsText" text="Orange (10)">
      <formula>NOT(ISERROR(SEARCH("Orange (10)",F1)))</formula>
    </cfRule>
    <cfRule type="containsText" dxfId="72" priority="6" operator="containsText" text="Blue">
      <formula>NOT(ISERROR(SEARCH("Blue",F1)))</formula>
    </cfRule>
    <cfRule type="containsText" dxfId="71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" xr:uid="{00000000-0002-0000-0200-000000000000}">
      <formula1>"WithOut"</formula1>
    </dataValidation>
    <dataValidation type="list" allowBlank="1" showInputMessage="1" showErrorMessage="1" sqref="D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topLeftCell="A34" zoomScale="70" zoomScaleNormal="70" workbookViewId="0">
      <selection activeCell="F45" sqref="F4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16" t="s">
        <v>7</v>
      </c>
      <c r="D2" s="217"/>
      <c r="E2" s="217"/>
      <c r="F2" s="217"/>
      <c r="G2" s="217"/>
      <c r="H2" s="217"/>
      <c r="I2" s="217"/>
      <c r="J2" s="218"/>
      <c r="K2" s="1"/>
    </row>
    <row r="3" spans="3:13" ht="27.75" customHeight="1" thickBot="1">
      <c r="C3" s="219"/>
      <c r="D3" s="220"/>
      <c r="E3" s="220"/>
      <c r="F3" s="220"/>
      <c r="G3" s="220"/>
      <c r="H3" s="220"/>
      <c r="I3" s="220"/>
      <c r="J3" s="221"/>
      <c r="K3" s="1"/>
      <c r="L3" s="176" t="s">
        <v>16</v>
      </c>
      <c r="M3" s="177"/>
    </row>
    <row r="4" spans="3:13" ht="27.75" customHeight="1" thickTop="1" thickBot="1">
      <c r="C4" s="222"/>
      <c r="D4" s="223"/>
      <c r="E4" s="223"/>
      <c r="F4" s="223"/>
      <c r="G4" s="223"/>
      <c r="H4" s="223"/>
      <c r="I4" s="223"/>
      <c r="J4" s="224"/>
      <c r="K4" s="1"/>
      <c r="L4" s="178"/>
      <c r="M4" s="179"/>
    </row>
    <row r="5" spans="3:13" ht="26.4" thickBot="1">
      <c r="C5" s="180"/>
      <c r="D5" s="181"/>
      <c r="E5" s="181"/>
      <c r="F5" s="181"/>
      <c r="G5" s="181"/>
      <c r="H5" s="181"/>
      <c r="I5" s="181"/>
      <c r="J5" s="182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25" t="s">
        <v>18</v>
      </c>
      <c r="E7" s="225" t="s">
        <v>4</v>
      </c>
      <c r="F7" s="21" t="s">
        <v>46</v>
      </c>
      <c r="G7" s="11" t="s">
        <v>29</v>
      </c>
      <c r="H7" s="11"/>
      <c r="I7" s="22">
        <v>28240</v>
      </c>
      <c r="J7" s="22">
        <v>28240</v>
      </c>
      <c r="K7" s="1"/>
      <c r="L7" s="11"/>
      <c r="M7" s="11"/>
    </row>
    <row r="8" spans="3:13" ht="26.4" thickBot="1">
      <c r="C8" s="118">
        <v>46143</v>
      </c>
      <c r="D8" s="226"/>
      <c r="E8" s="226"/>
      <c r="F8" s="21" t="s">
        <v>47</v>
      </c>
      <c r="G8" s="11" t="s">
        <v>29</v>
      </c>
      <c r="H8" s="11"/>
      <c r="I8" s="22">
        <v>26500</v>
      </c>
      <c r="J8" s="22">
        <v>26500</v>
      </c>
      <c r="K8" s="1"/>
      <c r="L8" s="11"/>
      <c r="M8" s="11"/>
    </row>
    <row r="9" spans="3:13" ht="26.4" thickBot="1">
      <c r="C9" s="118">
        <v>46143</v>
      </c>
      <c r="D9" s="226"/>
      <c r="E9" s="226"/>
      <c r="F9" s="21" t="s">
        <v>48</v>
      </c>
      <c r="G9" s="11" t="s">
        <v>29</v>
      </c>
      <c r="H9" s="11"/>
      <c r="I9" s="22">
        <v>41665</v>
      </c>
      <c r="J9" s="22">
        <v>41660</v>
      </c>
      <c r="K9" s="1"/>
      <c r="L9" s="11"/>
      <c r="M9" s="13"/>
    </row>
    <row r="10" spans="3:13" ht="26.4" thickBot="1">
      <c r="C10" s="118">
        <v>46143</v>
      </c>
      <c r="D10" s="226"/>
      <c r="E10" s="226"/>
      <c r="F10" s="21" t="s">
        <v>50</v>
      </c>
      <c r="G10" s="11" t="s">
        <v>29</v>
      </c>
      <c r="H10" s="11"/>
      <c r="I10" s="22">
        <v>10786</v>
      </c>
      <c r="J10" s="22">
        <v>10786</v>
      </c>
      <c r="K10" s="1"/>
      <c r="L10" s="11"/>
      <c r="M10" s="11"/>
    </row>
    <row r="11" spans="3:13" ht="26.4" thickBot="1">
      <c r="C11" s="118">
        <v>46143</v>
      </c>
      <c r="D11" s="226"/>
      <c r="E11" s="226"/>
      <c r="F11" s="21" t="s">
        <v>49</v>
      </c>
      <c r="G11" s="11" t="s">
        <v>29</v>
      </c>
      <c r="H11" s="11"/>
      <c r="I11" s="22">
        <v>11219</v>
      </c>
      <c r="J11" s="22">
        <v>11219</v>
      </c>
      <c r="K11" s="1"/>
      <c r="L11" s="11"/>
      <c r="M11" s="11"/>
    </row>
    <row r="12" spans="3:13" ht="26.4" thickBot="1">
      <c r="C12" s="118">
        <v>46143</v>
      </c>
      <c r="D12" s="226"/>
      <c r="E12" s="226"/>
      <c r="F12" s="21" t="s">
        <v>51</v>
      </c>
      <c r="G12" s="11" t="s">
        <v>29</v>
      </c>
      <c r="H12" s="11"/>
      <c r="I12" s="22">
        <v>10090</v>
      </c>
      <c r="J12" s="22">
        <v>10090</v>
      </c>
      <c r="K12" s="1"/>
      <c r="L12" s="11"/>
      <c r="M12" s="11"/>
    </row>
    <row r="13" spans="3:13" ht="26.4" thickBot="1">
      <c r="C13" s="118">
        <v>46143</v>
      </c>
      <c r="D13" s="226"/>
      <c r="E13" s="226"/>
      <c r="F13" s="21" t="s">
        <v>52</v>
      </c>
      <c r="G13" s="11" t="s">
        <v>29</v>
      </c>
      <c r="H13" s="11"/>
      <c r="I13" s="22">
        <v>30933</v>
      </c>
      <c r="J13" s="22">
        <v>30933</v>
      </c>
      <c r="K13" s="1"/>
      <c r="L13" s="11"/>
      <c r="M13" s="11"/>
    </row>
    <row r="14" spans="3:13" ht="26.4" thickBot="1">
      <c r="C14" s="118">
        <v>46143</v>
      </c>
      <c r="D14" s="226"/>
      <c r="E14" s="226"/>
      <c r="F14" s="21" t="s">
        <v>54</v>
      </c>
      <c r="G14" s="11" t="s">
        <v>29</v>
      </c>
      <c r="H14" s="11"/>
      <c r="I14" s="22">
        <v>10095</v>
      </c>
      <c r="J14" s="22">
        <v>10095</v>
      </c>
      <c r="K14" s="1"/>
      <c r="L14" s="11"/>
      <c r="M14" s="11"/>
    </row>
    <row r="15" spans="3:13" ht="26.4" thickBot="1">
      <c r="C15" s="118">
        <v>46143</v>
      </c>
      <c r="D15" s="226"/>
      <c r="E15" s="226"/>
      <c r="F15" s="21" t="s">
        <v>55</v>
      </c>
      <c r="G15" s="11" t="s">
        <v>29</v>
      </c>
      <c r="H15" s="11"/>
      <c r="I15" s="22">
        <v>2918</v>
      </c>
      <c r="J15" s="22">
        <v>2918</v>
      </c>
      <c r="K15" s="1"/>
      <c r="L15" s="11"/>
      <c r="M15" s="11"/>
    </row>
    <row r="16" spans="3:13" ht="26.4" thickBot="1">
      <c r="C16" s="46"/>
      <c r="D16" s="226"/>
      <c r="E16" s="226"/>
      <c r="F16" s="44"/>
      <c r="G16" s="44"/>
      <c r="H16" s="44"/>
      <c r="I16" s="45"/>
      <c r="J16" s="45"/>
      <c r="K16" s="1"/>
      <c r="L16" s="47"/>
      <c r="M16" s="48"/>
    </row>
    <row r="17" spans="3:13" ht="26.4" thickBot="1">
      <c r="C17" s="12">
        <v>46144</v>
      </c>
      <c r="D17" s="226"/>
      <c r="E17" s="226"/>
      <c r="F17" s="21" t="s">
        <v>48</v>
      </c>
      <c r="G17" s="11" t="s">
        <v>29</v>
      </c>
      <c r="H17" s="11" t="s">
        <v>66</v>
      </c>
      <c r="I17" s="22">
        <v>41660</v>
      </c>
      <c r="J17" s="22">
        <v>41655</v>
      </c>
      <c r="K17" s="1"/>
      <c r="L17" s="11"/>
      <c r="M17" s="11"/>
    </row>
    <row r="18" spans="3:13" ht="26.4" thickBot="1">
      <c r="C18" s="46"/>
      <c r="D18" s="226"/>
      <c r="E18" s="226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42">
        <v>46145</v>
      </c>
      <c r="D19" s="226"/>
      <c r="E19" s="226"/>
      <c r="F19" s="64"/>
      <c r="G19" s="63"/>
      <c r="H19" s="63"/>
      <c r="I19" s="65"/>
      <c r="J19" s="65"/>
      <c r="K19" s="1"/>
      <c r="L19" s="63"/>
      <c r="M19" s="63"/>
    </row>
    <row r="20" spans="3:13" ht="26.4" thickBot="1">
      <c r="C20" s="46"/>
      <c r="D20" s="226"/>
      <c r="E20" s="226"/>
      <c r="F20" s="55"/>
      <c r="G20" s="47"/>
      <c r="H20" s="47"/>
      <c r="I20" s="56"/>
      <c r="J20" s="56"/>
      <c r="K20" s="1"/>
      <c r="L20" s="47"/>
      <c r="M20" s="47"/>
    </row>
    <row r="21" spans="3:13" ht="26.25" customHeight="1" thickBot="1">
      <c r="C21" s="118">
        <v>46146</v>
      </c>
      <c r="D21" s="226"/>
      <c r="E21" s="226"/>
      <c r="F21" s="21" t="s">
        <v>52</v>
      </c>
      <c r="G21" s="11" t="s">
        <v>29</v>
      </c>
      <c r="H21" s="11" t="s">
        <v>66</v>
      </c>
      <c r="I21" s="22">
        <v>30933</v>
      </c>
      <c r="J21" s="22">
        <v>30928</v>
      </c>
      <c r="K21" s="1"/>
      <c r="L21" s="11"/>
      <c r="M21" s="11"/>
    </row>
    <row r="22" spans="3:13" ht="26.25" customHeight="1" thickBot="1">
      <c r="C22" s="118">
        <v>46146</v>
      </c>
      <c r="D22" s="226"/>
      <c r="E22" s="226"/>
      <c r="F22" s="21" t="s">
        <v>49</v>
      </c>
      <c r="G22" s="11" t="s">
        <v>29</v>
      </c>
      <c r="H22" s="11" t="s">
        <v>66</v>
      </c>
      <c r="I22" s="22">
        <v>11219</v>
      </c>
      <c r="J22" s="22">
        <v>10009</v>
      </c>
      <c r="K22" s="1"/>
      <c r="L22" s="11"/>
      <c r="M22" s="11"/>
    </row>
    <row r="23" spans="3:13" ht="26.25" customHeight="1" thickBot="1">
      <c r="C23" s="118">
        <v>46146</v>
      </c>
      <c r="D23" s="226"/>
      <c r="E23" s="226"/>
      <c r="F23" s="21" t="s">
        <v>52</v>
      </c>
      <c r="G23" s="11" t="s">
        <v>29</v>
      </c>
      <c r="H23" s="11" t="s">
        <v>66</v>
      </c>
      <c r="I23" s="22">
        <v>30928</v>
      </c>
      <c r="J23" s="22">
        <v>30854</v>
      </c>
      <c r="K23" s="1"/>
      <c r="L23" s="11"/>
      <c r="M23" s="11"/>
    </row>
    <row r="24" spans="3:13" ht="26.25" customHeight="1" thickBot="1">
      <c r="C24" s="118">
        <v>46146</v>
      </c>
      <c r="D24" s="226"/>
      <c r="E24" s="226"/>
      <c r="F24" s="21" t="s">
        <v>52</v>
      </c>
      <c r="G24" s="11" t="s">
        <v>29</v>
      </c>
      <c r="H24" s="11" t="s">
        <v>66</v>
      </c>
      <c r="I24" s="22">
        <v>30854</v>
      </c>
      <c r="J24" s="22">
        <v>30829</v>
      </c>
      <c r="K24" s="1"/>
      <c r="L24" s="11"/>
      <c r="M24" s="11"/>
    </row>
    <row r="25" spans="3:13" ht="26.25" customHeight="1" thickBot="1">
      <c r="C25" s="118">
        <v>46146</v>
      </c>
      <c r="D25" s="226"/>
      <c r="E25" s="226"/>
      <c r="F25" s="21" t="s">
        <v>46</v>
      </c>
      <c r="G25" s="11" t="s">
        <v>29</v>
      </c>
      <c r="H25" s="11" t="s">
        <v>66</v>
      </c>
      <c r="I25" s="22">
        <v>28240</v>
      </c>
      <c r="J25" s="22">
        <v>28035</v>
      </c>
      <c r="K25" s="1"/>
      <c r="L25" s="11"/>
      <c r="M25" s="11"/>
    </row>
    <row r="26" spans="3:13" ht="26.25" customHeight="1" thickBot="1">
      <c r="C26" s="118">
        <v>46146</v>
      </c>
      <c r="D26" s="226"/>
      <c r="E26" s="226"/>
      <c r="F26" s="21" t="s">
        <v>52</v>
      </c>
      <c r="G26" s="11" t="s">
        <v>29</v>
      </c>
      <c r="H26" s="11" t="s">
        <v>66</v>
      </c>
      <c r="I26" s="22">
        <v>30829</v>
      </c>
      <c r="J26" s="22">
        <v>27224</v>
      </c>
      <c r="K26" s="1"/>
      <c r="L26" s="11"/>
      <c r="M26" s="11"/>
    </row>
    <row r="27" spans="3:13" ht="26.25" customHeight="1" thickBot="1">
      <c r="C27" s="118">
        <v>46146</v>
      </c>
      <c r="D27" s="226"/>
      <c r="E27" s="226"/>
      <c r="F27" s="21" t="s">
        <v>47</v>
      </c>
      <c r="G27" s="11" t="s">
        <v>29</v>
      </c>
      <c r="H27" s="11" t="s">
        <v>66</v>
      </c>
      <c r="I27" s="22">
        <v>26500</v>
      </c>
      <c r="J27" s="22">
        <v>25695</v>
      </c>
      <c r="K27" s="1"/>
      <c r="L27" s="11"/>
      <c r="M27" s="11"/>
    </row>
    <row r="28" spans="3:13" ht="26.25" customHeight="1" thickBot="1">
      <c r="C28" s="118">
        <v>46146</v>
      </c>
      <c r="D28" s="226"/>
      <c r="E28" s="226"/>
      <c r="F28" s="21" t="s">
        <v>54</v>
      </c>
      <c r="G28" s="11" t="s">
        <v>29</v>
      </c>
      <c r="H28" s="11" t="s">
        <v>66</v>
      </c>
      <c r="I28" s="22">
        <v>10095</v>
      </c>
      <c r="J28" s="22">
        <v>7890</v>
      </c>
      <c r="K28" s="1"/>
      <c r="L28" s="11"/>
      <c r="M28" s="11"/>
    </row>
    <row r="29" spans="3:13" ht="26.25" customHeight="1" thickBot="1">
      <c r="C29" s="118">
        <v>46146</v>
      </c>
      <c r="D29" s="226"/>
      <c r="E29" s="226"/>
      <c r="F29" s="21" t="s">
        <v>52</v>
      </c>
      <c r="G29" s="11" t="s">
        <v>29</v>
      </c>
      <c r="H29" s="11" t="s">
        <v>66</v>
      </c>
      <c r="I29" s="22">
        <v>27224</v>
      </c>
      <c r="J29" s="22">
        <v>27217</v>
      </c>
      <c r="K29" s="1"/>
      <c r="L29" s="11"/>
      <c r="M29" s="11"/>
    </row>
    <row r="30" spans="3:13" ht="26.25" customHeight="1" thickBot="1">
      <c r="C30" s="118">
        <v>46146</v>
      </c>
      <c r="D30" s="226"/>
      <c r="E30" s="226"/>
      <c r="F30" s="21" t="s">
        <v>52</v>
      </c>
      <c r="G30" s="11" t="s">
        <v>29</v>
      </c>
      <c r="H30" s="11" t="s">
        <v>66</v>
      </c>
      <c r="I30" s="22">
        <v>27217</v>
      </c>
      <c r="J30" s="22">
        <v>21212</v>
      </c>
      <c r="K30" s="1"/>
      <c r="L30" s="11"/>
      <c r="M30" s="13"/>
    </row>
    <row r="31" spans="3:13" ht="26.25" customHeight="1" thickBot="1">
      <c r="C31" s="118">
        <v>46146</v>
      </c>
      <c r="D31" s="226"/>
      <c r="E31" s="226"/>
      <c r="F31" s="21" t="s">
        <v>49</v>
      </c>
      <c r="G31" s="11" t="s">
        <v>29</v>
      </c>
      <c r="H31" s="11" t="s">
        <v>66</v>
      </c>
      <c r="I31" s="22">
        <v>10009</v>
      </c>
      <c r="J31" s="22">
        <v>8004</v>
      </c>
      <c r="K31" s="1"/>
      <c r="L31" s="11"/>
      <c r="M31" s="11"/>
    </row>
    <row r="32" spans="3:13" ht="26.25" customHeight="1" thickBot="1">
      <c r="C32" s="46"/>
      <c r="D32" s="226"/>
      <c r="E32" s="226"/>
      <c r="F32" s="55"/>
      <c r="G32" s="47"/>
      <c r="H32" s="47"/>
      <c r="I32" s="56"/>
      <c r="J32" s="56"/>
      <c r="K32" s="1"/>
      <c r="L32" s="47"/>
      <c r="M32" s="47"/>
    </row>
    <row r="33" spans="3:13" ht="26.25" customHeight="1" thickBot="1">
      <c r="C33" s="118">
        <v>46147</v>
      </c>
      <c r="D33" s="226"/>
      <c r="E33" s="226"/>
      <c r="F33" s="21" t="s">
        <v>52</v>
      </c>
      <c r="G33" s="11" t="s">
        <v>29</v>
      </c>
      <c r="H33" s="11" t="s">
        <v>66</v>
      </c>
      <c r="I33" s="22">
        <v>21212</v>
      </c>
      <c r="J33" s="22">
        <v>21187</v>
      </c>
      <c r="K33" s="1"/>
      <c r="L33" s="11"/>
      <c r="M33" s="11"/>
    </row>
    <row r="34" spans="3:13" ht="26.25" customHeight="1" thickBot="1">
      <c r="C34" s="118">
        <v>46147</v>
      </c>
      <c r="D34" s="226"/>
      <c r="E34" s="226"/>
      <c r="F34" s="21" t="s">
        <v>54</v>
      </c>
      <c r="G34" s="11" t="s">
        <v>29</v>
      </c>
      <c r="H34" s="11" t="s">
        <v>66</v>
      </c>
      <c r="I34" s="22">
        <v>7890</v>
      </c>
      <c r="J34" s="22">
        <v>7880</v>
      </c>
      <c r="K34" s="1"/>
      <c r="L34" s="11"/>
      <c r="M34" s="11"/>
    </row>
    <row r="35" spans="3:13" ht="26.25" customHeight="1" thickBot="1">
      <c r="C35" s="46"/>
      <c r="D35" s="226"/>
      <c r="E35" s="226"/>
      <c r="F35" s="55"/>
      <c r="G35" s="47"/>
      <c r="H35" s="47"/>
      <c r="I35" s="56"/>
      <c r="J35" s="56"/>
      <c r="K35" s="1"/>
      <c r="L35" s="55"/>
      <c r="M35" s="55"/>
    </row>
    <row r="36" spans="3:13" ht="26.25" customHeight="1" thickBot="1">
      <c r="C36" s="118">
        <v>46148</v>
      </c>
      <c r="D36" s="226"/>
      <c r="E36" s="226"/>
      <c r="F36" s="21" t="s">
        <v>54</v>
      </c>
      <c r="G36" s="11" t="s">
        <v>29</v>
      </c>
      <c r="H36" s="11" t="s">
        <v>66</v>
      </c>
      <c r="I36" s="22">
        <v>7880</v>
      </c>
      <c r="J36" s="22">
        <v>7799</v>
      </c>
      <c r="K36" s="1"/>
      <c r="L36" s="11"/>
      <c r="M36" s="11"/>
    </row>
    <row r="37" spans="3:13" ht="26.25" customHeight="1" thickBot="1">
      <c r="C37" s="118">
        <v>46148</v>
      </c>
      <c r="D37" s="226"/>
      <c r="E37" s="226"/>
      <c r="F37" s="85" t="s">
        <v>46</v>
      </c>
      <c r="G37" s="11" t="s">
        <v>29</v>
      </c>
      <c r="H37" s="11" t="s">
        <v>66</v>
      </c>
      <c r="I37" s="22">
        <v>28035</v>
      </c>
      <c r="J37" s="22">
        <v>28028</v>
      </c>
      <c r="K37" s="1"/>
      <c r="L37" s="11"/>
      <c r="M37" s="11"/>
    </row>
    <row r="38" spans="3:13" ht="26.25" customHeight="1" thickBot="1">
      <c r="C38" s="118">
        <v>46149</v>
      </c>
      <c r="D38" s="226"/>
      <c r="E38" s="226"/>
      <c r="F38" s="21" t="s">
        <v>50</v>
      </c>
      <c r="G38" s="11" t="s">
        <v>29</v>
      </c>
      <c r="H38" s="11" t="s">
        <v>66</v>
      </c>
      <c r="I38" s="81">
        <v>10786</v>
      </c>
      <c r="J38" s="82">
        <v>9181</v>
      </c>
      <c r="L38" s="80"/>
      <c r="M38" s="80"/>
    </row>
    <row r="39" spans="3:13" ht="26.25" customHeight="1" thickBot="1">
      <c r="C39" s="118">
        <v>46149</v>
      </c>
      <c r="D39" s="226"/>
      <c r="E39" s="226"/>
      <c r="F39" s="21" t="s">
        <v>46</v>
      </c>
      <c r="G39" s="11" t="s">
        <v>29</v>
      </c>
      <c r="H39" s="11" t="s">
        <v>66</v>
      </c>
      <c r="I39" s="81">
        <v>28028</v>
      </c>
      <c r="J39" s="82">
        <v>27023</v>
      </c>
      <c r="L39" s="80"/>
      <c r="M39" s="80"/>
    </row>
    <row r="40" spans="3:13" ht="26.25" customHeight="1" thickBot="1">
      <c r="C40" s="118">
        <v>46149</v>
      </c>
      <c r="D40" s="226"/>
      <c r="E40" s="226"/>
      <c r="F40" s="21" t="s">
        <v>54</v>
      </c>
      <c r="G40" s="11" t="s">
        <v>29</v>
      </c>
      <c r="H40" s="11" t="s">
        <v>66</v>
      </c>
      <c r="I40" s="81">
        <v>7799</v>
      </c>
      <c r="J40" s="82">
        <v>7194</v>
      </c>
      <c r="L40" s="80"/>
      <c r="M40" s="80"/>
    </row>
    <row r="41" spans="3:13" ht="26.25" customHeight="1" thickBot="1">
      <c r="C41" s="118">
        <v>46149</v>
      </c>
      <c r="D41" s="226"/>
      <c r="E41" s="226"/>
      <c r="F41" s="21" t="s">
        <v>50</v>
      </c>
      <c r="G41" s="11" t="s">
        <v>29</v>
      </c>
      <c r="H41" s="11" t="s">
        <v>66</v>
      </c>
      <c r="I41" s="81">
        <v>9181</v>
      </c>
      <c r="J41" s="82">
        <v>9176</v>
      </c>
      <c r="L41" s="80"/>
      <c r="M41" s="80"/>
    </row>
    <row r="42" spans="3:13" ht="26.25" customHeight="1" thickBot="1">
      <c r="C42" s="118">
        <v>46149</v>
      </c>
      <c r="D42" s="226"/>
      <c r="E42" s="226"/>
      <c r="F42" s="21" t="s">
        <v>46</v>
      </c>
      <c r="G42" s="11" t="s">
        <v>29</v>
      </c>
      <c r="H42" s="11" t="s">
        <v>66</v>
      </c>
      <c r="I42" s="81">
        <v>27023</v>
      </c>
      <c r="J42" s="82">
        <v>27016</v>
      </c>
      <c r="L42" s="80"/>
      <c r="M42" s="80"/>
    </row>
    <row r="43" spans="3:13" ht="26.25" customHeight="1" thickBot="1">
      <c r="C43" s="142">
        <v>46150</v>
      </c>
      <c r="D43" s="226"/>
      <c r="E43" s="226"/>
      <c r="F43" s="137"/>
      <c r="G43" s="137"/>
      <c r="H43" s="137"/>
      <c r="I43" s="137"/>
      <c r="J43" s="138"/>
      <c r="L43" s="139"/>
      <c r="M43" s="139"/>
    </row>
    <row r="44" spans="3:13" ht="26.25" customHeight="1" thickBot="1">
      <c r="C44" s="142">
        <v>46151</v>
      </c>
      <c r="D44" s="226"/>
      <c r="E44" s="226"/>
      <c r="F44" s="137"/>
      <c r="G44" s="137"/>
      <c r="H44" s="137"/>
      <c r="I44" s="137"/>
      <c r="J44" s="138"/>
      <c r="L44" s="139"/>
      <c r="M44" s="139"/>
    </row>
    <row r="45" spans="3:13" ht="26.25" customHeight="1" thickBot="1">
      <c r="C45" s="142">
        <v>46152</v>
      </c>
      <c r="D45" s="226"/>
      <c r="E45" s="226"/>
      <c r="F45" s="137"/>
      <c r="G45" s="137"/>
      <c r="H45" s="137"/>
      <c r="I45" s="137"/>
      <c r="J45" s="138"/>
      <c r="L45" s="139"/>
      <c r="M45" s="139"/>
    </row>
    <row r="46" spans="3:13" ht="26.25" customHeight="1" thickBot="1">
      <c r="C46" s="142">
        <v>46153</v>
      </c>
      <c r="D46" s="226"/>
      <c r="E46" s="226"/>
      <c r="F46" s="153"/>
      <c r="G46" s="153"/>
      <c r="H46" s="153"/>
      <c r="I46" s="153"/>
      <c r="J46" s="154"/>
      <c r="L46" s="155"/>
      <c r="M46" s="155"/>
    </row>
    <row r="47" spans="3:13" ht="26.25" customHeight="1" thickBot="1">
      <c r="C47" s="142">
        <v>46154</v>
      </c>
      <c r="D47" s="226"/>
      <c r="E47" s="226"/>
      <c r="F47" s="153"/>
      <c r="G47" s="153"/>
      <c r="H47" s="153"/>
      <c r="I47" s="153"/>
      <c r="J47" s="154"/>
      <c r="L47" s="155"/>
      <c r="M47" s="155"/>
    </row>
    <row r="48" spans="3:13" ht="26.25" customHeight="1" thickBot="1">
      <c r="C48" s="142">
        <v>46155</v>
      </c>
      <c r="D48" s="226"/>
      <c r="E48" s="226"/>
      <c r="F48" s="153"/>
      <c r="G48" s="153"/>
      <c r="H48" s="153"/>
      <c r="I48" s="153"/>
      <c r="J48" s="154"/>
      <c r="L48" s="155"/>
      <c r="M48" s="155"/>
    </row>
    <row r="49" spans="3:13" ht="26.25" customHeight="1" thickBot="1">
      <c r="C49" s="80"/>
      <c r="D49" s="226"/>
      <c r="E49" s="226"/>
      <c r="F49" s="81"/>
      <c r="G49" s="81"/>
      <c r="H49" s="81"/>
      <c r="I49" s="81"/>
      <c r="J49" s="82"/>
      <c r="L49" s="80"/>
      <c r="M49" s="80"/>
    </row>
    <row r="50" spans="3:13" ht="26.25" customHeight="1" thickBot="1">
      <c r="C50" s="80"/>
      <c r="D50" s="226"/>
      <c r="E50" s="226"/>
      <c r="F50" s="81"/>
      <c r="G50" s="81"/>
      <c r="H50" s="81"/>
      <c r="I50" s="81"/>
      <c r="J50" s="82"/>
    </row>
    <row r="51" spans="3:13" ht="26.25" customHeight="1" thickBot="1">
      <c r="C51" s="80"/>
      <c r="D51" s="226"/>
      <c r="E51" s="226"/>
      <c r="F51" s="81"/>
      <c r="G51" s="81"/>
      <c r="H51" s="81"/>
      <c r="I51" s="81"/>
      <c r="J51" s="82"/>
    </row>
    <row r="52" spans="3:13" ht="26.25" customHeight="1" thickBot="1">
      <c r="C52" s="80"/>
      <c r="D52" s="226"/>
      <c r="E52" s="226"/>
      <c r="F52" s="81"/>
      <c r="G52" s="81"/>
      <c r="H52" s="81"/>
      <c r="I52" s="81"/>
      <c r="J52" s="82"/>
    </row>
    <row r="53" spans="3:13" ht="26.25" customHeight="1" thickBot="1">
      <c r="C53" s="80"/>
      <c r="D53" s="226"/>
      <c r="E53" s="226"/>
      <c r="F53" s="81"/>
      <c r="G53" s="81"/>
      <c r="H53" s="81"/>
      <c r="I53" s="81"/>
      <c r="J53" s="82"/>
    </row>
    <row r="54" spans="3:13" ht="26.25" customHeight="1" thickBot="1">
      <c r="C54" s="80"/>
      <c r="D54" s="226"/>
      <c r="E54" s="226"/>
      <c r="F54" s="81"/>
      <c r="G54" s="81"/>
      <c r="H54" s="81"/>
      <c r="I54" s="81"/>
      <c r="J54" s="82"/>
    </row>
    <row r="55" spans="3:13" ht="26.25" customHeight="1" thickBot="1">
      <c r="C55" s="80"/>
      <c r="D55" s="226"/>
      <c r="E55" s="226"/>
      <c r="F55" s="81"/>
      <c r="G55" s="81"/>
      <c r="H55" s="81"/>
      <c r="I55" s="81"/>
      <c r="J55" s="82"/>
    </row>
    <row r="56" spans="3:13" ht="26.25" customHeight="1" thickBot="1">
      <c r="C56" s="80"/>
      <c r="D56" s="226"/>
      <c r="E56" s="226"/>
      <c r="F56" s="81"/>
      <c r="G56" s="81"/>
      <c r="H56" s="81"/>
      <c r="I56" s="81"/>
      <c r="J56" s="82"/>
    </row>
    <row r="57" spans="3:13" ht="26.25" customHeight="1" thickBot="1">
      <c r="C57" s="80"/>
      <c r="D57" s="226"/>
      <c r="E57" s="226"/>
      <c r="F57" s="81"/>
      <c r="G57" s="81"/>
      <c r="H57" s="81"/>
      <c r="I57" s="81"/>
      <c r="J57" s="82"/>
    </row>
    <row r="58" spans="3:13" ht="26.25" customHeight="1" thickBot="1">
      <c r="C58" s="80"/>
      <c r="D58" s="227"/>
      <c r="E58" s="227"/>
      <c r="F58" s="81"/>
      <c r="G58" s="81"/>
      <c r="H58" s="81"/>
      <c r="I58" s="81"/>
      <c r="J58" s="82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70" priority="1" operator="containsText" text="Red Popp">
      <formula>NOT(ISERROR(SEARCH("Red Popp",F1)))</formula>
    </cfRule>
    <cfRule type="containsText" dxfId="69" priority="2" operator="containsText" text="Purple Popp">
      <formula>NOT(ISERROR(SEARCH("Purple Popp",F1)))</formula>
    </cfRule>
    <cfRule type="containsText" dxfId="68" priority="3" operator="containsText" text="Purple (Fish)">
      <formula>NOT(ISERROR(SEARCH("Purple (Fish)",F1)))</formula>
    </cfRule>
    <cfRule type="containsText" dxfId="67" priority="4" operator="containsText" text="Blue Purple(1C)">
      <formula>NOT(ISERROR(SEARCH("Blue Purple(1C)",F1)))</formula>
    </cfRule>
    <cfRule type="containsText" dxfId="66" priority="5" operator="containsText" text="Purple Dark Blue(1B)">
      <formula>NOT(ISERROR(SEARCH("Purple Dark Blue(1B)",F1)))</formula>
    </cfRule>
    <cfRule type="containsText" dxfId="65" priority="6" operator="containsText" text="Blue Gray(1A)">
      <formula>NOT(ISERROR(SEARCH("Blue Gray(1A)",F1)))</formula>
    </cfRule>
    <cfRule type="containsText" dxfId="64" priority="7" operator="containsText" text="Blue Black(1H)">
      <formula>NOT(ISERROR(SEARCH("Blue Black(1H)",F1)))</formula>
    </cfRule>
    <cfRule type="containsText" dxfId="63" priority="8" operator="containsText" text="Red Dark Blue(1E)">
      <formula>NOT(ISERROR(SEARCH("Red Dark Blue(1E)",F1)))</formula>
    </cfRule>
    <cfRule type="containsText" dxfId="62" priority="9" operator="containsText" text="Blue Green(1J)">
      <formula>NOT(ISERROR(SEARCH("Blue Green(1J)",F1)))</formula>
    </cfRule>
    <cfRule type="containsText" dxfId="61" priority="10" operator="containsText" text="Red Black(1i)">
      <formula>NOT(ISERROR(SEARCH("Red Black(1i)",F1)))</formula>
    </cfRule>
    <cfRule type="containsText" dxfId="60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48"/>
  <sheetViews>
    <sheetView topLeftCell="A29" zoomScale="70" zoomScaleNormal="70" workbookViewId="0">
      <selection activeCell="M44" sqref="M4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167" t="s">
        <v>7</v>
      </c>
      <c r="D2" s="168"/>
      <c r="E2" s="168"/>
      <c r="F2" s="168"/>
      <c r="G2" s="168"/>
      <c r="H2" s="168"/>
      <c r="I2" s="168"/>
      <c r="J2" s="169"/>
      <c r="K2" s="1"/>
    </row>
    <row r="3" spans="3:13" ht="27.75" customHeight="1" thickBot="1">
      <c r="C3" s="170"/>
      <c r="D3" s="171"/>
      <c r="E3" s="171"/>
      <c r="F3" s="171"/>
      <c r="G3" s="171"/>
      <c r="H3" s="171"/>
      <c r="I3" s="171"/>
      <c r="J3" s="172"/>
      <c r="K3" s="1"/>
      <c r="L3" s="176" t="s">
        <v>16</v>
      </c>
      <c r="M3" s="177"/>
    </row>
    <row r="4" spans="3:13" ht="27.75" customHeight="1" thickTop="1" thickBot="1">
      <c r="C4" s="173"/>
      <c r="D4" s="174"/>
      <c r="E4" s="174"/>
      <c r="F4" s="174"/>
      <c r="G4" s="174"/>
      <c r="H4" s="174"/>
      <c r="I4" s="174"/>
      <c r="J4" s="175"/>
      <c r="K4" s="1"/>
      <c r="L4" s="178"/>
      <c r="M4" s="179"/>
    </row>
    <row r="5" spans="3:13" ht="26.4" thickBot="1">
      <c r="C5" s="180"/>
      <c r="D5" s="181"/>
      <c r="E5" s="181"/>
      <c r="F5" s="181"/>
      <c r="G5" s="181"/>
      <c r="H5" s="181"/>
      <c r="I5" s="181"/>
      <c r="J5" s="182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3" t="s">
        <v>18</v>
      </c>
      <c r="E7" s="183" t="s">
        <v>60</v>
      </c>
      <c r="F7" s="21" t="s">
        <v>61</v>
      </c>
      <c r="G7" s="11"/>
      <c r="H7" s="11" t="s">
        <v>63</v>
      </c>
      <c r="I7" s="22">
        <v>6208</v>
      </c>
      <c r="J7" s="22">
        <v>6208</v>
      </c>
      <c r="K7" s="1"/>
      <c r="L7" s="11"/>
      <c r="M7" s="11"/>
    </row>
    <row r="8" spans="3:13" ht="26.4" thickBot="1">
      <c r="C8" s="118">
        <v>46143</v>
      </c>
      <c r="D8" s="184"/>
      <c r="E8" s="184"/>
      <c r="F8" s="21" t="s">
        <v>64</v>
      </c>
      <c r="G8" s="11"/>
      <c r="H8" s="11" t="s">
        <v>63</v>
      </c>
      <c r="I8" s="22">
        <v>7150</v>
      </c>
      <c r="J8" s="22">
        <v>7150</v>
      </c>
      <c r="K8" s="1"/>
      <c r="L8" s="11"/>
      <c r="M8" s="11"/>
    </row>
    <row r="9" spans="3:13" ht="26.4" thickBot="1">
      <c r="C9" s="118">
        <v>46143</v>
      </c>
      <c r="D9" s="184"/>
      <c r="E9" s="184"/>
      <c r="F9" s="21" t="s">
        <v>65</v>
      </c>
      <c r="G9" s="11"/>
      <c r="H9" s="11" t="s">
        <v>66</v>
      </c>
      <c r="I9" s="22">
        <v>7092</v>
      </c>
      <c r="J9" s="22">
        <v>7092</v>
      </c>
      <c r="K9" s="1"/>
      <c r="L9" s="11"/>
      <c r="M9" s="13"/>
    </row>
    <row r="10" spans="3:13" ht="26.4" thickBot="1">
      <c r="C10" s="118">
        <v>46143</v>
      </c>
      <c r="D10" s="184"/>
      <c r="E10" s="184"/>
      <c r="F10" s="21" t="s">
        <v>67</v>
      </c>
      <c r="G10" s="11"/>
      <c r="H10" s="11" t="s">
        <v>66</v>
      </c>
      <c r="I10" s="22">
        <v>1</v>
      </c>
      <c r="J10" s="22">
        <v>1</v>
      </c>
      <c r="K10" s="1"/>
      <c r="L10" s="11"/>
      <c r="M10" s="11"/>
    </row>
    <row r="11" spans="3:13" ht="26.4" thickBot="1">
      <c r="C11" s="118">
        <v>46143</v>
      </c>
      <c r="D11" s="184"/>
      <c r="E11" s="184"/>
      <c r="F11" s="21" t="s">
        <v>68</v>
      </c>
      <c r="G11" s="11"/>
      <c r="H11" s="11" t="s">
        <v>69</v>
      </c>
      <c r="I11" s="22">
        <v>430</v>
      </c>
      <c r="J11" s="22">
        <v>425</v>
      </c>
      <c r="K11" s="1"/>
      <c r="L11" s="11"/>
      <c r="M11" s="11"/>
    </row>
    <row r="12" spans="3:13" ht="26.4" thickBot="1">
      <c r="C12" s="118">
        <v>46143</v>
      </c>
      <c r="D12" s="184"/>
      <c r="E12" s="184"/>
      <c r="F12" s="21" t="s">
        <v>36</v>
      </c>
      <c r="G12" s="11"/>
      <c r="H12" s="11" t="s">
        <v>63</v>
      </c>
      <c r="I12" s="22">
        <v>10000</v>
      </c>
      <c r="J12" s="22">
        <v>10000</v>
      </c>
      <c r="K12" s="1"/>
      <c r="L12" s="11"/>
      <c r="M12" s="11"/>
    </row>
    <row r="13" spans="3:13" ht="26.4" thickBot="1">
      <c r="C13" s="118">
        <v>46143</v>
      </c>
      <c r="D13" s="184"/>
      <c r="E13" s="184"/>
      <c r="F13" s="21" t="s">
        <v>37</v>
      </c>
      <c r="G13" s="11"/>
      <c r="H13" s="11" t="s">
        <v>63</v>
      </c>
      <c r="I13" s="22">
        <v>10000</v>
      </c>
      <c r="J13" s="22">
        <v>10000</v>
      </c>
      <c r="K13" s="1"/>
      <c r="L13" s="11"/>
      <c r="M13" s="11"/>
    </row>
    <row r="14" spans="3:13" ht="26.4" thickBot="1">
      <c r="C14" s="118">
        <v>46143</v>
      </c>
      <c r="D14" s="184"/>
      <c r="E14" s="184"/>
      <c r="F14" s="21" t="s">
        <v>28</v>
      </c>
      <c r="G14" s="11"/>
      <c r="H14" s="11" t="s">
        <v>66</v>
      </c>
      <c r="I14" s="22">
        <v>7710</v>
      </c>
      <c r="J14" s="22">
        <v>7710</v>
      </c>
      <c r="K14" s="1"/>
      <c r="L14" s="11"/>
      <c r="M14" s="11"/>
    </row>
    <row r="15" spans="3:13" ht="26.4" thickBot="1">
      <c r="C15" s="118">
        <v>46143</v>
      </c>
      <c r="D15" s="184"/>
      <c r="E15" s="184"/>
      <c r="F15" s="21" t="s">
        <v>70</v>
      </c>
      <c r="G15" s="11"/>
      <c r="H15" s="11" t="s">
        <v>63</v>
      </c>
      <c r="I15" s="22">
        <v>10745</v>
      </c>
      <c r="J15" s="22">
        <v>10745</v>
      </c>
      <c r="K15" s="1"/>
      <c r="L15" s="11"/>
      <c r="M15" s="11"/>
    </row>
    <row r="16" spans="3:13" ht="26.4" thickBot="1">
      <c r="C16" s="118">
        <v>46143</v>
      </c>
      <c r="D16" s="184"/>
      <c r="E16" s="184"/>
      <c r="F16" s="37" t="s">
        <v>71</v>
      </c>
      <c r="G16" s="37"/>
      <c r="H16" s="39" t="s">
        <v>66</v>
      </c>
      <c r="I16" s="43">
        <v>3010</v>
      </c>
      <c r="J16" s="42">
        <v>3010</v>
      </c>
      <c r="K16" s="1"/>
      <c r="L16" s="39"/>
      <c r="M16" s="41"/>
    </row>
    <row r="17" spans="3:13" ht="26.4" thickBot="1">
      <c r="C17" s="46"/>
      <c r="D17" s="184"/>
      <c r="E17" s="184"/>
      <c r="F17" s="55"/>
      <c r="G17" s="47"/>
      <c r="H17" s="47"/>
      <c r="I17" s="56"/>
      <c r="J17" s="56"/>
      <c r="K17" s="1"/>
      <c r="L17" s="47"/>
      <c r="M17" s="47"/>
    </row>
    <row r="18" spans="3:13" ht="26.4" thickBot="1">
      <c r="C18" s="12">
        <v>46144</v>
      </c>
      <c r="D18" s="184"/>
      <c r="E18" s="184"/>
      <c r="F18" s="8" t="s">
        <v>68</v>
      </c>
      <c r="G18" s="11"/>
      <c r="H18" s="11" t="s">
        <v>66</v>
      </c>
      <c r="I18" s="22">
        <v>425</v>
      </c>
      <c r="J18" s="22">
        <v>405</v>
      </c>
      <c r="K18" s="1"/>
      <c r="L18" s="11"/>
      <c r="M18" s="11"/>
    </row>
    <row r="19" spans="3:13" ht="26.4" thickBot="1">
      <c r="C19" s="46"/>
      <c r="D19" s="184"/>
      <c r="E19" s="184"/>
      <c r="F19" s="55"/>
      <c r="G19" s="47"/>
      <c r="H19" s="47"/>
      <c r="I19" s="56"/>
      <c r="J19" s="56"/>
      <c r="K19" s="1"/>
      <c r="L19" s="47"/>
      <c r="M19" s="47"/>
    </row>
    <row r="20" spans="3:13" ht="26.4" thickBot="1">
      <c r="C20" s="142">
        <v>46145</v>
      </c>
      <c r="D20" s="184"/>
      <c r="E20" s="184"/>
      <c r="F20" s="64"/>
      <c r="G20" s="63"/>
      <c r="H20" s="63"/>
      <c r="I20" s="65"/>
      <c r="J20" s="65"/>
      <c r="K20" s="1"/>
      <c r="L20" s="63"/>
      <c r="M20" s="63"/>
    </row>
    <row r="21" spans="3:13" ht="26.25" customHeight="1" thickBot="1">
      <c r="C21" s="46"/>
      <c r="D21" s="184"/>
      <c r="E21" s="184"/>
      <c r="F21" s="55"/>
      <c r="G21" s="47"/>
      <c r="H21" s="47"/>
      <c r="I21" s="56"/>
      <c r="J21" s="56"/>
      <c r="K21" s="1"/>
      <c r="L21" s="47"/>
      <c r="M21" s="47"/>
    </row>
    <row r="22" spans="3:13" ht="26.25" customHeight="1" thickBot="1">
      <c r="C22" s="142">
        <v>46146</v>
      </c>
      <c r="D22" s="184"/>
      <c r="E22" s="184"/>
      <c r="F22" s="64"/>
      <c r="G22" s="63"/>
      <c r="H22" s="63"/>
      <c r="I22" s="65"/>
      <c r="J22" s="65"/>
      <c r="K22" s="1"/>
      <c r="L22" s="63"/>
      <c r="M22" s="63"/>
    </row>
    <row r="23" spans="3:13" ht="26.25" customHeight="1" thickBot="1">
      <c r="C23" s="46"/>
      <c r="D23" s="184"/>
      <c r="E23" s="184"/>
      <c r="F23" s="55"/>
      <c r="G23" s="47"/>
      <c r="H23" s="47"/>
      <c r="I23" s="56"/>
      <c r="J23" s="56"/>
      <c r="K23" s="1"/>
      <c r="L23" s="47"/>
      <c r="M23" s="47"/>
    </row>
    <row r="24" spans="3:13" ht="26.25" customHeight="1" thickBot="1">
      <c r="C24" s="118">
        <v>46147</v>
      </c>
      <c r="D24" s="184"/>
      <c r="E24" s="184"/>
      <c r="F24" s="8" t="s">
        <v>68</v>
      </c>
      <c r="G24" s="11"/>
      <c r="H24" s="11" t="s">
        <v>66</v>
      </c>
      <c r="I24" s="22">
        <v>405</v>
      </c>
      <c r="J24" s="22">
        <v>385</v>
      </c>
      <c r="K24" s="1"/>
      <c r="L24" s="11"/>
      <c r="M24" s="11"/>
    </row>
    <row r="25" spans="3:13" ht="26.25" customHeight="1" thickBot="1">
      <c r="C25" s="118">
        <v>46147</v>
      </c>
      <c r="D25" s="184"/>
      <c r="E25" s="184"/>
      <c r="F25" s="8" t="s">
        <v>68</v>
      </c>
      <c r="G25" s="11"/>
      <c r="H25" s="11" t="s">
        <v>66</v>
      </c>
      <c r="I25" s="22">
        <v>385</v>
      </c>
      <c r="J25" s="22">
        <v>375</v>
      </c>
      <c r="K25" s="1"/>
      <c r="L25" s="11"/>
      <c r="M25" s="11"/>
    </row>
    <row r="26" spans="3:13" ht="26.25" customHeight="1" thickBot="1">
      <c r="C26" s="12">
        <v>46148</v>
      </c>
      <c r="D26" s="184"/>
      <c r="E26" s="184"/>
      <c r="F26" s="8" t="s">
        <v>68</v>
      </c>
      <c r="G26" s="11"/>
      <c r="H26" s="11" t="s">
        <v>66</v>
      </c>
      <c r="I26" s="22">
        <v>375</v>
      </c>
      <c r="J26" s="22">
        <v>355</v>
      </c>
      <c r="K26" s="1"/>
      <c r="L26" s="11"/>
      <c r="M26" s="11"/>
    </row>
    <row r="27" spans="3:13" ht="26.25" customHeight="1" thickBot="1">
      <c r="C27" s="118">
        <v>46149</v>
      </c>
      <c r="D27" s="184"/>
      <c r="E27" s="184"/>
      <c r="F27" s="8" t="s">
        <v>68</v>
      </c>
      <c r="G27" s="11"/>
      <c r="H27" s="11" t="s">
        <v>66</v>
      </c>
      <c r="I27" s="22">
        <v>355</v>
      </c>
      <c r="J27" s="22">
        <v>345</v>
      </c>
      <c r="K27" s="1"/>
      <c r="L27" s="11"/>
      <c r="M27" s="11"/>
    </row>
    <row r="28" spans="3:13" ht="26.25" customHeight="1" thickBot="1">
      <c r="C28" s="118">
        <v>46149</v>
      </c>
      <c r="D28" s="184"/>
      <c r="E28" s="184"/>
      <c r="F28" s="8" t="s">
        <v>68</v>
      </c>
      <c r="G28" s="11"/>
      <c r="H28" s="11" t="s">
        <v>66</v>
      </c>
      <c r="I28" s="22">
        <v>345</v>
      </c>
      <c r="J28" s="22">
        <v>337</v>
      </c>
      <c r="K28" s="1"/>
      <c r="L28" s="11"/>
      <c r="M28" s="11"/>
    </row>
    <row r="29" spans="3:13" ht="26.25" customHeight="1" thickBot="1">
      <c r="C29" s="142">
        <v>46150</v>
      </c>
      <c r="D29" s="184"/>
      <c r="E29" s="184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46151</v>
      </c>
      <c r="D30" s="184"/>
      <c r="E30" s="184"/>
      <c r="F30" s="64"/>
      <c r="G30" s="63"/>
      <c r="H30" s="63"/>
      <c r="I30" s="65"/>
      <c r="J30" s="65"/>
      <c r="K30" s="1"/>
      <c r="L30" s="63"/>
      <c r="M30" s="70"/>
    </row>
    <row r="31" spans="3:13" ht="26.25" customHeight="1" thickBot="1">
      <c r="C31" s="12">
        <v>46152</v>
      </c>
      <c r="D31" s="184"/>
      <c r="E31" s="184"/>
      <c r="F31" s="8" t="s">
        <v>68</v>
      </c>
      <c r="G31" s="11"/>
      <c r="H31" s="22" t="s">
        <v>66</v>
      </c>
      <c r="I31" s="22">
        <v>337</v>
      </c>
      <c r="J31" s="22">
        <v>322</v>
      </c>
      <c r="K31" s="1"/>
      <c r="L31" s="11"/>
      <c r="M31" s="11"/>
    </row>
    <row r="32" spans="3:13" ht="26.25" customHeight="1" thickBot="1">
      <c r="C32" s="12">
        <v>46153</v>
      </c>
      <c r="D32" s="184"/>
      <c r="E32" s="184"/>
      <c r="F32" s="8" t="s">
        <v>68</v>
      </c>
      <c r="G32" s="11"/>
      <c r="H32" s="22" t="s">
        <v>66</v>
      </c>
      <c r="I32" s="22">
        <v>322</v>
      </c>
      <c r="J32" s="22">
        <v>312</v>
      </c>
      <c r="K32" s="1"/>
      <c r="L32" s="11"/>
      <c r="M32" s="11"/>
    </row>
    <row r="33" spans="3:13" ht="26.25" customHeight="1" thickBot="1">
      <c r="C33" s="12">
        <v>46153</v>
      </c>
      <c r="D33" s="184"/>
      <c r="E33" s="184"/>
      <c r="F33" s="8" t="s">
        <v>68</v>
      </c>
      <c r="G33" s="11"/>
      <c r="H33" s="22" t="s">
        <v>66</v>
      </c>
      <c r="I33" s="22">
        <v>312</v>
      </c>
      <c r="J33" s="22">
        <v>306</v>
      </c>
      <c r="K33" s="1"/>
      <c r="L33" s="11"/>
      <c r="M33" s="11"/>
    </row>
    <row r="34" spans="3:13" ht="26.25" customHeight="1" thickBot="1">
      <c r="C34" s="12">
        <v>46154</v>
      </c>
      <c r="D34" s="184"/>
      <c r="E34" s="184"/>
      <c r="F34" s="8" t="s">
        <v>68</v>
      </c>
      <c r="G34" s="11"/>
      <c r="H34" s="22" t="s">
        <v>66</v>
      </c>
      <c r="I34" s="22">
        <v>306</v>
      </c>
      <c r="J34" s="22">
        <v>301</v>
      </c>
      <c r="K34" s="1"/>
      <c r="L34" s="11"/>
      <c r="M34" s="11"/>
    </row>
    <row r="35" spans="3:13" ht="26.25" customHeight="1" thickBot="1">
      <c r="C35" s="12">
        <v>46154</v>
      </c>
      <c r="D35" s="184"/>
      <c r="E35" s="184"/>
      <c r="F35" s="8" t="s">
        <v>68</v>
      </c>
      <c r="G35" s="11"/>
      <c r="H35" s="22" t="s">
        <v>66</v>
      </c>
      <c r="I35" s="22">
        <v>301</v>
      </c>
      <c r="J35" s="22">
        <v>292</v>
      </c>
      <c r="K35" s="1"/>
      <c r="L35" s="11"/>
      <c r="M35" s="11"/>
    </row>
    <row r="36" spans="3:13" ht="26.25" customHeight="1" thickBot="1">
      <c r="C36" s="12">
        <v>46155</v>
      </c>
      <c r="D36" s="184"/>
      <c r="E36" s="184"/>
      <c r="F36" s="8" t="s">
        <v>68</v>
      </c>
      <c r="G36" s="11"/>
      <c r="H36" s="22" t="s">
        <v>66</v>
      </c>
      <c r="I36" s="22">
        <v>292</v>
      </c>
      <c r="J36" s="22">
        <v>272</v>
      </c>
      <c r="K36" s="1"/>
      <c r="L36" s="11"/>
      <c r="M36" s="11"/>
    </row>
    <row r="37" spans="3:13" ht="26.25" customHeight="1" thickBot="1">
      <c r="C37" s="12">
        <v>46156</v>
      </c>
      <c r="D37" s="184"/>
      <c r="E37" s="184"/>
      <c r="F37" s="10" t="s">
        <v>67</v>
      </c>
      <c r="G37" s="54"/>
      <c r="H37" s="22" t="s">
        <v>1</v>
      </c>
      <c r="I37" s="151">
        <v>1</v>
      </c>
      <c r="J37" s="151">
        <v>1000</v>
      </c>
      <c r="K37" s="1"/>
      <c r="L37" s="54"/>
      <c r="M37" s="54"/>
    </row>
    <row r="38" spans="3:13" ht="26.4" thickBot="1">
      <c r="C38" s="12">
        <v>46156</v>
      </c>
      <c r="D38" s="184"/>
      <c r="E38" s="184"/>
      <c r="F38" s="113" t="s">
        <v>68</v>
      </c>
      <c r="G38" s="113"/>
      <c r="H38" s="115" t="s">
        <v>1</v>
      </c>
      <c r="I38" s="115">
        <v>272</v>
      </c>
      <c r="J38" s="115">
        <v>1772</v>
      </c>
      <c r="L38" s="113"/>
      <c r="M38" s="113"/>
    </row>
    <row r="39" spans="3:13" ht="26.4" thickBot="1">
      <c r="C39" s="12">
        <v>46156</v>
      </c>
      <c r="D39" s="184"/>
      <c r="E39" s="184"/>
      <c r="F39" s="113" t="s">
        <v>68</v>
      </c>
      <c r="G39" s="113"/>
      <c r="H39" s="22" t="s">
        <v>66</v>
      </c>
      <c r="I39" s="115">
        <v>1772</v>
      </c>
      <c r="J39" s="115">
        <v>1763</v>
      </c>
      <c r="L39" s="113"/>
      <c r="M39" s="113"/>
    </row>
    <row r="40" spans="3:13" ht="26.4" thickBot="1">
      <c r="C40" s="12">
        <v>46156</v>
      </c>
      <c r="D40" s="184"/>
      <c r="E40" s="184"/>
      <c r="F40" s="113" t="s">
        <v>68</v>
      </c>
      <c r="G40" s="113"/>
      <c r="H40" s="22" t="s">
        <v>66</v>
      </c>
      <c r="I40" s="115">
        <v>1763</v>
      </c>
      <c r="J40" s="115">
        <v>1723</v>
      </c>
      <c r="L40" s="113"/>
      <c r="M40" s="113"/>
    </row>
    <row r="41" spans="3:13" ht="26.4" thickBot="1">
      <c r="C41" s="142">
        <v>46157</v>
      </c>
      <c r="D41" s="184"/>
      <c r="E41" s="184"/>
      <c r="F41" s="162"/>
      <c r="G41" s="162"/>
      <c r="H41" s="163"/>
      <c r="I41" s="163"/>
      <c r="J41" s="163"/>
      <c r="L41" s="162"/>
      <c r="M41" s="162"/>
    </row>
    <row r="42" spans="3:13" ht="26.4" thickBot="1">
      <c r="C42" s="12">
        <v>46158</v>
      </c>
      <c r="D42" s="184"/>
      <c r="E42" s="184"/>
      <c r="F42" s="113" t="s">
        <v>68</v>
      </c>
      <c r="G42" s="113"/>
      <c r="H42" s="22" t="s">
        <v>66</v>
      </c>
      <c r="I42" s="115">
        <v>1723</v>
      </c>
      <c r="J42" s="115">
        <v>1703</v>
      </c>
      <c r="L42" s="113"/>
      <c r="M42" s="113"/>
    </row>
    <row r="43" spans="3:13" ht="26.4" thickBot="1">
      <c r="C43" s="12">
        <v>46159</v>
      </c>
      <c r="D43" s="184"/>
      <c r="E43" s="184"/>
      <c r="F43" s="113" t="s">
        <v>68</v>
      </c>
      <c r="G43" s="113"/>
      <c r="H43" s="22" t="s">
        <v>66</v>
      </c>
      <c r="I43" s="115">
        <v>1703</v>
      </c>
      <c r="J43" s="115">
        <v>1701</v>
      </c>
      <c r="L43" s="113"/>
      <c r="M43" s="113"/>
    </row>
    <row r="44" spans="3:13" ht="25.8">
      <c r="C44" s="113"/>
      <c r="D44" s="184"/>
      <c r="E44" s="184"/>
      <c r="F44" s="113"/>
      <c r="G44" s="113"/>
      <c r="H44" s="115"/>
      <c r="I44" s="115"/>
      <c r="J44" s="115"/>
      <c r="L44" s="113"/>
      <c r="M44" s="113"/>
    </row>
    <row r="45" spans="3:13" ht="25.8">
      <c r="C45" s="113"/>
      <c r="D45" s="184"/>
      <c r="E45" s="184"/>
      <c r="F45" s="113"/>
      <c r="G45" s="113"/>
      <c r="H45" s="115"/>
      <c r="I45" s="115"/>
      <c r="J45" s="115"/>
      <c r="L45" s="113"/>
      <c r="M45" s="113"/>
    </row>
    <row r="46" spans="3:13" ht="25.8">
      <c r="C46" s="113"/>
      <c r="D46" s="184"/>
      <c r="E46" s="184"/>
      <c r="F46" s="113"/>
      <c r="G46" s="113"/>
      <c r="H46" s="115"/>
      <c r="I46" s="115"/>
      <c r="J46" s="115"/>
      <c r="L46" s="113"/>
      <c r="M46" s="113"/>
    </row>
    <row r="47" spans="3:13" ht="25.8">
      <c r="C47" s="113"/>
      <c r="D47" s="184"/>
      <c r="E47" s="184"/>
      <c r="F47" s="113"/>
      <c r="G47" s="113"/>
      <c r="H47" s="115"/>
      <c r="I47" s="115"/>
      <c r="J47" s="115"/>
      <c r="L47" s="113"/>
      <c r="M47" s="113"/>
    </row>
    <row r="48" spans="3:13" ht="25.8">
      <c r="C48" s="113"/>
      <c r="D48" s="185"/>
      <c r="E48" s="185"/>
      <c r="F48" s="113"/>
      <c r="G48" s="113"/>
      <c r="H48" s="115"/>
      <c r="I48" s="115"/>
      <c r="J48" s="115"/>
      <c r="L48" s="113"/>
      <c r="M48" s="113"/>
    </row>
  </sheetData>
  <mergeCells count="5">
    <mergeCell ref="C2:J4"/>
    <mergeCell ref="L3:M4"/>
    <mergeCell ref="C5:J5"/>
    <mergeCell ref="D7:D48"/>
    <mergeCell ref="E7:E48"/>
  </mergeCells>
  <conditionalFormatting sqref="F1:F1048576">
    <cfRule type="containsText" dxfId="59" priority="1" operator="containsText" text="Red KOP">
      <formula>NOT(ISERROR(SEARCH("Red KOP",F1)))</formula>
    </cfRule>
    <cfRule type="containsText" dxfId="58" priority="2" operator="containsText" text="Blue KOP">
      <formula>NOT(ISERROR(SEARCH("Blue KOP",F1)))</formula>
    </cfRule>
    <cfRule type="containsText" dxfId="57" priority="3" operator="containsText" text="Purple">
      <formula>NOT(ISERROR(SEARCH("Purple",F1)))</formula>
    </cfRule>
    <cfRule type="containsText" dxfId="56" priority="4" operator="containsText" text="Green">
      <formula>NOT(ISERROR(SEARCH("Green",F1)))</formula>
    </cfRule>
    <cfRule type="containsText" dxfId="55" priority="5" operator="containsText" text="Red">
      <formula>NOT(ISERROR(SEARCH("Red",F1)))</formula>
    </cfRule>
    <cfRule type="containsText" dxfId="54" priority="6" operator="containsText" text="White 50G">
      <formula>NOT(ISERROR(SEARCH("White 50G",F1)))</formula>
    </cfRule>
    <cfRule type="containsText" dxfId="53" priority="7" operator="containsText" text="White 25G">
      <formula>NOT(ISERROR(SEARCH("White 25G",F1)))</formula>
    </cfRule>
    <cfRule type="containsText" dxfId="52" priority="8" operator="containsText" text="Green Popp">
      <formula>NOT(ISERROR(SEARCH("Green Popp",F1)))</formula>
    </cfRule>
    <cfRule type="containsText" dxfId="51" priority="9" operator="containsText" text="Blue Popp">
      <formula>NOT(ISERROR(SEARCH("Blue Popp",F1)))</formula>
    </cfRule>
    <cfRule type="containsText" dxfId="50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" xr:uid="{00000000-0002-0000-0400-000000000000}">
      <formula1>"Sacks"</formula1>
    </dataValidation>
    <dataValidation type="list" allowBlank="1" showInputMessage="1" showErrorMessage="1" sqref="E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1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28" t="s">
        <v>7</v>
      </c>
      <c r="D2" s="229"/>
      <c r="E2" s="229"/>
      <c r="F2" s="229"/>
      <c r="G2" s="229"/>
      <c r="H2" s="229"/>
      <c r="I2" s="229"/>
      <c r="J2" s="230"/>
      <c r="K2" s="1"/>
    </row>
    <row r="3" spans="3:13" ht="27.75" customHeight="1" thickBot="1">
      <c r="C3" s="231"/>
      <c r="D3" s="232"/>
      <c r="E3" s="232"/>
      <c r="F3" s="232"/>
      <c r="G3" s="232"/>
      <c r="H3" s="232"/>
      <c r="I3" s="232"/>
      <c r="J3" s="233"/>
      <c r="K3" s="1"/>
      <c r="L3" s="176" t="s">
        <v>16</v>
      </c>
      <c r="M3" s="177"/>
    </row>
    <row r="4" spans="3:13" ht="27.75" customHeight="1" thickTop="1" thickBot="1">
      <c r="C4" s="234"/>
      <c r="D4" s="235"/>
      <c r="E4" s="235"/>
      <c r="F4" s="235"/>
      <c r="G4" s="235"/>
      <c r="H4" s="235"/>
      <c r="I4" s="235"/>
      <c r="J4" s="236"/>
      <c r="K4" s="1"/>
      <c r="L4" s="178"/>
      <c r="M4" s="179"/>
    </row>
    <row r="5" spans="3:13" ht="26.4" thickBot="1">
      <c r="C5" s="180"/>
      <c r="D5" s="181"/>
      <c r="E5" s="181"/>
      <c r="F5" s="181"/>
      <c r="G5" s="181"/>
      <c r="H5" s="181"/>
      <c r="I5" s="181"/>
      <c r="J5" s="182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25" t="s">
        <v>23</v>
      </c>
      <c r="E7" s="237" t="s">
        <v>4</v>
      </c>
      <c r="F7" s="8" t="s">
        <v>24</v>
      </c>
      <c r="G7" s="225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8">
        <v>46143</v>
      </c>
      <c r="D8" s="226"/>
      <c r="E8" s="238"/>
      <c r="F8" s="8" t="s">
        <v>31</v>
      </c>
      <c r="G8" s="226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8">
        <v>46143</v>
      </c>
      <c r="D9" s="226"/>
      <c r="E9" s="238"/>
      <c r="F9" s="8" t="s">
        <v>40</v>
      </c>
      <c r="G9" s="226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8">
        <v>46143</v>
      </c>
      <c r="D10" s="226"/>
      <c r="E10" s="238"/>
      <c r="F10" s="8" t="s">
        <v>74</v>
      </c>
      <c r="G10" s="226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8">
        <v>46143</v>
      </c>
      <c r="D11" s="226"/>
      <c r="E11" s="238"/>
      <c r="F11" s="8" t="s">
        <v>28</v>
      </c>
      <c r="G11" s="226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8">
        <v>46143</v>
      </c>
      <c r="D12" s="226"/>
      <c r="E12" s="238"/>
      <c r="F12" s="8" t="s">
        <v>37</v>
      </c>
      <c r="G12" s="226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8">
        <v>46143</v>
      </c>
      <c r="D13" s="226"/>
      <c r="E13" s="238"/>
      <c r="F13" s="8" t="s">
        <v>36</v>
      </c>
      <c r="G13" s="226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8">
        <v>46143</v>
      </c>
      <c r="D14" s="226"/>
      <c r="E14" s="238"/>
      <c r="F14" s="8" t="s">
        <v>75</v>
      </c>
      <c r="G14" s="226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6"/>
      <c r="D15" s="226"/>
      <c r="E15" s="238"/>
      <c r="F15" s="55"/>
      <c r="G15" s="226"/>
      <c r="H15" s="47"/>
      <c r="I15" s="47"/>
      <c r="J15" s="47"/>
      <c r="K15" s="1"/>
      <c r="L15" s="47"/>
      <c r="M15" s="47"/>
    </row>
    <row r="16" spans="3:13" ht="26.4" thickBot="1">
      <c r="C16" s="12">
        <v>46144</v>
      </c>
      <c r="D16" s="226"/>
      <c r="E16" s="238"/>
      <c r="F16" s="8" t="s">
        <v>37</v>
      </c>
      <c r="G16" s="226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6"/>
      <c r="D17" s="226"/>
      <c r="E17" s="238"/>
      <c r="F17" s="55"/>
      <c r="G17" s="226"/>
      <c r="H17" s="47"/>
      <c r="I17" s="47"/>
      <c r="J17" s="47"/>
      <c r="K17" s="1"/>
      <c r="L17" s="47"/>
      <c r="M17" s="47"/>
    </row>
    <row r="18" spans="3:13" ht="26.4" thickBot="1">
      <c r="C18" s="142">
        <v>46145</v>
      </c>
      <c r="D18" s="226"/>
      <c r="E18" s="238"/>
      <c r="F18" s="64"/>
      <c r="G18" s="226"/>
      <c r="H18" s="63"/>
      <c r="I18" s="63"/>
      <c r="J18" s="63"/>
      <c r="K18" s="1"/>
      <c r="L18" s="63"/>
      <c r="M18" s="63"/>
    </row>
    <row r="19" spans="3:13" ht="26.4" thickBot="1">
      <c r="C19" s="46"/>
      <c r="D19" s="226"/>
      <c r="E19" s="238"/>
      <c r="F19" s="55"/>
      <c r="G19" s="226"/>
      <c r="H19" s="47"/>
      <c r="I19" s="47"/>
      <c r="J19" s="47"/>
      <c r="K19" s="1"/>
      <c r="L19" s="47"/>
      <c r="M19" s="47"/>
    </row>
    <row r="20" spans="3:13" ht="26.4" thickBot="1">
      <c r="C20" s="142">
        <v>46146</v>
      </c>
      <c r="D20" s="226"/>
      <c r="E20" s="238"/>
      <c r="F20" s="64"/>
      <c r="G20" s="226"/>
      <c r="H20" s="63"/>
      <c r="I20" s="63"/>
      <c r="J20" s="63"/>
      <c r="K20" s="1"/>
      <c r="L20" s="63"/>
      <c r="M20" s="63"/>
    </row>
    <row r="21" spans="3:13" ht="26.25" customHeight="1" thickBot="1">
      <c r="C21" s="142">
        <v>46147</v>
      </c>
      <c r="D21" s="226"/>
      <c r="E21" s="238"/>
      <c r="F21" s="64"/>
      <c r="G21" s="226"/>
      <c r="H21" s="63"/>
      <c r="I21" s="63"/>
      <c r="J21" s="63"/>
      <c r="K21" s="1"/>
      <c r="L21" s="63"/>
      <c r="M21" s="63"/>
    </row>
    <row r="22" spans="3:13" ht="26.25" customHeight="1" thickBot="1">
      <c r="C22" s="142">
        <v>46148</v>
      </c>
      <c r="D22" s="226"/>
      <c r="E22" s="238"/>
      <c r="F22" s="64"/>
      <c r="G22" s="226"/>
      <c r="H22" s="63"/>
      <c r="I22" s="63"/>
      <c r="J22" s="63"/>
      <c r="K22" s="1"/>
      <c r="L22" s="63"/>
      <c r="M22" s="63"/>
    </row>
    <row r="23" spans="3:13" ht="26.25" customHeight="1" thickBot="1">
      <c r="C23" s="142">
        <v>46149</v>
      </c>
      <c r="D23" s="226"/>
      <c r="E23" s="238"/>
      <c r="F23" s="64"/>
      <c r="G23" s="226"/>
      <c r="H23" s="63"/>
      <c r="I23" s="63"/>
      <c r="J23" s="63"/>
      <c r="K23" s="1"/>
      <c r="L23" s="63"/>
      <c r="M23" s="63"/>
    </row>
    <row r="24" spans="3:13" ht="26.25" customHeight="1" thickBot="1">
      <c r="C24" s="142">
        <v>46150</v>
      </c>
      <c r="D24" s="226"/>
      <c r="E24" s="238"/>
      <c r="F24" s="64"/>
      <c r="G24" s="226"/>
      <c r="H24" s="63"/>
      <c r="I24" s="63"/>
      <c r="J24" s="63"/>
      <c r="K24" s="1"/>
      <c r="L24" s="63"/>
      <c r="M24" s="63"/>
    </row>
    <row r="25" spans="3:13" ht="26.25" customHeight="1" thickBot="1">
      <c r="C25" s="142">
        <v>46151</v>
      </c>
      <c r="D25" s="226"/>
      <c r="E25" s="238"/>
      <c r="F25" s="64"/>
      <c r="G25" s="226"/>
      <c r="H25" s="63"/>
      <c r="I25" s="63"/>
      <c r="J25" s="63"/>
      <c r="K25" s="1"/>
      <c r="L25" s="63"/>
      <c r="M25" s="63"/>
    </row>
    <row r="26" spans="3:13" ht="26.25" customHeight="1" thickBot="1">
      <c r="C26" s="142">
        <v>46152</v>
      </c>
      <c r="D26" s="226"/>
      <c r="E26" s="238"/>
      <c r="F26" s="64"/>
      <c r="G26" s="226"/>
      <c r="H26" s="63"/>
      <c r="I26" s="63"/>
      <c r="J26" s="63"/>
      <c r="K26" s="1"/>
      <c r="L26" s="63"/>
      <c r="M26" s="63"/>
    </row>
    <row r="27" spans="3:13" ht="26.25" customHeight="1" thickBot="1">
      <c r="C27" s="12">
        <v>46153</v>
      </c>
      <c r="D27" s="226"/>
      <c r="E27" s="238"/>
      <c r="F27" s="8"/>
      <c r="G27" s="226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26"/>
      <c r="E28" s="238"/>
      <c r="F28" s="8"/>
      <c r="G28" s="226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26"/>
      <c r="E29" s="238"/>
      <c r="F29" s="8"/>
      <c r="G29" s="226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26"/>
      <c r="E30" s="238"/>
      <c r="F30" s="8"/>
      <c r="G30" s="226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26"/>
      <c r="E31" s="238"/>
      <c r="F31" s="8"/>
      <c r="G31" s="226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26"/>
      <c r="E32" s="238"/>
      <c r="F32" s="8"/>
      <c r="G32" s="226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26"/>
      <c r="E33" s="238"/>
      <c r="F33" s="8"/>
      <c r="G33" s="226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26"/>
      <c r="E34" s="238"/>
      <c r="F34" s="8"/>
      <c r="G34" s="226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26"/>
      <c r="E35" s="238"/>
      <c r="F35" s="8"/>
      <c r="G35" s="226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26"/>
      <c r="E36" s="238"/>
      <c r="F36" s="8"/>
      <c r="G36" s="226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27"/>
      <c r="E37" s="239"/>
      <c r="F37" s="9"/>
      <c r="G37" s="227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49" priority="1" operator="containsText" text="Blue +">
      <formula>NOT(ISERROR(SEARCH("Blue +",F1)))</formula>
    </cfRule>
    <cfRule type="containsText" dxfId="48" priority="2" operator="containsText" text="Purple">
      <formula>NOT(ISERROR(SEARCH("Purple",F1)))</formula>
    </cfRule>
    <cfRule type="containsText" dxfId="47" priority="3" operator="containsText" text="Black">
      <formula>NOT(ISERROR(SEARCH("Black",F1)))</formula>
    </cfRule>
    <cfRule type="containsText" dxfId="46" priority="4" operator="containsText" text="Dark Blue">
      <formula>NOT(ISERROR(SEARCH("Dark Blue",F1)))</formula>
    </cfRule>
    <cfRule type="containsText" dxfId="45" priority="5" operator="containsText" text="Gray">
      <formula>NOT(ISERROR(SEARCH("Gray",F1)))</formula>
    </cfRule>
    <cfRule type="containsText" dxfId="44" priority="6" operator="containsText" text="Red">
      <formula>NOT(ISERROR(SEARCH("Red",F1)))</formula>
    </cfRule>
    <cfRule type="containsText" dxfId="43" priority="7" operator="containsText" text="Green">
      <formula>NOT(ISERROR(SEARCH("Green",F1)))</formula>
    </cfRule>
    <cfRule type="containsText" dxfId="42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40" t="s">
        <v>73</v>
      </c>
      <c r="D2" s="241"/>
      <c r="E2" s="241"/>
      <c r="F2" s="241"/>
      <c r="G2" s="241"/>
      <c r="H2" s="241"/>
      <c r="I2" s="241"/>
      <c r="J2" s="242"/>
      <c r="K2" s="1"/>
    </row>
    <row r="3" spans="3:13" ht="27.75" customHeight="1" thickBot="1">
      <c r="C3" s="243"/>
      <c r="D3" s="244"/>
      <c r="E3" s="244"/>
      <c r="F3" s="244"/>
      <c r="G3" s="244"/>
      <c r="H3" s="244"/>
      <c r="I3" s="244"/>
      <c r="J3" s="245"/>
      <c r="K3" s="1"/>
      <c r="L3" s="176" t="s">
        <v>16</v>
      </c>
      <c r="M3" s="177"/>
    </row>
    <row r="4" spans="3:13" ht="27.75" customHeight="1" thickTop="1" thickBot="1">
      <c r="C4" s="246"/>
      <c r="D4" s="247"/>
      <c r="E4" s="247"/>
      <c r="F4" s="247"/>
      <c r="G4" s="247"/>
      <c r="H4" s="247"/>
      <c r="I4" s="247"/>
      <c r="J4" s="248"/>
      <c r="K4" s="1"/>
      <c r="L4" s="178"/>
      <c r="M4" s="179"/>
    </row>
    <row r="5" spans="3:13" ht="26.4" thickBot="1">
      <c r="C5" s="180"/>
      <c r="D5" s="181"/>
      <c r="E5" s="181"/>
      <c r="F5" s="181"/>
      <c r="G5" s="181"/>
      <c r="H5" s="181"/>
      <c r="I5" s="181"/>
      <c r="J5" s="182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225" t="s">
        <v>23</v>
      </c>
      <c r="E7" s="237" t="s">
        <v>72</v>
      </c>
      <c r="F7" s="8" t="s">
        <v>37</v>
      </c>
      <c r="G7" s="225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6"/>
      <c r="D8" s="226"/>
      <c r="E8" s="238"/>
      <c r="F8" s="55"/>
      <c r="G8" s="226"/>
      <c r="H8" s="47"/>
      <c r="I8" s="47"/>
      <c r="J8" s="47"/>
      <c r="K8" s="1"/>
      <c r="L8" s="47"/>
      <c r="M8" s="47"/>
    </row>
    <row r="9" spans="3:13" ht="26.4" thickBot="1">
      <c r="C9" s="142">
        <v>46144</v>
      </c>
      <c r="D9" s="226"/>
      <c r="E9" s="238"/>
      <c r="F9" s="64"/>
      <c r="G9" s="226"/>
      <c r="H9" s="63"/>
      <c r="I9" s="63"/>
      <c r="J9" s="63"/>
      <c r="K9" s="1"/>
      <c r="L9" s="63"/>
      <c r="M9" s="70"/>
    </row>
    <row r="10" spans="3:13" ht="26.4" thickBot="1">
      <c r="C10" s="46"/>
      <c r="D10" s="226"/>
      <c r="E10" s="238"/>
      <c r="F10" s="55"/>
      <c r="G10" s="226"/>
      <c r="H10" s="47"/>
      <c r="I10" s="47"/>
      <c r="J10" s="47"/>
      <c r="K10" s="1"/>
      <c r="L10" s="47"/>
      <c r="M10" s="47"/>
    </row>
    <row r="11" spans="3:13" ht="26.4" thickBot="1">
      <c r="C11" s="142">
        <v>46145</v>
      </c>
      <c r="D11" s="226"/>
      <c r="E11" s="238"/>
      <c r="F11" s="64"/>
      <c r="G11" s="226"/>
      <c r="H11" s="63"/>
      <c r="I11" s="63"/>
      <c r="J11" s="63"/>
      <c r="K11" s="1"/>
      <c r="L11" s="63"/>
      <c r="M11" s="63"/>
    </row>
    <row r="12" spans="3:13" ht="26.4" thickBot="1">
      <c r="C12" s="46"/>
      <c r="D12" s="226"/>
      <c r="E12" s="238"/>
      <c r="F12" s="55"/>
      <c r="G12" s="226"/>
      <c r="H12" s="47"/>
      <c r="I12" s="47"/>
      <c r="J12" s="47"/>
      <c r="K12" s="1"/>
      <c r="L12" s="47"/>
      <c r="M12" s="47"/>
    </row>
    <row r="13" spans="3:13" ht="26.4" thickBot="1">
      <c r="C13" s="142">
        <v>46146</v>
      </c>
      <c r="D13" s="226"/>
      <c r="E13" s="238"/>
      <c r="F13" s="64"/>
      <c r="G13" s="226"/>
      <c r="H13" s="63"/>
      <c r="I13" s="63"/>
      <c r="J13" s="63"/>
      <c r="K13" s="1"/>
      <c r="L13" s="63"/>
      <c r="M13" s="63"/>
    </row>
    <row r="14" spans="3:13" ht="26.4" thickBot="1">
      <c r="C14" s="46"/>
      <c r="D14" s="226"/>
      <c r="E14" s="238"/>
      <c r="F14" s="55"/>
      <c r="G14" s="226"/>
      <c r="H14" s="47"/>
      <c r="I14" s="47"/>
      <c r="J14" s="47"/>
      <c r="K14" s="1"/>
      <c r="L14" s="47"/>
      <c r="M14" s="47"/>
    </row>
    <row r="15" spans="3:13" ht="26.4" thickBot="1">
      <c r="C15" s="142">
        <v>46147</v>
      </c>
      <c r="D15" s="226"/>
      <c r="E15" s="238"/>
      <c r="F15" s="143"/>
      <c r="G15" s="226"/>
      <c r="H15" s="143"/>
      <c r="I15" s="143"/>
      <c r="J15" s="143"/>
      <c r="K15" s="1"/>
      <c r="L15" s="143"/>
      <c r="M15" s="143"/>
    </row>
    <row r="16" spans="3:13" ht="26.4" thickBot="1">
      <c r="C16" s="142">
        <v>46148</v>
      </c>
      <c r="D16" s="226"/>
      <c r="E16" s="238"/>
      <c r="F16" s="143"/>
      <c r="G16" s="226"/>
      <c r="H16" s="143"/>
      <c r="I16" s="143"/>
      <c r="J16" s="143"/>
      <c r="K16" s="1"/>
      <c r="L16" s="143"/>
      <c r="M16" s="144"/>
    </row>
    <row r="17" spans="3:13" ht="26.4" thickBot="1">
      <c r="C17" s="142">
        <v>46149</v>
      </c>
      <c r="D17" s="226"/>
      <c r="E17" s="238"/>
      <c r="F17" s="143"/>
      <c r="G17" s="226"/>
      <c r="H17" s="143"/>
      <c r="I17" s="143"/>
      <c r="J17" s="143"/>
      <c r="K17" s="1"/>
      <c r="L17" s="143"/>
      <c r="M17" s="143"/>
    </row>
    <row r="18" spans="3:13" ht="26.4" thickBot="1">
      <c r="C18" s="142">
        <v>46150</v>
      </c>
      <c r="D18" s="226"/>
      <c r="E18" s="238"/>
      <c r="F18" s="143"/>
      <c r="G18" s="226"/>
      <c r="H18" s="143"/>
      <c r="I18" s="143"/>
      <c r="J18" s="143"/>
      <c r="K18" s="1"/>
      <c r="L18" s="143"/>
      <c r="M18" s="143"/>
    </row>
    <row r="19" spans="3:13" ht="26.4" thickBot="1">
      <c r="C19" s="142">
        <v>46151</v>
      </c>
      <c r="D19" s="226"/>
      <c r="E19" s="238"/>
      <c r="F19" s="143"/>
      <c r="G19" s="226"/>
      <c r="H19" s="143"/>
      <c r="I19" s="143"/>
      <c r="J19" s="143"/>
      <c r="K19" s="1"/>
      <c r="L19" s="143"/>
      <c r="M19" s="143"/>
    </row>
    <row r="20" spans="3:13" ht="26.4" thickBot="1">
      <c r="C20" s="142">
        <v>46152</v>
      </c>
      <c r="D20" s="226"/>
      <c r="E20" s="238"/>
      <c r="F20" s="143"/>
      <c r="G20" s="226"/>
      <c r="H20" s="143"/>
      <c r="I20" s="143"/>
      <c r="J20" s="143"/>
      <c r="K20" s="1"/>
      <c r="L20" s="143"/>
      <c r="M20" s="143"/>
    </row>
    <row r="21" spans="3:13" ht="26.25" customHeight="1" thickBot="1">
      <c r="C21" s="12">
        <v>46153</v>
      </c>
      <c r="D21" s="226"/>
      <c r="E21" s="238"/>
      <c r="F21" s="8"/>
      <c r="G21" s="226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226"/>
      <c r="E22" s="238"/>
      <c r="F22" s="8"/>
      <c r="G22" s="226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226"/>
      <c r="E23" s="238"/>
      <c r="F23" s="8"/>
      <c r="G23" s="226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226"/>
      <c r="E24" s="238"/>
      <c r="F24" s="8"/>
      <c r="G24" s="226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226"/>
      <c r="E25" s="238"/>
      <c r="F25" s="8"/>
      <c r="G25" s="226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226"/>
      <c r="E26" s="238"/>
      <c r="F26" s="8"/>
      <c r="G26" s="226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226"/>
      <c r="E27" s="238"/>
      <c r="F27" s="8"/>
      <c r="G27" s="226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26"/>
      <c r="E28" s="238"/>
      <c r="F28" s="8"/>
      <c r="G28" s="226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26"/>
      <c r="E29" s="238"/>
      <c r="F29" s="8"/>
      <c r="G29" s="226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26"/>
      <c r="E30" s="238"/>
      <c r="F30" s="8"/>
      <c r="G30" s="226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26"/>
      <c r="E31" s="238"/>
      <c r="F31" s="8"/>
      <c r="G31" s="226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26"/>
      <c r="E32" s="238"/>
      <c r="F32" s="8"/>
      <c r="G32" s="226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26"/>
      <c r="E33" s="238"/>
      <c r="F33" s="8"/>
      <c r="G33" s="226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26"/>
      <c r="E34" s="238"/>
      <c r="F34" s="8"/>
      <c r="G34" s="226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26"/>
      <c r="E35" s="238"/>
      <c r="F35" s="8"/>
      <c r="G35" s="226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26"/>
      <c r="E36" s="238"/>
      <c r="F36" s="8"/>
      <c r="G36" s="226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27"/>
      <c r="E37" s="239"/>
      <c r="F37" s="9"/>
      <c r="G37" s="227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41" priority="6" operator="containsText" text="Light Blue">
      <formula>NOT(ISERROR(SEARCH("Light Blue",F7)))</formula>
    </cfRule>
    <cfRule type="containsText" dxfId="40" priority="16" operator="containsText" text="Orange">
      <formula>NOT(ISERROR(SEARCH("Orange",F7)))</formula>
    </cfRule>
    <cfRule type="containsText" dxfId="39" priority="17" operator="containsText" text="Purple">
      <formula>NOT(ISERROR(SEARCH("Purple",F7)))</formula>
    </cfRule>
  </conditionalFormatting>
  <conditionalFormatting sqref="F7:F37">
    <cfRule type="containsText" dxfId="38" priority="4" operator="containsText" text="Light Blue">
      <formula>NOT(ISERROR(SEARCH("Light Blue",F7)))</formula>
    </cfRule>
    <cfRule type="containsText" dxfId="37" priority="7" operator="containsText" text="Dark Blue">
      <formula>NOT(ISERROR(SEARCH("Dark Blue",F7)))</formula>
    </cfRule>
    <cfRule type="containsText" dxfId="36" priority="8" operator="containsText" text="Blue">
      <formula>NOT(ISERROR(SEARCH("Blue",F7)))</formula>
    </cfRule>
    <cfRule type="containsText" dxfId="35" priority="9" operator="containsText" text="Yellow">
      <formula>NOT(ISERROR(SEARCH("Yellow",F7)))</formula>
    </cfRule>
    <cfRule type="containsText" dxfId="34" priority="10" operator="containsText" text="Light Blue">
      <formula>NOT(ISERROR(SEARCH("Light Blue",F7)))</formula>
    </cfRule>
    <cfRule type="containsText" dxfId="33" priority="11" operator="containsText" text="Dark Green">
      <formula>NOT(ISERROR(SEARCH("Dark Green",F7)))</formula>
    </cfRule>
    <cfRule type="containsText" dxfId="32" priority="12" operator="containsText" text="Brown">
      <formula>NOT(ISERROR(SEARCH("Brown",F7)))</formula>
    </cfRule>
    <cfRule type="containsText" dxfId="31" priority="13" operator="containsText" text="Green">
      <formula>NOT(ISERROR(SEARCH("Green",F7)))</formula>
    </cfRule>
    <cfRule type="containsText" dxfId="30" priority="14" operator="containsText" text="Red">
      <formula>NOT(ISERROR(SEARCH("Red",F7)))</formula>
    </cfRule>
    <cfRule type="containsText" dxfId="29" priority="15" operator="containsText" text="Gray">
      <formula>NOT(ISERROR(SEARCH("Gray",F7)))</formula>
    </cfRule>
  </conditionalFormatting>
  <conditionalFormatting sqref="F8">
    <cfRule type="containsText" dxfId="28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27" priority="3" operator="containsText" text="wHITE">
      <formula>NOT(ISERROR(SEARCH("wHITE",F19)))</formula>
    </cfRule>
  </conditionalFormatting>
  <conditionalFormatting sqref="F7:F37">
    <cfRule type="containsText" dxfId="26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51"/>
  <sheetViews>
    <sheetView topLeftCell="A34" zoomScale="70" zoomScaleNormal="70" workbookViewId="0">
      <selection activeCell="M51" sqref="M5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240" t="s">
        <v>77</v>
      </c>
      <c r="D2" s="241"/>
      <c r="E2" s="241"/>
      <c r="F2" s="241"/>
      <c r="G2" s="241"/>
      <c r="H2" s="241"/>
      <c r="I2" s="241"/>
      <c r="J2" s="242"/>
      <c r="K2" s="1"/>
    </row>
    <row r="3" spans="3:13" ht="27.75" customHeight="1" thickBot="1">
      <c r="C3" s="243"/>
      <c r="D3" s="244"/>
      <c r="E3" s="244"/>
      <c r="F3" s="244"/>
      <c r="G3" s="244"/>
      <c r="H3" s="244"/>
      <c r="I3" s="244"/>
      <c r="J3" s="245"/>
      <c r="K3" s="1"/>
      <c r="L3" s="176" t="s">
        <v>16</v>
      </c>
      <c r="M3" s="177"/>
    </row>
    <row r="4" spans="3:13" ht="27.75" customHeight="1" thickTop="1" thickBot="1">
      <c r="C4" s="246"/>
      <c r="D4" s="247"/>
      <c r="E4" s="247"/>
      <c r="F4" s="247"/>
      <c r="G4" s="247"/>
      <c r="H4" s="247"/>
      <c r="I4" s="247"/>
      <c r="J4" s="248"/>
      <c r="K4" s="1"/>
      <c r="L4" s="178"/>
      <c r="M4" s="179"/>
    </row>
    <row r="5" spans="3:13" ht="26.4" thickBot="1">
      <c r="C5" s="49"/>
      <c r="D5" s="50"/>
      <c r="E5" s="50"/>
      <c r="F5" s="50"/>
      <c r="G5" s="50"/>
      <c r="H5" s="50"/>
      <c r="I5" s="50"/>
      <c r="J5" s="5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3" t="s">
        <v>79</v>
      </c>
      <c r="E7" s="52" t="s">
        <v>78</v>
      </c>
      <c r="F7" s="8" t="s">
        <v>87</v>
      </c>
      <c r="G7" s="61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8">
        <v>46143</v>
      </c>
      <c r="D8" s="184"/>
      <c r="E8" s="53" t="s">
        <v>72</v>
      </c>
      <c r="F8" s="8" t="s">
        <v>86</v>
      </c>
      <c r="G8" s="61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8">
        <v>46143</v>
      </c>
      <c r="D9" s="184"/>
      <c r="E9" s="53" t="s">
        <v>80</v>
      </c>
      <c r="F9" s="8" t="s">
        <v>37</v>
      </c>
      <c r="G9" s="61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8">
        <v>46143</v>
      </c>
      <c r="D10" s="184"/>
      <c r="E10" s="53" t="s">
        <v>80</v>
      </c>
      <c r="F10" s="8" t="s">
        <v>24</v>
      </c>
      <c r="G10" s="61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8">
        <v>46143</v>
      </c>
      <c r="D11" s="184"/>
      <c r="E11" s="53" t="s">
        <v>81</v>
      </c>
      <c r="F11" s="8" t="s">
        <v>81</v>
      </c>
      <c r="G11" s="61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8">
        <v>46143</v>
      </c>
      <c r="D12" s="184"/>
      <c r="E12" s="53" t="s">
        <v>84</v>
      </c>
      <c r="F12" s="8" t="s">
        <v>84</v>
      </c>
      <c r="G12" s="61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6"/>
      <c r="D13" s="184"/>
      <c r="E13" s="59"/>
      <c r="F13" s="55"/>
      <c r="G13" s="145"/>
      <c r="H13" s="47"/>
      <c r="I13" s="47"/>
      <c r="J13" s="47"/>
      <c r="K13" s="1"/>
      <c r="L13" s="47"/>
      <c r="M13" s="47"/>
    </row>
    <row r="14" spans="3:13" ht="26.4" thickBot="1">
      <c r="C14" s="118">
        <v>46144</v>
      </c>
      <c r="D14" s="184"/>
      <c r="E14" s="53" t="s">
        <v>80</v>
      </c>
      <c r="F14" s="8" t="s">
        <v>37</v>
      </c>
      <c r="G14" s="61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8">
        <v>46144</v>
      </c>
      <c r="D15" s="184"/>
      <c r="E15" s="53" t="s">
        <v>78</v>
      </c>
      <c r="F15" s="8" t="s">
        <v>87</v>
      </c>
      <c r="G15" s="61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8">
        <v>46144</v>
      </c>
      <c r="D16" s="184"/>
      <c r="E16" s="53" t="s">
        <v>80</v>
      </c>
      <c r="F16" s="8" t="s">
        <v>37</v>
      </c>
      <c r="G16" s="61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6"/>
      <c r="D17" s="184"/>
      <c r="E17" s="59"/>
      <c r="F17" s="55"/>
      <c r="G17" s="145"/>
      <c r="H17" s="47"/>
      <c r="I17" s="47"/>
      <c r="J17" s="47"/>
      <c r="K17" s="1"/>
      <c r="L17" s="47"/>
      <c r="M17" s="47"/>
    </row>
    <row r="18" spans="3:13" ht="26.4" thickBot="1">
      <c r="C18" s="119">
        <v>46145</v>
      </c>
      <c r="D18" s="184"/>
      <c r="E18" s="53" t="s">
        <v>80</v>
      </c>
      <c r="F18" s="8" t="s">
        <v>37</v>
      </c>
      <c r="G18" s="61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19">
        <v>46145</v>
      </c>
      <c r="D19" s="184"/>
      <c r="E19" s="53" t="s">
        <v>78</v>
      </c>
      <c r="F19" s="8" t="s">
        <v>87</v>
      </c>
      <c r="G19" s="61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6"/>
      <c r="D20" s="184"/>
      <c r="E20" s="59"/>
      <c r="F20" s="55"/>
      <c r="G20" s="145"/>
      <c r="H20" s="47"/>
      <c r="I20" s="47"/>
      <c r="J20" s="47"/>
      <c r="K20" s="1"/>
      <c r="L20" s="47"/>
      <c r="M20" s="47"/>
    </row>
    <row r="21" spans="3:13" ht="26.25" customHeight="1" thickBot="1">
      <c r="C21" s="119">
        <v>46146</v>
      </c>
      <c r="D21" s="184"/>
      <c r="E21" s="53" t="s">
        <v>78</v>
      </c>
      <c r="F21" s="8" t="s">
        <v>87</v>
      </c>
      <c r="G21" s="61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19">
        <v>46146</v>
      </c>
      <c r="D22" s="184"/>
      <c r="E22" s="53" t="s">
        <v>80</v>
      </c>
      <c r="F22" s="8" t="s">
        <v>37</v>
      </c>
      <c r="G22" s="61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6"/>
      <c r="D23" s="184"/>
      <c r="E23" s="59"/>
      <c r="F23" s="55"/>
      <c r="G23" s="145"/>
      <c r="H23" s="47"/>
      <c r="I23" s="47"/>
      <c r="J23" s="47"/>
      <c r="K23" s="1"/>
      <c r="L23" s="47"/>
      <c r="M23" s="47"/>
    </row>
    <row r="24" spans="3:13" ht="26.25" customHeight="1" thickBot="1">
      <c r="C24" s="119">
        <v>46147</v>
      </c>
      <c r="D24" s="184"/>
      <c r="E24" s="53" t="s">
        <v>78</v>
      </c>
      <c r="F24" s="8" t="s">
        <v>87</v>
      </c>
      <c r="G24" s="61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19">
        <v>46147</v>
      </c>
      <c r="D25" s="184"/>
      <c r="E25" s="53" t="s">
        <v>80</v>
      </c>
      <c r="F25" s="8" t="s">
        <v>37</v>
      </c>
      <c r="G25" s="61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19">
        <v>46147</v>
      </c>
      <c r="D26" s="184"/>
      <c r="E26" s="53" t="s">
        <v>80</v>
      </c>
      <c r="F26" s="8" t="s">
        <v>24</v>
      </c>
      <c r="G26" s="61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6"/>
      <c r="D27" s="184"/>
      <c r="E27" s="59"/>
      <c r="F27" s="55"/>
      <c r="G27" s="145"/>
      <c r="H27" s="47"/>
      <c r="I27" s="47"/>
      <c r="J27" s="47"/>
      <c r="K27" s="1"/>
      <c r="L27" s="47"/>
      <c r="M27" s="47"/>
    </row>
    <row r="28" spans="3:13" ht="26.25" customHeight="1" thickBot="1">
      <c r="C28" s="119">
        <v>46148</v>
      </c>
      <c r="D28" s="184"/>
      <c r="E28" s="53" t="s">
        <v>80</v>
      </c>
      <c r="F28" s="8" t="s">
        <v>24</v>
      </c>
      <c r="G28" s="61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19">
        <v>46148</v>
      </c>
      <c r="D29" s="184"/>
      <c r="E29" s="53" t="s">
        <v>78</v>
      </c>
      <c r="F29" s="8" t="s">
        <v>87</v>
      </c>
      <c r="G29" s="61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19">
        <v>46148</v>
      </c>
      <c r="D30" s="184"/>
      <c r="E30" s="86" t="s">
        <v>72</v>
      </c>
      <c r="F30" s="87" t="s">
        <v>86</v>
      </c>
      <c r="G30" s="61" t="s">
        <v>83</v>
      </c>
      <c r="H30" s="39" t="s">
        <v>66</v>
      </c>
      <c r="I30" s="39">
        <v>1464</v>
      </c>
      <c r="J30" s="39">
        <v>1456</v>
      </c>
      <c r="K30" s="1"/>
      <c r="L30" s="39"/>
      <c r="M30" s="41"/>
    </row>
    <row r="31" spans="3:13" ht="26.25" customHeight="1" thickBot="1">
      <c r="C31" s="67">
        <v>46149</v>
      </c>
      <c r="D31" s="184"/>
      <c r="E31" s="53" t="s">
        <v>72</v>
      </c>
      <c r="F31" s="8" t="s">
        <v>86</v>
      </c>
      <c r="G31" s="61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2">
        <v>46150</v>
      </c>
      <c r="D32" s="184"/>
      <c r="E32" s="134"/>
      <c r="F32" s="64"/>
      <c r="G32" s="135"/>
      <c r="H32" s="63"/>
      <c r="I32" s="63"/>
      <c r="J32" s="63"/>
      <c r="K32" s="1"/>
      <c r="L32" s="63"/>
      <c r="M32" s="63"/>
    </row>
    <row r="33" spans="3:13" ht="26.25" customHeight="1" thickBot="1">
      <c r="C33" s="142">
        <v>46151</v>
      </c>
      <c r="D33" s="184"/>
      <c r="E33" s="134"/>
      <c r="F33" s="64"/>
      <c r="G33" s="135"/>
      <c r="H33" s="63"/>
      <c r="I33" s="63"/>
      <c r="J33" s="63"/>
      <c r="K33" s="1"/>
      <c r="L33" s="63"/>
      <c r="M33" s="63"/>
    </row>
    <row r="34" spans="3:13" ht="26.25" customHeight="1" thickBot="1">
      <c r="C34" s="119">
        <v>46152</v>
      </c>
      <c r="D34" s="184"/>
      <c r="E34" s="53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19">
        <v>46152</v>
      </c>
      <c r="D35" s="184"/>
      <c r="E35" s="53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19">
        <v>46152</v>
      </c>
      <c r="D36" s="184"/>
      <c r="E36" s="53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19">
        <v>46152</v>
      </c>
      <c r="D37" s="184"/>
      <c r="E37" s="136" t="s">
        <v>78</v>
      </c>
      <c r="F37" s="10" t="s">
        <v>87</v>
      </c>
      <c r="G37" s="54" t="s">
        <v>76</v>
      </c>
      <c r="H37" s="54" t="s">
        <v>66</v>
      </c>
      <c r="I37" s="54">
        <v>1974</v>
      </c>
      <c r="J37" s="54">
        <v>1973</v>
      </c>
      <c r="K37" s="1"/>
      <c r="L37" s="54"/>
      <c r="M37" s="54"/>
    </row>
    <row r="38" spans="3:13" ht="26.4" thickBot="1">
      <c r="C38" s="67">
        <v>46153</v>
      </c>
      <c r="D38" s="184"/>
      <c r="E38" s="113" t="s">
        <v>72</v>
      </c>
      <c r="F38" s="113" t="s">
        <v>86</v>
      </c>
      <c r="G38" s="113" t="s">
        <v>83</v>
      </c>
      <c r="H38" s="54" t="s">
        <v>66</v>
      </c>
      <c r="I38" s="113">
        <v>1444</v>
      </c>
      <c r="J38" s="113">
        <v>1442</v>
      </c>
      <c r="L38" s="113"/>
      <c r="M38" s="113"/>
    </row>
    <row r="39" spans="3:13" ht="26.4" thickBot="1">
      <c r="C39" s="67">
        <v>46153</v>
      </c>
      <c r="D39" s="184"/>
      <c r="E39" s="113" t="s">
        <v>78</v>
      </c>
      <c r="F39" s="113" t="s">
        <v>87</v>
      </c>
      <c r="G39" s="113" t="s">
        <v>76</v>
      </c>
      <c r="H39" s="54" t="s">
        <v>66</v>
      </c>
      <c r="I39" s="113">
        <v>1973</v>
      </c>
      <c r="J39" s="113">
        <v>1972</v>
      </c>
      <c r="L39" s="113"/>
      <c r="M39" s="113"/>
    </row>
    <row r="40" spans="3:13" ht="26.4" thickBot="1">
      <c r="C40" s="67">
        <v>46153</v>
      </c>
      <c r="D40" s="184"/>
      <c r="E40" s="113" t="s">
        <v>72</v>
      </c>
      <c r="F40" s="113" t="s">
        <v>86</v>
      </c>
      <c r="G40" s="113" t="s">
        <v>83</v>
      </c>
      <c r="H40" s="54" t="s">
        <v>66</v>
      </c>
      <c r="I40" s="113">
        <v>1442</v>
      </c>
      <c r="J40" s="113">
        <v>1441</v>
      </c>
      <c r="L40" s="113"/>
      <c r="M40" s="113"/>
    </row>
    <row r="41" spans="3:13" ht="26.4" thickBot="1">
      <c r="C41" s="67">
        <v>46153</v>
      </c>
      <c r="D41" s="184"/>
      <c r="E41" s="113" t="s">
        <v>72</v>
      </c>
      <c r="F41" s="113" t="s">
        <v>86</v>
      </c>
      <c r="G41" s="113" t="s">
        <v>83</v>
      </c>
      <c r="H41" s="54" t="s">
        <v>66</v>
      </c>
      <c r="I41" s="113">
        <v>1441</v>
      </c>
      <c r="J41" s="113">
        <v>1440</v>
      </c>
      <c r="L41" s="113"/>
      <c r="M41" s="113"/>
    </row>
    <row r="42" spans="3:13" ht="26.4" thickBot="1">
      <c r="C42" s="67">
        <v>46154</v>
      </c>
      <c r="D42" s="184"/>
      <c r="E42" s="113" t="s">
        <v>72</v>
      </c>
      <c r="F42" s="113" t="s">
        <v>86</v>
      </c>
      <c r="G42" s="113" t="s">
        <v>83</v>
      </c>
      <c r="H42" s="54" t="s">
        <v>66</v>
      </c>
      <c r="I42" s="113">
        <v>1440</v>
      </c>
      <c r="J42" s="113">
        <v>1438</v>
      </c>
      <c r="L42" s="113"/>
      <c r="M42" s="113"/>
    </row>
    <row r="43" spans="3:13" ht="26.4" thickBot="1">
      <c r="C43" s="67">
        <v>46154</v>
      </c>
      <c r="D43" s="184"/>
      <c r="E43" s="113" t="s">
        <v>78</v>
      </c>
      <c r="F43" s="113" t="s">
        <v>87</v>
      </c>
      <c r="G43" s="113" t="s">
        <v>76</v>
      </c>
      <c r="H43" s="54" t="s">
        <v>66</v>
      </c>
      <c r="I43" s="113">
        <v>1972</v>
      </c>
      <c r="J43" s="113">
        <v>1971</v>
      </c>
      <c r="L43" s="113"/>
      <c r="M43" s="113"/>
    </row>
    <row r="44" spans="3:13" ht="26.4" thickBot="1">
      <c r="C44" s="67">
        <v>46155</v>
      </c>
      <c r="D44" s="184"/>
      <c r="E44" s="113" t="s">
        <v>72</v>
      </c>
      <c r="F44" s="113" t="s">
        <v>86</v>
      </c>
      <c r="G44" s="113" t="s">
        <v>83</v>
      </c>
      <c r="H44" s="54" t="s">
        <v>66</v>
      </c>
      <c r="I44" s="113">
        <v>1438</v>
      </c>
      <c r="J44" s="113">
        <v>1431</v>
      </c>
      <c r="L44" s="113"/>
      <c r="M44" s="113"/>
    </row>
    <row r="45" spans="3:13" ht="26.4" thickBot="1">
      <c r="C45" s="67">
        <v>46155</v>
      </c>
      <c r="D45" s="184"/>
      <c r="E45" s="113" t="s">
        <v>78</v>
      </c>
      <c r="F45" s="113" t="s">
        <v>87</v>
      </c>
      <c r="G45" s="113" t="s">
        <v>76</v>
      </c>
      <c r="H45" s="54" t="s">
        <v>66</v>
      </c>
      <c r="I45" s="113">
        <v>1971</v>
      </c>
      <c r="J45" s="113">
        <v>1968</v>
      </c>
      <c r="L45" s="113"/>
      <c r="M45" s="113"/>
    </row>
    <row r="46" spans="3:13" ht="26.4" thickBot="1">
      <c r="C46" s="67">
        <v>46156</v>
      </c>
      <c r="D46" s="184"/>
      <c r="E46" s="113" t="s">
        <v>72</v>
      </c>
      <c r="F46" s="113" t="s">
        <v>86</v>
      </c>
      <c r="G46" s="113" t="s">
        <v>83</v>
      </c>
      <c r="H46" s="54" t="s">
        <v>66</v>
      </c>
      <c r="I46" s="113">
        <v>1431</v>
      </c>
      <c r="J46" s="113">
        <v>1422</v>
      </c>
      <c r="L46" s="113"/>
      <c r="M46" s="113"/>
    </row>
    <row r="47" spans="3:13" ht="26.4" thickBot="1">
      <c r="C47" s="67">
        <v>46156</v>
      </c>
      <c r="D47" s="184"/>
      <c r="E47" s="113" t="s">
        <v>78</v>
      </c>
      <c r="F47" s="113" t="s">
        <v>87</v>
      </c>
      <c r="G47" s="113" t="s">
        <v>76</v>
      </c>
      <c r="H47" s="54" t="s">
        <v>66</v>
      </c>
      <c r="I47" s="113">
        <v>1968</v>
      </c>
      <c r="J47" s="113">
        <v>1964</v>
      </c>
      <c r="L47" s="113"/>
      <c r="M47" s="113"/>
    </row>
    <row r="48" spans="3:13" ht="26.4" thickBot="1">
      <c r="C48" s="67">
        <v>46157</v>
      </c>
      <c r="D48" s="184"/>
      <c r="E48" s="113" t="s">
        <v>78</v>
      </c>
      <c r="F48" s="113" t="s">
        <v>87</v>
      </c>
      <c r="G48" s="113" t="s">
        <v>76</v>
      </c>
      <c r="H48" s="54" t="s">
        <v>66</v>
      </c>
      <c r="I48" s="113">
        <v>1964</v>
      </c>
      <c r="J48" s="113">
        <v>1962</v>
      </c>
      <c r="L48" s="113"/>
      <c r="M48" s="113"/>
    </row>
    <row r="49" spans="3:13" ht="26.4" thickBot="1">
      <c r="C49" s="67">
        <v>46157</v>
      </c>
      <c r="D49" s="184"/>
      <c r="E49" s="113" t="s">
        <v>72</v>
      </c>
      <c r="F49" s="113" t="s">
        <v>86</v>
      </c>
      <c r="G49" s="113" t="s">
        <v>83</v>
      </c>
      <c r="H49" s="54" t="s">
        <v>66</v>
      </c>
      <c r="I49" s="113">
        <v>1422</v>
      </c>
      <c r="J49" s="113">
        <v>1417</v>
      </c>
      <c r="L49" s="113"/>
      <c r="M49" s="113"/>
    </row>
    <row r="50" spans="3:13" ht="26.4" thickBot="1">
      <c r="C50" s="67">
        <v>46158</v>
      </c>
      <c r="D50" s="184"/>
      <c r="E50" s="113" t="s">
        <v>72</v>
      </c>
      <c r="F50" s="113" t="s">
        <v>86</v>
      </c>
      <c r="G50" s="113" t="s">
        <v>83</v>
      </c>
      <c r="H50" s="113"/>
      <c r="I50" s="113">
        <v>1417</v>
      </c>
      <c r="J50" s="113">
        <v>1416</v>
      </c>
      <c r="L50" s="113"/>
      <c r="M50" s="113"/>
    </row>
    <row r="51" spans="3:13" ht="25.8">
      <c r="C51" s="113"/>
      <c r="D51" s="185"/>
      <c r="E51" s="113"/>
      <c r="F51" s="113"/>
      <c r="G51" s="113"/>
      <c r="H51" s="113"/>
      <c r="I51" s="113"/>
      <c r="J51" s="113"/>
      <c r="L51" s="113"/>
      <c r="M51" s="113"/>
    </row>
  </sheetData>
  <mergeCells count="3">
    <mergeCell ref="D7:D51"/>
    <mergeCell ref="C2:J4"/>
    <mergeCell ref="L3:M4"/>
  </mergeCells>
  <conditionalFormatting sqref="F7:F37">
    <cfRule type="containsText" dxfId="25" priority="11" operator="containsText" text="Light Blue">
      <formula>NOT(ISERROR(SEARCH("Light Blue",F7)))</formula>
    </cfRule>
    <cfRule type="containsText" dxfId="24" priority="21" operator="containsText" text="Orange">
      <formula>NOT(ISERROR(SEARCH("Orange",F7)))</formula>
    </cfRule>
    <cfRule type="containsText" dxfId="23" priority="22" operator="containsText" text="Purple">
      <formula>NOT(ISERROR(SEARCH("Purple",F7)))</formula>
    </cfRule>
  </conditionalFormatting>
  <conditionalFormatting sqref="F7:F37">
    <cfRule type="containsText" dxfId="22" priority="9" operator="containsText" text="Light Blue">
      <formula>NOT(ISERROR(SEARCH("Light Blue",F7)))</formula>
    </cfRule>
    <cfRule type="containsText" dxfId="21" priority="12" operator="containsText" text="Dark Blue">
      <formula>NOT(ISERROR(SEARCH("Dark Blue",F7)))</formula>
    </cfRule>
    <cfRule type="containsText" dxfId="20" priority="13" operator="containsText" text="Blue">
      <formula>NOT(ISERROR(SEARCH("Blue",F7)))</formula>
    </cfRule>
    <cfRule type="containsText" dxfId="19" priority="14" operator="containsText" text="Yellow">
      <formula>NOT(ISERROR(SEARCH("Yellow",F7)))</formula>
    </cfRule>
    <cfRule type="containsText" dxfId="18" priority="15" operator="containsText" text="Light Blue">
      <formula>NOT(ISERROR(SEARCH("Light Blue",F7)))</formula>
    </cfRule>
    <cfRule type="containsText" dxfId="17" priority="16" operator="containsText" text="Dark Green">
      <formula>NOT(ISERROR(SEARCH("Dark Green",F7)))</formula>
    </cfRule>
    <cfRule type="containsText" dxfId="16" priority="17" operator="containsText" text="Brown">
      <formula>NOT(ISERROR(SEARCH("Brown",F7)))</formula>
    </cfRule>
    <cfRule type="containsText" dxfId="15" priority="18" operator="containsText" text="Green">
      <formula>NOT(ISERROR(SEARCH("Green",F7)))</formula>
    </cfRule>
    <cfRule type="containsText" dxfId="14" priority="19" operator="containsText" text="Red">
      <formula>NOT(ISERROR(SEARCH("Red",F7)))</formula>
    </cfRule>
    <cfRule type="containsText" dxfId="13" priority="20" operator="containsText" text="Gray">
      <formula>NOT(ISERROR(SEARCH("Gray",F7)))</formula>
    </cfRule>
  </conditionalFormatting>
  <conditionalFormatting sqref="F8">
    <cfRule type="containsText" dxfId="12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1" priority="8" operator="containsText" text="wHITE">
      <formula>NOT(ISERROR(SEARCH("wHITE",F19)))</formula>
    </cfRule>
  </conditionalFormatting>
  <conditionalFormatting sqref="F7:F37">
    <cfRule type="containsText" dxfId="10" priority="6" operator="containsText" text="White">
      <formula>NOT(ISERROR(SEARCH("White",F7)))</formula>
    </cfRule>
  </conditionalFormatting>
  <conditionalFormatting sqref="F1:F1048576">
    <cfRule type="containsText" dxfId="9" priority="1" operator="containsText" text="CW641">
      <formula>NOT(ISERROR(SEARCH("CW641",F1)))</formula>
    </cfRule>
    <cfRule type="containsText" dxfId="8" priority="2" operator="containsText" text="QC">
      <formula>NOT(ISERROR(SEARCH("QC",F1)))</formula>
    </cfRule>
    <cfRule type="containsText" dxfId="7" priority="3" operator="containsText" text="White">
      <formula>NOT(ISERROR(SEARCH("White",F1)))</formula>
    </cfRule>
    <cfRule type="containsText" dxfId="6" priority="4" operator="containsText" text="QC">
      <formula>NOT(ISERROR(SEARCH("QC",F1)))</formula>
    </cfRule>
    <cfRule type="containsText" dxfId="5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52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zoomScale="90" zoomScaleNormal="100" zoomScaleSheetLayoutView="90" workbookViewId="0">
      <selection activeCell="G34" sqref="G34:H35"/>
    </sheetView>
  </sheetViews>
  <sheetFormatPr defaultColWidth="9.109375" defaultRowHeight="14.4"/>
  <cols>
    <col min="1" max="6" width="9.109375" style="92"/>
    <col min="7" max="7" width="9.109375" style="105"/>
    <col min="8" max="8" width="10.5546875" style="105" customWidth="1"/>
    <col min="9" max="10" width="11" style="108" customWidth="1"/>
    <col min="11" max="11" width="9.109375" style="92"/>
    <col min="12" max="12" width="12.33203125" style="92" customWidth="1"/>
    <col min="13" max="13" width="9.109375" style="92"/>
    <col min="14" max="16" width="11" style="92" customWidth="1"/>
    <col min="17" max="18" width="9.109375" style="92" customWidth="1"/>
    <col min="19" max="19" width="16" style="92" customWidth="1"/>
    <col min="20" max="16384" width="9.109375" style="92"/>
  </cols>
  <sheetData>
    <row r="1" spans="4:21" ht="14.4" customHeight="1">
      <c r="G1" s="251" t="s">
        <v>3</v>
      </c>
      <c r="H1" s="251"/>
      <c r="I1" s="251" t="s">
        <v>2</v>
      </c>
      <c r="J1" s="251"/>
      <c r="K1" s="251" t="s">
        <v>5</v>
      </c>
      <c r="L1" s="251"/>
      <c r="M1" s="251" t="s">
        <v>60</v>
      </c>
      <c r="N1" s="276"/>
      <c r="O1" s="251" t="s">
        <v>4</v>
      </c>
      <c r="P1" s="251"/>
      <c r="Q1" s="253" t="s">
        <v>79</v>
      </c>
      <c r="R1" s="251"/>
      <c r="S1" s="97"/>
      <c r="T1" s="98"/>
      <c r="U1" s="98"/>
    </row>
    <row r="2" spans="4:21" ht="15" customHeight="1">
      <c r="D2" s="93"/>
      <c r="E2" s="93"/>
      <c r="F2" s="93"/>
      <c r="G2" s="251"/>
      <c r="H2" s="251"/>
      <c r="I2" s="251"/>
      <c r="J2" s="251"/>
      <c r="K2" s="251"/>
      <c r="L2" s="251"/>
      <c r="M2" s="251"/>
      <c r="N2" s="276"/>
      <c r="O2" s="251"/>
      <c r="P2" s="251"/>
      <c r="Q2" s="253"/>
      <c r="R2" s="251"/>
      <c r="S2" s="97"/>
      <c r="T2" s="98"/>
      <c r="U2" s="98"/>
    </row>
    <row r="3" spans="4:21" ht="15" customHeight="1">
      <c r="D3" s="93"/>
      <c r="E3" s="93"/>
      <c r="F3" s="93"/>
      <c r="G3" s="251" t="s">
        <v>28</v>
      </c>
      <c r="H3" s="251"/>
      <c r="I3" s="276" t="s">
        <v>28</v>
      </c>
      <c r="J3" s="253"/>
      <c r="K3" s="276" t="s">
        <v>28</v>
      </c>
      <c r="L3" s="253"/>
      <c r="M3" s="251" t="s">
        <v>61</v>
      </c>
      <c r="N3" s="276"/>
      <c r="O3" s="251" t="s">
        <v>46</v>
      </c>
      <c r="P3" s="251"/>
      <c r="Q3" s="253" t="s">
        <v>78</v>
      </c>
      <c r="R3" s="251"/>
      <c r="S3" s="97"/>
      <c r="T3" s="98"/>
      <c r="U3" s="98"/>
    </row>
    <row r="4" spans="4:21" ht="15" customHeight="1">
      <c r="D4" s="93"/>
      <c r="E4" s="93"/>
      <c r="F4" s="93"/>
      <c r="G4" s="255" cm="1">
        <f t="array" ref="G4">LOOKUP(2,1/(Chicken!F:F="Purple"),Chicken!J:J)</f>
        <v>41452</v>
      </c>
      <c r="H4" s="255"/>
      <c r="I4" s="255" cm="1">
        <f t="array" ref="I4">LOOKUP(2,1/(COW!F:F="Purple"),COW!J:J)</f>
        <v>32111</v>
      </c>
      <c r="J4" s="255"/>
      <c r="K4" s="255" cm="1">
        <f t="array" ref="K4">LOOKUP(2,1/(WithOut!F:F="Purple (10)"),WithOut!J:J)</f>
        <v>7466</v>
      </c>
      <c r="L4" s="255"/>
      <c r="M4" s="255">
        <f>LOOKUP(2,1/(Plastic!F:F="Purple Popp"),Plastic!J:J)</f>
        <v>6208</v>
      </c>
      <c r="N4" s="285"/>
      <c r="O4" s="249">
        <f>LOOKUP(2,1/(Koptimix!F:F="Red Black(1i)"),Koptimix!J:J)</f>
        <v>27016</v>
      </c>
      <c r="P4" s="249"/>
      <c r="Q4" s="254">
        <f>LOOKUP(2,1/(Roll!F:F="CW641"),Roll!J:J)</f>
        <v>1962</v>
      </c>
      <c r="R4" s="255"/>
      <c r="S4" s="97"/>
      <c r="T4" s="97"/>
      <c r="U4" s="97"/>
    </row>
    <row r="5" spans="4:21" ht="15" customHeight="1">
      <c r="D5" s="93"/>
      <c r="E5" s="93"/>
      <c r="F5" s="93"/>
      <c r="G5" s="255"/>
      <c r="H5" s="255"/>
      <c r="I5" s="255"/>
      <c r="J5" s="255"/>
      <c r="K5" s="255"/>
      <c r="L5" s="255"/>
      <c r="M5" s="255"/>
      <c r="N5" s="285"/>
      <c r="O5" s="249"/>
      <c r="P5" s="249"/>
      <c r="Q5" s="254"/>
      <c r="R5" s="255"/>
      <c r="S5" s="97"/>
      <c r="T5" s="97"/>
      <c r="U5" s="97"/>
    </row>
    <row r="6" spans="4:21" ht="15" customHeight="1">
      <c r="D6" s="93"/>
      <c r="E6" s="93"/>
      <c r="F6" s="93"/>
      <c r="G6" s="252" t="s">
        <v>30</v>
      </c>
      <c r="H6" s="252"/>
      <c r="I6" s="277" t="s">
        <v>36</v>
      </c>
      <c r="J6" s="256"/>
      <c r="K6" s="277" t="s">
        <v>36</v>
      </c>
      <c r="L6" s="256"/>
      <c r="M6" s="252" t="s">
        <v>64</v>
      </c>
      <c r="N6" s="277"/>
      <c r="O6" s="252" t="s">
        <v>47</v>
      </c>
      <c r="P6" s="252"/>
      <c r="Q6" s="256" t="s">
        <v>72</v>
      </c>
      <c r="R6" s="252"/>
      <c r="S6" s="97"/>
      <c r="T6" s="97"/>
      <c r="U6" s="97"/>
    </row>
    <row r="7" spans="4:21" ht="15" customHeight="1">
      <c r="D7" s="93"/>
      <c r="E7" s="93"/>
      <c r="F7" s="93"/>
      <c r="G7" s="278" cm="1">
        <f t="array" ref="G7">LOOKUP(2,1/(Chicken!F:F="Orange"),Chicken!J:J)</f>
        <v>59</v>
      </c>
      <c r="H7" s="278"/>
      <c r="I7" s="275" cm="1">
        <f t="array" ref="I7">LOOKUP(2,1/(COW!F:F="Red"),COW!J:J)</f>
        <v>4668</v>
      </c>
      <c r="J7" s="275"/>
      <c r="K7" s="275" cm="1">
        <f t="array" ref="K7">LOOKUP(2,1/(WithOut!F:F="Red"),WithOut!J:J)</f>
        <v>24013</v>
      </c>
      <c r="L7" s="275"/>
      <c r="M7" s="286">
        <f>LOOKUP(2,1/(Plastic!F:F="Blue Popp"),Plastic!J:J)</f>
        <v>7150</v>
      </c>
      <c r="N7" s="287"/>
      <c r="O7" s="249">
        <f>LOOKUP(2,1/(Koptimix!F:F="Blue Green(1J)"),Koptimix!J:J)</f>
        <v>25695</v>
      </c>
      <c r="P7" s="249"/>
      <c r="Q7" s="257">
        <f>LOOKUP(2,1/(Roll!F:F="Green+"),Roll!J:J)</f>
        <v>1416</v>
      </c>
      <c r="R7" s="258"/>
      <c r="S7" s="94"/>
      <c r="T7" s="94"/>
      <c r="U7" s="94"/>
    </row>
    <row r="8" spans="4:21" ht="15" customHeight="1">
      <c r="D8" s="93"/>
      <c r="E8" s="93"/>
      <c r="F8" s="93"/>
      <c r="G8" s="278"/>
      <c r="H8" s="278"/>
      <c r="I8" s="275"/>
      <c r="J8" s="275"/>
      <c r="K8" s="275"/>
      <c r="L8" s="275"/>
      <c r="M8" s="286"/>
      <c r="N8" s="287"/>
      <c r="O8" s="249"/>
      <c r="P8" s="249"/>
      <c r="Q8" s="257"/>
      <c r="R8" s="258"/>
      <c r="S8" s="95"/>
      <c r="T8" s="100"/>
      <c r="U8" s="100"/>
    </row>
    <row r="9" spans="4:21" s="40" customFormat="1" ht="15" customHeight="1">
      <c r="G9" s="250" t="s">
        <v>88</v>
      </c>
      <c r="H9" s="250"/>
      <c r="I9" s="250" t="s">
        <v>30</v>
      </c>
      <c r="J9" s="250"/>
      <c r="K9" s="250" t="s">
        <v>30</v>
      </c>
      <c r="L9" s="250"/>
      <c r="M9" s="250" t="s">
        <v>65</v>
      </c>
      <c r="N9" s="282"/>
      <c r="O9" s="250" t="s">
        <v>48</v>
      </c>
      <c r="P9" s="250"/>
      <c r="Q9" s="261" t="s">
        <v>80</v>
      </c>
      <c r="R9" s="250"/>
      <c r="S9" s="95"/>
      <c r="T9" s="100"/>
      <c r="U9" s="100"/>
    </row>
    <row r="10" spans="4:21" ht="15" customHeight="1">
      <c r="D10" s="93"/>
      <c r="E10" s="93"/>
      <c r="F10" s="93"/>
      <c r="G10" s="279" cm="1">
        <f t="array" ref="G10">LOOKUP(2,1/(Chicken!F:F="Orange (13)"),Chicken!J:J)</f>
        <v>0</v>
      </c>
      <c r="H10" s="279"/>
      <c r="I10" s="278" cm="1">
        <f t="array" ref="I10">LOOKUP(2,1/(COW!F:F="Orange"),COW!J:J)</f>
        <v>3673</v>
      </c>
      <c r="J10" s="278"/>
      <c r="K10" s="278" cm="1">
        <f t="array" ref="K10">LOOKUP(2,1/(WithOut!F:F="Orange (10)"),WithOut!J:J)</f>
        <v>7450</v>
      </c>
      <c r="L10" s="278"/>
      <c r="M10" s="258">
        <f>LOOKUP(2,1/(Plastic!F:F="Green Popp"),Plastic!J:J)</f>
        <v>7092</v>
      </c>
      <c r="N10" s="283"/>
      <c r="O10" s="249" cm="1">
        <f t="array" ref="O10">LOOKUP(2,1/(Koptimix!F:F="Blue Black(1H)"),Koptimix!J:J)</f>
        <v>9176</v>
      </c>
      <c r="P10" s="249"/>
      <c r="Q10" s="264">
        <f>LOOKUP(2,1/(Roll!F:F="Green"),Roll!J:J)</f>
        <v>370</v>
      </c>
      <c r="R10" s="265"/>
      <c r="S10" s="102"/>
      <c r="T10" s="103"/>
      <c r="U10" s="103"/>
    </row>
    <row r="11" spans="4:21" ht="15" customHeight="1">
      <c r="D11" s="93"/>
      <c r="E11" s="93"/>
      <c r="F11" s="93"/>
      <c r="G11" s="279"/>
      <c r="H11" s="279"/>
      <c r="I11" s="278"/>
      <c r="J11" s="278"/>
      <c r="K11" s="278"/>
      <c r="L11" s="278"/>
      <c r="M11" s="258"/>
      <c r="N11" s="283"/>
      <c r="O11" s="249"/>
      <c r="P11" s="249"/>
      <c r="Q11" s="264"/>
      <c r="R11" s="265"/>
      <c r="S11" s="102"/>
      <c r="T11" s="103"/>
      <c r="U11" s="103"/>
    </row>
    <row r="12" spans="4:21" s="40" customFormat="1" ht="15" customHeight="1">
      <c r="G12" s="250" t="s">
        <v>34</v>
      </c>
      <c r="H12" s="250"/>
      <c r="I12" s="250" t="s">
        <v>24</v>
      </c>
      <c r="J12" s="250"/>
      <c r="K12" s="250" t="s">
        <v>24</v>
      </c>
      <c r="L12" s="250"/>
      <c r="M12" s="250" t="s">
        <v>90</v>
      </c>
      <c r="N12" s="282"/>
      <c r="O12" s="250" t="s">
        <v>50</v>
      </c>
      <c r="P12" s="250"/>
      <c r="Q12" s="261" t="s">
        <v>80</v>
      </c>
      <c r="R12" s="250"/>
      <c r="S12" s="102"/>
      <c r="T12" s="103"/>
      <c r="U12" s="103"/>
    </row>
    <row r="13" spans="4:21" ht="15" customHeight="1">
      <c r="D13" s="93"/>
      <c r="E13" s="93"/>
      <c r="F13" s="93"/>
      <c r="G13" s="278" cm="1">
        <f t="array" ref="G13">LOOKUP(2,1/(Chicken!F:F="Orange (70*45)"),Chicken!J:J)</f>
        <v>210</v>
      </c>
      <c r="H13" s="278"/>
      <c r="I13" s="267" cm="1">
        <f t="array" ref="I13">LOOKUP(2,1/(COW!F:F="Blue"),COW!J:J)</f>
        <v>47358</v>
      </c>
      <c r="J13" s="267"/>
      <c r="K13" s="267" cm="1">
        <f t="array" ref="K13">LOOKUP(2,1/(WithOut!F:F="Blue"),WithOut!J:J)</f>
        <v>6482</v>
      </c>
      <c r="L13" s="267"/>
      <c r="M13" s="278">
        <f>LOOKUP(2,1/(Plastic!F:F="White 25G"),Plastic!J:J)</f>
        <v>1000</v>
      </c>
      <c r="N13" s="284"/>
      <c r="O13" s="249" cm="1">
        <f t="array" ref="O13">LOOKUP(2,1/(Koptimix!F:F="Red Dark Blue(1E)"),Koptimix!J:J)</f>
        <v>41655</v>
      </c>
      <c r="P13" s="249"/>
      <c r="Q13" s="266">
        <f>LOOKUP(2,1/(Roll!F:F="Blue"),Roll!J:J)</f>
        <v>393</v>
      </c>
      <c r="R13" s="267"/>
      <c r="S13" s="102"/>
      <c r="T13" s="103"/>
      <c r="U13" s="103"/>
    </row>
    <row r="14" spans="4:21" ht="15" customHeight="1">
      <c r="D14" s="93"/>
      <c r="E14" s="93"/>
      <c r="F14" s="93"/>
      <c r="G14" s="278"/>
      <c r="H14" s="278"/>
      <c r="I14" s="267"/>
      <c r="J14" s="267"/>
      <c r="K14" s="267"/>
      <c r="L14" s="267"/>
      <c r="M14" s="278"/>
      <c r="N14" s="284"/>
      <c r="O14" s="249"/>
      <c r="P14" s="249"/>
      <c r="Q14" s="266"/>
      <c r="R14" s="267"/>
      <c r="S14" s="94"/>
      <c r="T14" s="94"/>
      <c r="U14" s="94"/>
    </row>
    <row r="15" spans="4:21" s="40" customFormat="1" ht="15" customHeight="1">
      <c r="G15" s="250" t="s">
        <v>31</v>
      </c>
      <c r="H15" s="250"/>
      <c r="I15" s="250" t="s">
        <v>38</v>
      </c>
      <c r="J15" s="250"/>
      <c r="K15" s="250" t="s">
        <v>42</v>
      </c>
      <c r="L15" s="250"/>
      <c r="M15" s="250" t="s">
        <v>91</v>
      </c>
      <c r="N15" s="282"/>
      <c r="O15" s="250" t="s">
        <v>49</v>
      </c>
      <c r="P15" s="250"/>
      <c r="Q15" s="261" t="s">
        <v>81</v>
      </c>
      <c r="R15" s="250"/>
      <c r="S15" s="94"/>
      <c r="T15" s="94"/>
      <c r="U15" s="94"/>
    </row>
    <row r="16" spans="4:21" ht="15" customHeight="1">
      <c r="D16" s="93"/>
      <c r="E16" s="93"/>
      <c r="F16" s="93"/>
      <c r="G16" s="260" cm="1">
        <f t="array" ref="G16">LOOKUP(2,1/(Chicken!F:F="Gray"),Chicken!J:J)</f>
        <v>7537</v>
      </c>
      <c r="H16" s="260"/>
      <c r="I16" s="258" cm="1">
        <f t="array" ref="I16">LOOKUP(2,1/(COW!F:F="Dark Green"),COW!J:J)</f>
        <v>38160</v>
      </c>
      <c r="J16" s="258"/>
      <c r="K16" s="281" cm="1">
        <f t="array" ref="K16">LOOKUP(2,1/(WithOut!F:F="Brown"),WithOut!J:J)</f>
        <v>5394</v>
      </c>
      <c r="L16" s="281"/>
      <c r="M16" s="260">
        <f>LOOKUP(2,1/(Plastic!F:F="White 50G"),Plastic!J:J)</f>
        <v>1701</v>
      </c>
      <c r="N16" s="289"/>
      <c r="O16" s="249" cm="1">
        <f t="array" ref="O16">LOOKUP(2,1/(Koptimix!F:F="Blue Gray(1A)"),Koptimix!J:J)</f>
        <v>8004</v>
      </c>
      <c r="P16" s="249"/>
      <c r="Q16" s="259">
        <f>LOOKUP(2,1/(Roll!F:F="QC"),Roll!J:J)</f>
        <v>105</v>
      </c>
      <c r="R16" s="260"/>
      <c r="S16" s="94"/>
      <c r="T16" s="94"/>
      <c r="U16" s="94"/>
    </row>
    <row r="17" spans="4:21" ht="15" customHeight="1">
      <c r="D17" s="93"/>
      <c r="E17" s="93"/>
      <c r="F17" s="93"/>
      <c r="G17" s="260"/>
      <c r="H17" s="260"/>
      <c r="I17" s="258"/>
      <c r="J17" s="258"/>
      <c r="K17" s="281"/>
      <c r="L17" s="281"/>
      <c r="M17" s="260"/>
      <c r="N17" s="289"/>
      <c r="O17" s="249"/>
      <c r="P17" s="249"/>
      <c r="Q17" s="259"/>
      <c r="R17" s="260"/>
      <c r="S17" s="94"/>
      <c r="T17" s="94"/>
      <c r="U17" s="94"/>
    </row>
    <row r="18" spans="4:21" s="40" customFormat="1" ht="15" customHeight="1">
      <c r="G18" s="250" t="s">
        <v>36</v>
      </c>
      <c r="H18" s="250"/>
      <c r="I18" s="250" t="s">
        <v>45</v>
      </c>
      <c r="J18" s="250"/>
      <c r="K18" s="250" t="s">
        <v>59</v>
      </c>
      <c r="L18" s="250"/>
      <c r="M18" s="250" t="s">
        <v>36</v>
      </c>
      <c r="N18" s="282"/>
      <c r="O18" s="250" t="s">
        <v>51</v>
      </c>
      <c r="P18" s="250"/>
      <c r="Q18" s="261" t="s">
        <v>84</v>
      </c>
      <c r="R18" s="250"/>
      <c r="S18" s="94"/>
      <c r="T18" s="94"/>
      <c r="U18" s="94"/>
    </row>
    <row r="19" spans="4:21" ht="15" customHeight="1">
      <c r="D19" s="93"/>
      <c r="E19" s="93"/>
      <c r="F19" s="93"/>
      <c r="G19" s="275" cm="1">
        <f t="array" ref="G19">LOOKUP(2,1/(Chicken!F:F="Red"),Chicken!J:J)</f>
        <v>7485</v>
      </c>
      <c r="H19" s="275"/>
      <c r="I19" s="258" cm="1">
        <f t="array" ref="I19">LOOKUP(2,1/(COW!F:F="Dark Green(75*50*13)"),COW!J:J)</f>
        <v>1397</v>
      </c>
      <c r="J19" s="258"/>
      <c r="K19" s="263" cm="1">
        <f t="array" ref="K19">LOOKUP(2,1/(WithOut!F:F="White"),WithOut!J:J)</f>
        <v>5347</v>
      </c>
      <c r="L19" s="263"/>
      <c r="M19" s="275">
        <f>LOOKUP(2,1/(Plastic!F:F="Red"),Plastic!J:J)</f>
        <v>10000</v>
      </c>
      <c r="N19" s="290"/>
      <c r="O19" s="249" cm="1">
        <f t="array" ref="O19">LOOKUP(2,1/(Koptimix!F:F="Purple Dark Blue(1B)"),Koptimix!J:J)</f>
        <v>10090</v>
      </c>
      <c r="P19" s="249"/>
      <c r="Q19" s="262">
        <f>LOOKUP(2,1/(Roll!F:F="Plain White"),Roll!J:J)</f>
        <v>200</v>
      </c>
      <c r="R19" s="263"/>
      <c r="S19" s="95"/>
      <c r="T19" s="94"/>
      <c r="U19" s="94"/>
    </row>
    <row r="20" spans="4:21" ht="15" customHeight="1">
      <c r="D20" s="93"/>
      <c r="E20" s="93"/>
      <c r="F20" s="93"/>
      <c r="G20" s="275"/>
      <c r="H20" s="275"/>
      <c r="I20" s="258"/>
      <c r="J20" s="258"/>
      <c r="K20" s="263"/>
      <c r="L20" s="263"/>
      <c r="M20" s="275"/>
      <c r="N20" s="290"/>
      <c r="O20" s="249"/>
      <c r="P20" s="249"/>
      <c r="Q20" s="262"/>
      <c r="R20" s="263"/>
      <c r="S20" s="102"/>
      <c r="T20" s="94"/>
      <c r="U20" s="94"/>
    </row>
    <row r="21" spans="4:21" ht="15" customHeight="1">
      <c r="D21" s="93"/>
      <c r="E21" s="93"/>
      <c r="F21" s="93"/>
      <c r="G21" s="250" t="s">
        <v>37</v>
      </c>
      <c r="H21" s="250"/>
      <c r="I21" s="250" t="s">
        <v>37</v>
      </c>
      <c r="J21" s="250"/>
      <c r="K21" s="250" t="s">
        <v>37</v>
      </c>
      <c r="L21" s="250"/>
      <c r="M21" s="250" t="s">
        <v>37</v>
      </c>
      <c r="N21" s="282"/>
      <c r="O21" s="250" t="s">
        <v>52</v>
      </c>
      <c r="P21" s="250"/>
      <c r="Q21" s="102"/>
      <c r="R21" s="102"/>
      <c r="S21" s="102"/>
      <c r="T21" s="94"/>
      <c r="U21" s="94"/>
    </row>
    <row r="22" spans="4:21" ht="15" customHeight="1">
      <c r="D22" s="93"/>
      <c r="E22" s="93"/>
      <c r="F22" s="93"/>
      <c r="G22" s="265" cm="1">
        <f t="array" ref="G22">LOOKUP(2,1/(Chicken!F:F="Green"),Chicken!J:J)</f>
        <v>57016</v>
      </c>
      <c r="H22" s="265"/>
      <c r="I22" s="265" cm="1">
        <f t="array" ref="I22">LOOKUP(2,1/(COW!F:F="Green"),COW!J:J)</f>
        <v>5904</v>
      </c>
      <c r="J22" s="265"/>
      <c r="K22" s="258" cm="1">
        <f t="array" ref="K22">LOOKUP(2,1/(WithOut!F:F="Green"),WithOut!J:J)</f>
        <v>20421</v>
      </c>
      <c r="L22" s="258"/>
      <c r="M22" s="265">
        <f>LOOKUP(2,1/(Plastic!F:F="Green"),Plastic!J:J)</f>
        <v>10000</v>
      </c>
      <c r="N22" s="291"/>
      <c r="O22" s="249" cm="1">
        <f t="array" ref="O22">LOOKUP(2,1/(Koptimix!F:F="Blue Purple(1C)"),Koptimix!J:J)</f>
        <v>21187</v>
      </c>
      <c r="P22" s="249"/>
      <c r="Q22" s="102"/>
      <c r="R22" s="102"/>
      <c r="S22" s="102"/>
      <c r="T22" s="94"/>
      <c r="U22" s="94"/>
    </row>
    <row r="23" spans="4:21" ht="15" customHeight="1">
      <c r="D23" s="93"/>
      <c r="E23" s="93"/>
      <c r="F23" s="93"/>
      <c r="G23" s="265"/>
      <c r="H23" s="265"/>
      <c r="I23" s="265"/>
      <c r="J23" s="265"/>
      <c r="K23" s="258"/>
      <c r="L23" s="258"/>
      <c r="M23" s="265"/>
      <c r="N23" s="291"/>
      <c r="O23" s="249"/>
      <c r="P23" s="249"/>
      <c r="Q23" s="102"/>
      <c r="R23" s="102"/>
      <c r="S23" s="102"/>
      <c r="T23" s="94"/>
      <c r="U23" s="94"/>
    </row>
    <row r="24" spans="4:21" s="40" customFormat="1" ht="15" customHeight="1">
      <c r="G24" s="250" t="s">
        <v>38</v>
      </c>
      <c r="H24" s="250"/>
      <c r="I24" s="268"/>
      <c r="J24" s="268"/>
      <c r="K24" s="101"/>
      <c r="L24" s="101"/>
      <c r="M24" s="250" t="s">
        <v>28</v>
      </c>
      <c r="N24" s="282"/>
      <c r="O24" s="250" t="s">
        <v>54</v>
      </c>
      <c r="P24" s="250"/>
      <c r="Q24" s="102"/>
      <c r="R24" s="102"/>
      <c r="S24" s="102"/>
      <c r="T24" s="94"/>
      <c r="U24" s="94"/>
    </row>
    <row r="25" spans="4:21" ht="15" customHeight="1">
      <c r="D25" s="93"/>
      <c r="E25" s="93"/>
      <c r="F25" s="93"/>
      <c r="G25" s="258" cm="1">
        <f t="array" ref="G25">LOOKUP(2,1/(Chicken!F:F="Dark Green"),Chicken!J:J)</f>
        <v>5731</v>
      </c>
      <c r="H25" s="258"/>
      <c r="I25" s="269"/>
      <c r="J25" s="269"/>
      <c r="K25" s="94"/>
      <c r="L25" s="94"/>
      <c r="M25" s="255">
        <f>LOOKUP(2,1/(Plastic!F:F="Purple"),Plastic!J:J)</f>
        <v>7710</v>
      </c>
      <c r="N25" s="285"/>
      <c r="O25" s="249" cm="1">
        <f t="array" ref="O25">LOOKUP(2,1/(Koptimix!F:F="Green Black(GB)"),Koptimix!J:J)</f>
        <v>7194</v>
      </c>
      <c r="P25" s="249"/>
      <c r="Q25" s="94"/>
      <c r="R25" s="94"/>
      <c r="S25" s="94"/>
      <c r="T25" s="94"/>
      <c r="U25" s="94"/>
    </row>
    <row r="26" spans="4:21" ht="15" customHeight="1">
      <c r="D26" s="93"/>
      <c r="E26" s="93"/>
      <c r="F26" s="93"/>
      <c r="G26" s="258"/>
      <c r="H26" s="258"/>
      <c r="I26" s="269"/>
      <c r="J26" s="269"/>
      <c r="K26" s="94"/>
      <c r="L26" s="94"/>
      <c r="M26" s="255"/>
      <c r="N26" s="285"/>
      <c r="O26" s="249"/>
      <c r="P26" s="249"/>
      <c r="Q26" s="94"/>
      <c r="R26" s="94"/>
      <c r="S26" s="94"/>
      <c r="T26" s="94"/>
      <c r="U26" s="94"/>
    </row>
    <row r="27" spans="4:21" ht="15" customHeight="1">
      <c r="D27" s="93"/>
      <c r="E27" s="93"/>
      <c r="F27" s="93"/>
      <c r="G27" s="250" t="s">
        <v>39</v>
      </c>
      <c r="H27" s="250"/>
      <c r="I27" s="268"/>
      <c r="J27" s="268"/>
      <c r="K27" s="94"/>
      <c r="L27" s="94"/>
      <c r="M27" s="250" t="s">
        <v>70</v>
      </c>
      <c r="N27" s="282"/>
      <c r="O27" s="250" t="s">
        <v>55</v>
      </c>
      <c r="P27" s="250"/>
      <c r="Q27" s="94"/>
      <c r="R27" s="94"/>
      <c r="S27" s="94"/>
      <c r="T27" s="94"/>
      <c r="U27" s="94"/>
    </row>
    <row r="28" spans="4:21" ht="15" customHeight="1">
      <c r="D28" s="93"/>
      <c r="E28" s="93"/>
      <c r="F28" s="93"/>
      <c r="G28" s="280" cm="1">
        <f t="array" ref="G28">LOOKUP(2,1/(Chicken!F:F="Light Blue"),Chicken!J:J)</f>
        <v>339</v>
      </c>
      <c r="H28" s="280"/>
      <c r="I28" s="269"/>
      <c r="J28" s="269"/>
      <c r="K28" s="94"/>
      <c r="L28" s="94"/>
      <c r="M28" s="286">
        <f>LOOKUP(2,1/(Plastic!F:F="Blue KOP"),Plastic!J:J)</f>
        <v>10745</v>
      </c>
      <c r="N28" s="287"/>
      <c r="O28" s="249" cm="1">
        <f t="array" ref="O28">LOOKUP(2,1/(Koptimix!F:F="Purple (Fish)"),Koptimix!J:J)</f>
        <v>2918</v>
      </c>
      <c r="P28" s="249"/>
      <c r="Q28" s="94"/>
      <c r="R28" s="94"/>
      <c r="S28" s="94"/>
      <c r="T28" s="94"/>
      <c r="U28" s="94"/>
    </row>
    <row r="29" spans="4:21" ht="15" customHeight="1">
      <c r="D29" s="93"/>
      <c r="E29" s="93"/>
      <c r="F29" s="93"/>
      <c r="G29" s="280"/>
      <c r="H29" s="280"/>
      <c r="I29" s="269"/>
      <c r="J29" s="269"/>
      <c r="K29" s="99"/>
      <c r="L29" s="99"/>
      <c r="M29" s="286"/>
      <c r="N29" s="287"/>
      <c r="O29" s="249"/>
      <c r="P29" s="249"/>
      <c r="Q29" s="95"/>
      <c r="R29" s="95"/>
      <c r="S29" s="95"/>
      <c r="T29" s="94"/>
      <c r="U29" s="94"/>
    </row>
    <row r="30" spans="4:21" ht="15" customHeight="1">
      <c r="D30" s="93"/>
      <c r="E30" s="93"/>
      <c r="F30" s="93"/>
      <c r="G30" s="250" t="s">
        <v>24</v>
      </c>
      <c r="H30" s="250"/>
      <c r="I30" s="268"/>
      <c r="J30" s="268"/>
      <c r="K30" s="99"/>
      <c r="L30" s="99"/>
      <c r="M30" s="250" t="s">
        <v>71</v>
      </c>
      <c r="N30" s="282"/>
      <c r="O30" s="109"/>
      <c r="P30" s="109"/>
      <c r="Q30" s="95"/>
      <c r="R30" s="95"/>
      <c r="S30" s="95"/>
      <c r="T30" s="94"/>
      <c r="U30" s="94"/>
    </row>
    <row r="31" spans="4:21" ht="15" customHeight="1">
      <c r="D31" s="93"/>
      <c r="E31" s="93"/>
      <c r="F31" s="93"/>
      <c r="G31" s="267" cm="1">
        <f t="array" ref="G31">LOOKUP(2,1/(Chicken!F:F="Blue"),Chicken!J:J)</f>
        <v>1509</v>
      </c>
      <c r="H31" s="267"/>
      <c r="I31" s="269"/>
      <c r="J31" s="269"/>
      <c r="K31" s="101"/>
      <c r="L31" s="101"/>
      <c r="M31" s="267">
        <f>LOOKUP(2,1/(Plastic!F:F="Red KOP"),Plastic!J:J)</f>
        <v>3010</v>
      </c>
      <c r="N31" s="288"/>
      <c r="O31" s="110"/>
      <c r="P31" s="110"/>
      <c r="Q31" s="102"/>
      <c r="R31" s="102"/>
      <c r="S31" s="102"/>
      <c r="T31" s="94"/>
      <c r="U31" s="94"/>
    </row>
    <row r="32" spans="4:21" ht="15" customHeight="1">
      <c r="D32" s="93"/>
      <c r="E32" s="93"/>
      <c r="F32" s="93"/>
      <c r="G32" s="267"/>
      <c r="H32" s="267"/>
      <c r="I32" s="269"/>
      <c r="J32" s="269"/>
      <c r="K32" s="101"/>
      <c r="L32" s="101"/>
      <c r="M32" s="267"/>
      <c r="N32" s="288"/>
      <c r="O32" s="110"/>
      <c r="P32" s="110"/>
      <c r="Q32" s="102"/>
      <c r="R32" s="102"/>
      <c r="S32" s="102"/>
      <c r="T32" s="94"/>
      <c r="U32" s="94"/>
    </row>
    <row r="33" spans="4:21" ht="15" customHeight="1">
      <c r="D33" s="93"/>
      <c r="E33" s="93"/>
      <c r="F33" s="93"/>
      <c r="G33" s="250" t="s">
        <v>40</v>
      </c>
      <c r="H33" s="250"/>
      <c r="I33" s="268"/>
      <c r="J33" s="268"/>
      <c r="K33" s="101"/>
      <c r="L33" s="101"/>
      <c r="M33" s="101"/>
      <c r="N33" s="101"/>
      <c r="O33" s="101"/>
      <c r="P33" s="101"/>
      <c r="Q33" s="102"/>
      <c r="R33" s="102"/>
      <c r="S33" s="102"/>
      <c r="T33" s="94"/>
      <c r="U33" s="94"/>
    </row>
    <row r="34" spans="4:21" ht="15" customHeight="1">
      <c r="D34" s="93"/>
      <c r="E34" s="93"/>
      <c r="F34" s="93"/>
      <c r="G34" s="274" cm="1">
        <f t="array" ref="G34">LOOKUP(2,1/(Chicken!F:F="Dark Blue"),Chicken!J:J)</f>
        <v>62412</v>
      </c>
      <c r="H34" s="274"/>
      <c r="I34" s="269"/>
      <c r="J34" s="269"/>
      <c r="K34" s="101"/>
      <c r="L34" s="101"/>
      <c r="M34" s="101"/>
      <c r="N34" s="101"/>
      <c r="O34" s="101"/>
      <c r="P34" s="101"/>
      <c r="Q34" s="102"/>
      <c r="R34" s="102"/>
      <c r="S34" s="102"/>
      <c r="T34" s="94"/>
      <c r="U34" s="94"/>
    </row>
    <row r="35" spans="4:21" ht="15" customHeight="1">
      <c r="D35" s="93"/>
      <c r="E35" s="93"/>
      <c r="F35" s="93"/>
      <c r="G35" s="274"/>
      <c r="H35" s="274"/>
      <c r="I35" s="269"/>
      <c r="J35" s="269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</row>
    <row r="36" spans="4:21" ht="15" customHeight="1">
      <c r="D36" s="93"/>
      <c r="E36" s="93"/>
      <c r="F36" s="93"/>
      <c r="G36" s="250" t="s">
        <v>41</v>
      </c>
      <c r="H36" s="250"/>
      <c r="I36" s="268"/>
      <c r="J36" s="268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4:21" ht="15" customHeight="1">
      <c r="D37" s="93"/>
      <c r="E37" s="93"/>
      <c r="F37" s="93"/>
      <c r="G37" s="271" cm="1">
        <f t="array" ref="G37">LOOKUP(2,1/(Chicken!F:F="Yellow"),Chicken!J:J)</f>
        <v>7812</v>
      </c>
      <c r="H37" s="271"/>
      <c r="I37" s="270"/>
      <c r="J37" s="270"/>
      <c r="K37" s="94"/>
      <c r="L37" s="94"/>
      <c r="M37" s="94"/>
      <c r="N37" s="94"/>
      <c r="O37" s="94"/>
      <c r="P37" s="94"/>
      <c r="Q37" s="95"/>
      <c r="R37" s="95"/>
      <c r="S37" s="94"/>
      <c r="T37" s="94"/>
      <c r="U37" s="94"/>
    </row>
    <row r="38" spans="4:21" ht="15" customHeight="1">
      <c r="D38" s="93"/>
      <c r="E38" s="93"/>
      <c r="F38" s="93"/>
      <c r="G38" s="271"/>
      <c r="H38" s="271"/>
      <c r="I38" s="270"/>
      <c r="J38" s="270"/>
      <c r="K38" s="94"/>
      <c r="L38" s="94"/>
      <c r="M38" s="94"/>
      <c r="N38" s="94"/>
      <c r="O38" s="94"/>
      <c r="P38" s="94"/>
      <c r="Q38" s="102"/>
      <c r="R38" s="102"/>
      <c r="S38" s="94"/>
      <c r="T38" s="94"/>
      <c r="U38" s="94"/>
    </row>
    <row r="39" spans="4:21" ht="15" customHeight="1">
      <c r="D39" s="93"/>
      <c r="E39" s="93"/>
      <c r="F39" s="93"/>
      <c r="G39" s="250" t="s">
        <v>42</v>
      </c>
      <c r="H39" s="250"/>
      <c r="I39" s="268"/>
      <c r="J39" s="268"/>
      <c r="K39" s="94"/>
      <c r="L39" s="94"/>
      <c r="M39" s="94"/>
      <c r="N39" s="94"/>
      <c r="O39" s="94"/>
      <c r="P39" s="94"/>
      <c r="Q39" s="102"/>
      <c r="R39" s="102"/>
      <c r="S39" s="94"/>
      <c r="T39" s="94"/>
      <c r="U39" s="94"/>
    </row>
    <row r="40" spans="4:21" ht="15" customHeight="1">
      <c r="D40" s="93"/>
      <c r="E40" s="93"/>
      <c r="F40" s="93"/>
      <c r="G40" s="272" cm="1">
        <f t="array" ref="G40">LOOKUP(2,1/(Chicken!F:F="Brown"),Chicken!J:J)</f>
        <v>30</v>
      </c>
      <c r="H40" s="272"/>
      <c r="I40" s="269"/>
      <c r="J40" s="269"/>
      <c r="K40" s="94"/>
      <c r="L40" s="94"/>
      <c r="M40" s="94"/>
      <c r="N40" s="94"/>
      <c r="O40" s="94"/>
      <c r="P40" s="94"/>
      <c r="Q40" s="102"/>
      <c r="R40" s="102"/>
      <c r="S40" s="94"/>
      <c r="T40" s="94"/>
      <c r="U40" s="94"/>
    </row>
    <row r="41" spans="4:21" ht="15" customHeight="1">
      <c r="D41" s="93"/>
      <c r="E41" s="93"/>
      <c r="F41" s="93"/>
      <c r="G41" s="272"/>
      <c r="H41" s="272"/>
      <c r="I41" s="269"/>
      <c r="J41" s="269"/>
      <c r="K41" s="94"/>
      <c r="L41" s="94"/>
      <c r="M41" s="94"/>
      <c r="N41" s="94"/>
      <c r="O41" s="94"/>
      <c r="P41" s="94"/>
      <c r="Q41" s="102"/>
      <c r="R41" s="102"/>
      <c r="S41" s="94"/>
      <c r="T41" s="94"/>
      <c r="U41" s="94"/>
    </row>
    <row r="42" spans="4:21" ht="15" customHeight="1">
      <c r="D42" s="93"/>
      <c r="E42" s="93"/>
      <c r="F42" s="93"/>
      <c r="G42" s="250" t="s">
        <v>89</v>
      </c>
      <c r="H42" s="250"/>
      <c r="I42" s="268"/>
      <c r="J42" s="268"/>
      <c r="K42" s="94"/>
      <c r="L42" s="94"/>
      <c r="M42" s="94"/>
      <c r="N42" s="94"/>
      <c r="O42" s="94"/>
      <c r="P42" s="94"/>
      <c r="Q42" s="102"/>
      <c r="R42" s="102"/>
      <c r="S42" s="94"/>
      <c r="T42" s="94"/>
      <c r="U42" s="94"/>
    </row>
    <row r="43" spans="4:21" ht="15" customHeight="1">
      <c r="D43" s="93"/>
      <c r="E43" s="93"/>
      <c r="F43" s="93"/>
      <c r="G43" s="272" cm="1">
        <f t="array" ref="G43">LOOKUP(2,1/(Chicken!F:F="Brown(13)"),Chicken!J:J)</f>
        <v>0</v>
      </c>
      <c r="H43" s="272"/>
      <c r="I43" s="269"/>
      <c r="J43" s="269"/>
      <c r="K43" s="40"/>
      <c r="L43" s="40"/>
      <c r="M43" s="40"/>
      <c r="N43" s="40"/>
      <c r="O43" s="40"/>
      <c r="P43" s="40"/>
      <c r="Q43" s="96"/>
      <c r="R43" s="96"/>
      <c r="S43" s="96"/>
      <c r="T43" s="96"/>
      <c r="U43" s="96"/>
    </row>
    <row r="44" spans="4:21" ht="15" customHeight="1">
      <c r="D44" s="93"/>
      <c r="E44" s="93"/>
      <c r="F44" s="93"/>
      <c r="G44" s="273"/>
      <c r="H44" s="273"/>
      <c r="I44" s="269"/>
      <c r="J44" s="269"/>
      <c r="K44" s="40"/>
      <c r="L44" s="40"/>
      <c r="M44" s="40"/>
      <c r="N44" s="40"/>
      <c r="O44" s="40"/>
      <c r="P44" s="40"/>
      <c r="Q44" s="96"/>
      <c r="R44" s="96"/>
      <c r="S44" s="96"/>
      <c r="T44" s="96"/>
      <c r="U44" s="96"/>
    </row>
    <row r="45" spans="4:21">
      <c r="G45" s="40"/>
      <c r="H45" s="40"/>
      <c r="I45" s="107"/>
      <c r="J45" s="107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</row>
    <row r="46" spans="4:21">
      <c r="G46" s="106"/>
      <c r="H46" s="106"/>
      <c r="I46" s="107"/>
      <c r="J46" s="107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</row>
    <row r="47" spans="4:21">
      <c r="G47" s="104"/>
      <c r="H47" s="104"/>
      <c r="I47" s="107"/>
      <c r="J47" s="107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</row>
    <row r="48" spans="4:21">
      <c r="G48" s="104"/>
      <c r="H48" s="104"/>
      <c r="I48" s="107"/>
      <c r="J48" s="107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</row>
    <row r="49" spans="7:21">
      <c r="G49" s="104"/>
      <c r="H49" s="104"/>
      <c r="I49" s="107"/>
      <c r="J49" s="107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</row>
    <row r="50" spans="7:21">
      <c r="G50" s="104"/>
      <c r="H50" s="104"/>
      <c r="I50" s="107"/>
      <c r="J50" s="107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7:21">
      <c r="G51" s="104"/>
      <c r="H51" s="104"/>
      <c r="I51" s="107"/>
      <c r="J51" s="107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7:21">
      <c r="G52" s="104"/>
      <c r="H52" s="104"/>
      <c r="I52" s="107"/>
      <c r="J52" s="107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7:21">
      <c r="G53" s="104"/>
      <c r="H53" s="104"/>
      <c r="I53" s="107"/>
      <c r="J53" s="107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7:21">
      <c r="G54" s="104"/>
      <c r="H54" s="104"/>
      <c r="I54" s="107"/>
      <c r="J54" s="107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  <row r="55" spans="7:21">
      <c r="G55" s="104"/>
      <c r="H55" s="104"/>
      <c r="I55" s="107"/>
      <c r="J55" s="107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</row>
    <row r="56" spans="7:21">
      <c r="G56" s="104"/>
      <c r="H56" s="104"/>
      <c r="I56" s="107"/>
      <c r="J56" s="107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</row>
    <row r="57" spans="7:21">
      <c r="G57" s="104"/>
      <c r="H57" s="104"/>
      <c r="I57" s="107"/>
      <c r="J57" s="107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</row>
    <row r="58" spans="7:21">
      <c r="G58" s="104"/>
      <c r="H58" s="104"/>
      <c r="I58" s="107"/>
      <c r="J58" s="107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</row>
    <row r="59" spans="7:21">
      <c r="G59" s="104"/>
      <c r="H59" s="104"/>
      <c r="I59" s="107"/>
      <c r="J59" s="107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</row>
  </sheetData>
  <mergeCells count="126"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7"/>
  <sheetViews>
    <sheetView topLeftCell="A162" zoomScale="80" zoomScaleNormal="80" workbookViewId="0">
      <selection activeCell="A157" sqref="A157"/>
    </sheetView>
  </sheetViews>
  <sheetFormatPr defaultRowHeight="14.4"/>
  <cols>
    <col min="1" max="1" width="32.88671875" style="28" customWidth="1"/>
    <col min="2" max="2" width="28.44140625" style="31" customWidth="1"/>
    <col min="3" max="4" width="28.44140625" style="72" customWidth="1"/>
    <col min="5" max="5" width="37" customWidth="1"/>
    <col min="6" max="7" width="28.44140625" customWidth="1"/>
    <col min="8" max="8" width="28.44140625" style="29" customWidth="1"/>
    <col min="9" max="9" width="25.6640625" style="40" customWidth="1"/>
  </cols>
  <sheetData>
    <row r="1" spans="1:9" ht="25.8">
      <c r="A1" s="23" t="s">
        <v>22</v>
      </c>
      <c r="B1" s="32" t="s">
        <v>21</v>
      </c>
      <c r="C1" s="71" t="s">
        <v>20</v>
      </c>
      <c r="D1" s="71" t="s">
        <v>19</v>
      </c>
      <c r="E1" s="24" t="s">
        <v>12</v>
      </c>
      <c r="F1" s="24" t="s">
        <v>13</v>
      </c>
      <c r="G1" s="25" t="s">
        <v>11</v>
      </c>
      <c r="H1" s="111" t="s">
        <v>10</v>
      </c>
      <c r="I1" s="79" t="s">
        <v>27</v>
      </c>
    </row>
    <row r="2" spans="1:9" s="19" customFormat="1" ht="31.5" customHeight="1">
      <c r="A2" s="26">
        <v>46143.896122685182</v>
      </c>
      <c r="B2" s="30" t="s">
        <v>0</v>
      </c>
      <c r="C2" s="18">
        <v>7</v>
      </c>
      <c r="D2" s="18">
        <v>6276</v>
      </c>
      <c r="E2" s="17" t="s">
        <v>38</v>
      </c>
      <c r="F2" s="17" t="s">
        <v>29</v>
      </c>
      <c r="G2" s="17" t="s">
        <v>3</v>
      </c>
      <c r="H2" s="27" t="s">
        <v>18</v>
      </c>
      <c r="I2" s="112"/>
    </row>
    <row r="3" spans="1:9" s="19" customFormat="1" ht="31.5" customHeight="1">
      <c r="A3" s="26">
        <v>46143.928553240738</v>
      </c>
      <c r="B3" s="30" t="s">
        <v>0</v>
      </c>
      <c r="C3" s="18">
        <v>5</v>
      </c>
      <c r="D3" s="18">
        <v>41660</v>
      </c>
      <c r="E3" s="17" t="s">
        <v>48</v>
      </c>
      <c r="F3" s="17" t="s">
        <v>29</v>
      </c>
      <c r="G3" s="17" t="s">
        <v>4</v>
      </c>
      <c r="H3" s="27" t="s">
        <v>18</v>
      </c>
      <c r="I3" s="112"/>
    </row>
    <row r="4" spans="1:9" s="19" customFormat="1" ht="31.5" customHeight="1">
      <c r="A4" s="26">
        <v>46143.978541666664</v>
      </c>
      <c r="B4" s="30" t="s">
        <v>0</v>
      </c>
      <c r="C4" s="18">
        <v>5</v>
      </c>
      <c r="D4" s="18">
        <v>425</v>
      </c>
      <c r="E4" s="17" t="s">
        <v>68</v>
      </c>
      <c r="F4" s="17"/>
      <c r="G4" s="17" t="s">
        <v>60</v>
      </c>
      <c r="H4" s="27" t="s">
        <v>18</v>
      </c>
      <c r="I4" s="112"/>
    </row>
    <row r="5" spans="1:9" s="19" customFormat="1" ht="31.5" customHeight="1">
      <c r="A5" s="26">
        <v>46143.978935185187</v>
      </c>
      <c r="B5" s="30" t="s">
        <v>0</v>
      </c>
      <c r="C5" s="18">
        <v>15</v>
      </c>
      <c r="D5" s="18">
        <v>13978</v>
      </c>
      <c r="E5" s="17" t="s">
        <v>59</v>
      </c>
      <c r="F5" s="17"/>
      <c r="G5" s="17" t="s">
        <v>5</v>
      </c>
      <c r="H5" s="27" t="s">
        <v>18</v>
      </c>
      <c r="I5" s="112"/>
    </row>
    <row r="6" spans="1:9" s="19" customFormat="1" ht="31.5" customHeight="1">
      <c r="A6" s="26">
        <v>46144.352731481478</v>
      </c>
      <c r="B6" s="30" t="s">
        <v>0</v>
      </c>
      <c r="C6" s="18">
        <v>5</v>
      </c>
      <c r="D6" s="18">
        <v>41655</v>
      </c>
      <c r="E6" s="17" t="s">
        <v>48</v>
      </c>
      <c r="F6" s="17" t="s">
        <v>29</v>
      </c>
      <c r="G6" s="17" t="s">
        <v>4</v>
      </c>
      <c r="H6" s="27" t="s">
        <v>18</v>
      </c>
      <c r="I6" s="112"/>
    </row>
    <row r="7" spans="1:9" s="19" customFormat="1" ht="31.5" customHeight="1">
      <c r="A7" s="26">
        <v>46144.417997685188</v>
      </c>
      <c r="B7" s="30" t="s">
        <v>0</v>
      </c>
      <c r="C7" s="18">
        <v>20</v>
      </c>
      <c r="D7" s="18">
        <v>405</v>
      </c>
      <c r="E7" s="17" t="s">
        <v>68</v>
      </c>
      <c r="F7" s="17"/>
      <c r="G7" s="17" t="s">
        <v>60</v>
      </c>
      <c r="H7" s="27" t="s">
        <v>18</v>
      </c>
      <c r="I7" s="112"/>
    </row>
    <row r="8" spans="1:9" s="19" customFormat="1" ht="31.5" customHeight="1">
      <c r="A8" s="26">
        <v>46144.603807870371</v>
      </c>
      <c r="B8" s="30" t="s">
        <v>0</v>
      </c>
      <c r="C8" s="18">
        <v>70</v>
      </c>
      <c r="D8" s="18">
        <v>47430</v>
      </c>
      <c r="E8" s="17" t="s">
        <v>24</v>
      </c>
      <c r="F8" s="17" t="s">
        <v>29</v>
      </c>
      <c r="G8" s="17" t="s">
        <v>2</v>
      </c>
      <c r="H8" s="27" t="s">
        <v>18</v>
      </c>
      <c r="I8" s="112"/>
    </row>
    <row r="9" spans="1:9" s="19" customFormat="1" ht="31.5" customHeight="1">
      <c r="A9" s="26">
        <v>46144.604641203703</v>
      </c>
      <c r="B9" s="30" t="s">
        <v>1</v>
      </c>
      <c r="C9" s="18">
        <v>0</v>
      </c>
      <c r="D9" s="18">
        <v>2410</v>
      </c>
      <c r="E9" s="17" t="s">
        <v>45</v>
      </c>
      <c r="F9" s="17" t="s">
        <v>32</v>
      </c>
      <c r="G9" s="17" t="s">
        <v>2</v>
      </c>
      <c r="H9" s="27" t="s">
        <v>18</v>
      </c>
      <c r="I9" s="112"/>
    </row>
    <row r="10" spans="1:9" s="19" customFormat="1" ht="31.5" customHeight="1">
      <c r="A10" s="26">
        <v>46144.604988425926</v>
      </c>
      <c r="B10" s="30" t="s">
        <v>0</v>
      </c>
      <c r="C10" s="18">
        <v>3</v>
      </c>
      <c r="D10" s="18">
        <v>2407</v>
      </c>
      <c r="E10" s="17" t="s">
        <v>45</v>
      </c>
      <c r="F10" s="17" t="s">
        <v>32</v>
      </c>
      <c r="G10" s="17" t="s">
        <v>2</v>
      </c>
      <c r="H10" s="2" t="s">
        <v>18</v>
      </c>
      <c r="I10" s="112"/>
    </row>
    <row r="11" spans="1:9" s="19" customFormat="1" ht="31.5" customHeight="1" thickBot="1">
      <c r="A11" s="26">
        <v>46144.637280092589</v>
      </c>
      <c r="B11" s="30" t="s">
        <v>0</v>
      </c>
      <c r="C11" s="18">
        <v>6</v>
      </c>
      <c r="D11" s="76">
        <v>47424</v>
      </c>
      <c r="E11" s="17" t="s">
        <v>24</v>
      </c>
      <c r="F11" s="17" t="s">
        <v>29</v>
      </c>
      <c r="G11" s="17" t="s">
        <v>2</v>
      </c>
      <c r="H11" s="2" t="s">
        <v>18</v>
      </c>
      <c r="I11" s="112"/>
    </row>
    <row r="12" spans="1:9" s="19" customFormat="1" ht="31.5" customHeight="1" thickBot="1">
      <c r="A12" s="26">
        <v>46145.352083333331</v>
      </c>
      <c r="B12" s="30" t="s">
        <v>0</v>
      </c>
      <c r="C12" s="74">
        <v>90</v>
      </c>
      <c r="D12" s="78">
        <v>13888</v>
      </c>
      <c r="E12" s="75" t="s">
        <v>59</v>
      </c>
      <c r="F12" s="17"/>
      <c r="G12" s="17" t="s">
        <v>5</v>
      </c>
      <c r="H12" s="2" t="s">
        <v>18</v>
      </c>
      <c r="I12" s="112"/>
    </row>
    <row r="13" spans="1:9" s="19" customFormat="1" ht="31.5" customHeight="1">
      <c r="A13" s="26">
        <v>46145.357349537036</v>
      </c>
      <c r="B13" s="30" t="s">
        <v>0</v>
      </c>
      <c r="C13" s="18">
        <v>1</v>
      </c>
      <c r="D13" s="77">
        <v>32356</v>
      </c>
      <c r="E13" s="17" t="s">
        <v>28</v>
      </c>
      <c r="F13" s="17" t="s">
        <v>29</v>
      </c>
      <c r="G13" s="17" t="s">
        <v>2</v>
      </c>
      <c r="H13" s="2" t="s">
        <v>18</v>
      </c>
      <c r="I13" s="112"/>
    </row>
    <row r="14" spans="1:9" s="19" customFormat="1" ht="31.5" customHeight="1">
      <c r="A14" s="26">
        <v>46145.358229166668</v>
      </c>
      <c r="B14" s="30" t="s">
        <v>0</v>
      </c>
      <c r="C14" s="18">
        <v>1</v>
      </c>
      <c r="D14" s="18">
        <v>399</v>
      </c>
      <c r="E14" s="17" t="s">
        <v>37</v>
      </c>
      <c r="F14" s="17"/>
      <c r="G14" s="17" t="s">
        <v>80</v>
      </c>
      <c r="H14" s="2" t="s">
        <v>79</v>
      </c>
      <c r="I14" s="112"/>
    </row>
    <row r="15" spans="1:9" s="19" customFormat="1" ht="31.5" customHeight="1">
      <c r="A15" s="26">
        <v>46145.358530092592</v>
      </c>
      <c r="B15" s="30" t="s">
        <v>0</v>
      </c>
      <c r="C15" s="18">
        <v>2</v>
      </c>
      <c r="D15" s="18">
        <v>1998</v>
      </c>
      <c r="E15" s="17" t="s">
        <v>87</v>
      </c>
      <c r="F15" s="17"/>
      <c r="G15" s="17" t="s">
        <v>78</v>
      </c>
      <c r="H15" s="2" t="s">
        <v>79</v>
      </c>
      <c r="I15" s="112"/>
    </row>
    <row r="16" spans="1:9" s="19" customFormat="1" ht="31.5" customHeight="1">
      <c r="A16" s="26">
        <v>46145.3594212963</v>
      </c>
      <c r="B16" s="30" t="s">
        <v>0</v>
      </c>
      <c r="C16" s="18">
        <v>8</v>
      </c>
      <c r="D16" s="18">
        <v>62</v>
      </c>
      <c r="E16" s="17" t="s">
        <v>37</v>
      </c>
      <c r="F16" s="17"/>
      <c r="G16" s="17" t="s">
        <v>4</v>
      </c>
      <c r="H16" s="2" t="s">
        <v>23</v>
      </c>
      <c r="I16" s="112"/>
    </row>
    <row r="17" spans="1:9" s="19" customFormat="1" ht="31.5" customHeight="1">
      <c r="A17" s="26">
        <v>46145.485925925925</v>
      </c>
      <c r="B17" s="30" t="s">
        <v>0</v>
      </c>
      <c r="C17" s="18">
        <v>1</v>
      </c>
      <c r="D17" s="18">
        <v>398</v>
      </c>
      <c r="E17" s="17" t="s">
        <v>37</v>
      </c>
      <c r="F17" s="17"/>
      <c r="G17" s="17" t="s">
        <v>80</v>
      </c>
      <c r="H17" s="2" t="s">
        <v>79</v>
      </c>
      <c r="I17" s="112"/>
    </row>
    <row r="18" spans="1:9" s="19" customFormat="1" ht="31.5" customHeight="1">
      <c r="A18" s="26">
        <v>46145.490023148152</v>
      </c>
      <c r="B18" s="30" t="s">
        <v>0</v>
      </c>
      <c r="C18" s="18">
        <v>8000</v>
      </c>
      <c r="D18" s="18">
        <v>5888</v>
      </c>
      <c r="E18" s="17" t="s">
        <v>59</v>
      </c>
      <c r="F18" s="17"/>
      <c r="G18" s="17" t="s">
        <v>5</v>
      </c>
      <c r="H18" s="2" t="s">
        <v>18</v>
      </c>
      <c r="I18" s="112"/>
    </row>
    <row r="19" spans="1:9" s="19" customFormat="1" ht="31.5" customHeight="1">
      <c r="A19" s="26">
        <v>46146.578668981485</v>
      </c>
      <c r="B19" s="30" t="s">
        <v>0</v>
      </c>
      <c r="C19" s="18">
        <v>8</v>
      </c>
      <c r="D19" s="18">
        <v>390</v>
      </c>
      <c r="E19" s="17" t="s">
        <v>37</v>
      </c>
      <c r="F19" s="17"/>
      <c r="G19" s="17" t="s">
        <v>80</v>
      </c>
      <c r="H19" s="2" t="s">
        <v>79</v>
      </c>
      <c r="I19" s="112"/>
    </row>
    <row r="20" spans="1:9" s="19" customFormat="1" ht="31.5" customHeight="1">
      <c r="A20" s="26">
        <v>46146.578935185185</v>
      </c>
      <c r="B20" s="30" t="s">
        <v>0</v>
      </c>
      <c r="C20" s="18">
        <v>3</v>
      </c>
      <c r="D20" s="18">
        <v>1995</v>
      </c>
      <c r="E20" s="17" t="s">
        <v>87</v>
      </c>
      <c r="F20" s="17"/>
      <c r="G20" s="17" t="s">
        <v>78</v>
      </c>
      <c r="H20" s="2" t="s">
        <v>79</v>
      </c>
      <c r="I20" s="112"/>
    </row>
    <row r="21" spans="1:9" s="19" customFormat="1" ht="31.5" customHeight="1">
      <c r="A21" s="26">
        <v>46146.581782407404</v>
      </c>
      <c r="B21" s="30" t="s">
        <v>0</v>
      </c>
      <c r="C21" s="18">
        <v>2</v>
      </c>
      <c r="D21" s="18">
        <v>4151</v>
      </c>
      <c r="E21" s="17" t="s">
        <v>30</v>
      </c>
      <c r="F21" s="17" t="s">
        <v>29</v>
      </c>
      <c r="G21" s="17" t="s">
        <v>2</v>
      </c>
      <c r="H21" s="2" t="s">
        <v>18</v>
      </c>
      <c r="I21" s="112"/>
    </row>
    <row r="22" spans="1:9" s="19" customFormat="1" ht="31.5" customHeight="1">
      <c r="A22" s="26">
        <v>46146.583078703705</v>
      </c>
      <c r="B22" s="30" t="s">
        <v>0</v>
      </c>
      <c r="C22" s="18">
        <v>5</v>
      </c>
      <c r="D22" s="18">
        <v>30928</v>
      </c>
      <c r="E22" s="17" t="s">
        <v>52</v>
      </c>
      <c r="F22" s="17" t="s">
        <v>29</v>
      </c>
      <c r="G22" s="17" t="s">
        <v>4</v>
      </c>
      <c r="H22" s="2" t="s">
        <v>18</v>
      </c>
      <c r="I22" s="112"/>
    </row>
    <row r="23" spans="1:9" s="19" customFormat="1" ht="31.5" customHeight="1">
      <c r="A23" s="26">
        <v>46146.584988425922</v>
      </c>
      <c r="B23" s="30" t="s">
        <v>0</v>
      </c>
      <c r="C23" s="18">
        <v>1210</v>
      </c>
      <c r="D23" s="18">
        <v>10009</v>
      </c>
      <c r="E23" s="17" t="s">
        <v>49</v>
      </c>
      <c r="F23" s="17" t="s">
        <v>29</v>
      </c>
      <c r="G23" s="17" t="s">
        <v>4</v>
      </c>
      <c r="H23" s="27" t="s">
        <v>18</v>
      </c>
      <c r="I23" s="112"/>
    </row>
    <row r="24" spans="1:9" s="19" customFormat="1" ht="31.5" customHeight="1">
      <c r="A24" s="26">
        <v>46146.701238425929</v>
      </c>
      <c r="B24" s="30" t="s">
        <v>0</v>
      </c>
      <c r="C24" s="18">
        <v>74</v>
      </c>
      <c r="D24" s="18">
        <v>30854</v>
      </c>
      <c r="E24" s="17" t="s">
        <v>52</v>
      </c>
      <c r="F24" s="17" t="s">
        <v>29</v>
      </c>
      <c r="G24" s="17" t="s">
        <v>4</v>
      </c>
      <c r="H24" s="27" t="s">
        <v>18</v>
      </c>
      <c r="I24" s="112"/>
    </row>
    <row r="25" spans="1:9" s="19" customFormat="1" ht="31.5" customHeight="1">
      <c r="A25" s="26">
        <v>46146.762719907405</v>
      </c>
      <c r="B25" s="30" t="s">
        <v>0</v>
      </c>
      <c r="C25" s="18">
        <v>25</v>
      </c>
      <c r="D25" s="18">
        <v>30829</v>
      </c>
      <c r="E25" s="17" t="s">
        <v>52</v>
      </c>
      <c r="F25" s="17" t="s">
        <v>29</v>
      </c>
      <c r="G25" s="17" t="s">
        <v>4</v>
      </c>
      <c r="H25" s="27" t="s">
        <v>18</v>
      </c>
      <c r="I25" s="112"/>
    </row>
    <row r="26" spans="1:9" s="19" customFormat="1" ht="31.5" customHeight="1">
      <c r="A26" s="26">
        <v>46148.340208333335</v>
      </c>
      <c r="B26" s="30" t="s">
        <v>0</v>
      </c>
      <c r="C26" s="18">
        <v>205</v>
      </c>
      <c r="D26" s="18">
        <v>28035</v>
      </c>
      <c r="E26" s="17" t="s">
        <v>46</v>
      </c>
      <c r="F26" s="17" t="s">
        <v>29</v>
      </c>
      <c r="G26" s="17" t="s">
        <v>4</v>
      </c>
      <c r="H26" s="27" t="s">
        <v>18</v>
      </c>
      <c r="I26" s="112"/>
    </row>
    <row r="27" spans="1:9" s="19" customFormat="1" ht="31.5" customHeight="1">
      <c r="A27" s="26">
        <v>46148.340729166666</v>
      </c>
      <c r="B27" s="30" t="s">
        <v>0</v>
      </c>
      <c r="C27" s="18">
        <v>3605</v>
      </c>
      <c r="D27" s="18">
        <v>27224</v>
      </c>
      <c r="E27" s="17" t="s">
        <v>52</v>
      </c>
      <c r="F27" s="17" t="s">
        <v>29</v>
      </c>
      <c r="G27" s="17" t="s">
        <v>4</v>
      </c>
      <c r="H27" s="27" t="s">
        <v>18</v>
      </c>
      <c r="I27" s="112"/>
    </row>
    <row r="28" spans="1:9" s="19" customFormat="1" ht="31.5" customHeight="1">
      <c r="A28" s="26">
        <v>46148.341064814813</v>
      </c>
      <c r="B28" s="30" t="s">
        <v>0</v>
      </c>
      <c r="C28" s="18">
        <v>805</v>
      </c>
      <c r="D28" s="18">
        <v>25695</v>
      </c>
      <c r="E28" s="17" t="s">
        <v>47</v>
      </c>
      <c r="F28" s="17" t="s">
        <v>29</v>
      </c>
      <c r="G28" s="17" t="s">
        <v>4</v>
      </c>
      <c r="H28" s="27" t="s">
        <v>18</v>
      </c>
      <c r="I28" s="112"/>
    </row>
    <row r="29" spans="1:9" s="19" customFormat="1" ht="31.5" customHeight="1">
      <c r="A29" s="26">
        <v>46148.341423611113</v>
      </c>
      <c r="B29" s="30" t="s">
        <v>0</v>
      </c>
      <c r="C29" s="18">
        <v>2205</v>
      </c>
      <c r="D29" s="18">
        <v>7890</v>
      </c>
      <c r="E29" s="17" t="s">
        <v>54</v>
      </c>
      <c r="F29" s="17" t="s">
        <v>29</v>
      </c>
      <c r="G29" s="17" t="s">
        <v>4</v>
      </c>
      <c r="H29" s="27" t="s">
        <v>18</v>
      </c>
      <c r="I29" s="112"/>
    </row>
    <row r="30" spans="1:9" s="19" customFormat="1" ht="31.5" customHeight="1">
      <c r="A30" s="26">
        <v>46148.341736111113</v>
      </c>
      <c r="B30" s="30" t="s">
        <v>0</v>
      </c>
      <c r="C30" s="18">
        <v>7</v>
      </c>
      <c r="D30" s="18">
        <v>27217</v>
      </c>
      <c r="E30" s="17" t="s">
        <v>52</v>
      </c>
      <c r="F30" s="17" t="s">
        <v>29</v>
      </c>
      <c r="G30" s="17" t="s">
        <v>4</v>
      </c>
      <c r="H30" s="27" t="s">
        <v>18</v>
      </c>
      <c r="I30" s="112"/>
    </row>
    <row r="31" spans="1:9" s="19" customFormat="1" ht="31.5" customHeight="1">
      <c r="A31" s="26">
        <v>46148.342569444445</v>
      </c>
      <c r="B31" s="30" t="s">
        <v>0</v>
      </c>
      <c r="C31" s="18">
        <v>6005</v>
      </c>
      <c r="D31" s="18">
        <v>21212</v>
      </c>
      <c r="E31" s="17" t="s">
        <v>52</v>
      </c>
      <c r="F31" s="17" t="s">
        <v>29</v>
      </c>
      <c r="G31" s="17" t="s">
        <v>4</v>
      </c>
      <c r="H31" s="27" t="s">
        <v>18</v>
      </c>
      <c r="I31" s="112"/>
    </row>
    <row r="32" spans="1:9" s="19" customFormat="1" ht="31.5" customHeight="1">
      <c r="A32" s="26">
        <v>46148.342870370368</v>
      </c>
      <c r="B32" s="30" t="s">
        <v>0</v>
      </c>
      <c r="C32" s="18">
        <v>2005</v>
      </c>
      <c r="D32" s="18">
        <v>8004</v>
      </c>
      <c r="E32" s="17" t="s">
        <v>49</v>
      </c>
      <c r="F32" s="17" t="s">
        <v>29</v>
      </c>
      <c r="G32" s="17" t="s">
        <v>4</v>
      </c>
      <c r="H32" s="27" t="s">
        <v>18</v>
      </c>
      <c r="I32" s="112"/>
    </row>
    <row r="33" spans="1:9" s="19" customFormat="1" ht="31.5" customHeight="1">
      <c r="A33" s="26">
        <v>46148.345127314817</v>
      </c>
      <c r="B33" s="30" t="s">
        <v>0</v>
      </c>
      <c r="C33" s="18">
        <v>7</v>
      </c>
      <c r="D33" s="18">
        <v>1988</v>
      </c>
      <c r="E33" s="17" t="s">
        <v>87</v>
      </c>
      <c r="F33" s="17"/>
      <c r="G33" s="17" t="s">
        <v>78</v>
      </c>
      <c r="H33" s="27" t="s">
        <v>79</v>
      </c>
      <c r="I33" s="112"/>
    </row>
    <row r="34" spans="1:9" s="19" customFormat="1" ht="31.5" customHeight="1">
      <c r="A34" s="26">
        <v>46148.345335648148</v>
      </c>
      <c r="B34" s="30" t="s">
        <v>0</v>
      </c>
      <c r="C34" s="18">
        <v>16</v>
      </c>
      <c r="D34" s="18">
        <v>374</v>
      </c>
      <c r="E34" s="17" t="s">
        <v>37</v>
      </c>
      <c r="F34" s="17"/>
      <c r="G34" s="17" t="s">
        <v>80</v>
      </c>
      <c r="H34" s="27" t="s">
        <v>79</v>
      </c>
      <c r="I34" s="112"/>
    </row>
    <row r="35" spans="1:9" s="19" customFormat="1" ht="31.5" customHeight="1">
      <c r="A35" s="26">
        <v>46148.345891203702</v>
      </c>
      <c r="B35" s="30" t="s">
        <v>0</v>
      </c>
      <c r="C35" s="18">
        <v>5</v>
      </c>
      <c r="D35" s="18">
        <v>1983</v>
      </c>
      <c r="E35" s="17" t="s">
        <v>87</v>
      </c>
      <c r="F35" s="17"/>
      <c r="G35" s="17" t="s">
        <v>78</v>
      </c>
      <c r="H35" s="27" t="s">
        <v>79</v>
      </c>
      <c r="I35" s="112"/>
    </row>
    <row r="36" spans="1:9" s="19" customFormat="1" ht="31.5" customHeight="1">
      <c r="A36" s="26">
        <v>46148.346180555556</v>
      </c>
      <c r="B36" s="30" t="s">
        <v>0</v>
      </c>
      <c r="C36" s="18">
        <v>4</v>
      </c>
      <c r="D36" s="18">
        <v>370</v>
      </c>
      <c r="E36" s="17" t="s">
        <v>37</v>
      </c>
      <c r="F36" s="17"/>
      <c r="G36" s="17" t="s">
        <v>80</v>
      </c>
      <c r="H36" s="27" t="s">
        <v>79</v>
      </c>
      <c r="I36" s="112"/>
    </row>
    <row r="37" spans="1:9" s="19" customFormat="1" ht="31.5" customHeight="1">
      <c r="A37" s="26">
        <v>46148.34642361111</v>
      </c>
      <c r="B37" s="30" t="s">
        <v>0</v>
      </c>
      <c r="C37" s="18">
        <v>5</v>
      </c>
      <c r="D37" s="18">
        <v>395</v>
      </c>
      <c r="E37" s="17" t="s">
        <v>24</v>
      </c>
      <c r="F37" s="17"/>
      <c r="G37" s="17" t="s">
        <v>80</v>
      </c>
      <c r="H37" s="27" t="s">
        <v>79</v>
      </c>
      <c r="I37" s="112"/>
    </row>
    <row r="38" spans="1:9" s="19" customFormat="1" ht="31.5" customHeight="1">
      <c r="A38" s="26">
        <v>46148.389965277776</v>
      </c>
      <c r="B38" s="83" t="s">
        <v>0</v>
      </c>
      <c r="C38" s="18">
        <v>25</v>
      </c>
      <c r="D38" s="18">
        <v>21187</v>
      </c>
      <c r="E38" s="17" t="s">
        <v>52</v>
      </c>
      <c r="F38" s="17" t="s">
        <v>29</v>
      </c>
      <c r="G38" s="17" t="s">
        <v>4</v>
      </c>
      <c r="H38" s="2" t="s">
        <v>18</v>
      </c>
      <c r="I38" s="112"/>
    </row>
    <row r="39" spans="1:9" s="19" customFormat="1" ht="31.5" customHeight="1">
      <c r="A39" s="26">
        <v>46148.392071759263</v>
      </c>
      <c r="B39" s="83" t="s">
        <v>0</v>
      </c>
      <c r="C39" s="18">
        <v>20</v>
      </c>
      <c r="D39" s="18">
        <v>385</v>
      </c>
      <c r="E39" s="17" t="s">
        <v>68</v>
      </c>
      <c r="F39" s="17"/>
      <c r="G39" s="17" t="s">
        <v>60</v>
      </c>
      <c r="H39" s="2" t="s">
        <v>18</v>
      </c>
      <c r="I39" s="112"/>
    </row>
    <row r="40" spans="1:9" s="19" customFormat="1" ht="31.5" customHeight="1">
      <c r="A40" s="26">
        <v>46148.41511574074</v>
      </c>
      <c r="B40" s="83" t="s">
        <v>0</v>
      </c>
      <c r="C40" s="18">
        <v>10</v>
      </c>
      <c r="D40" s="18">
        <v>7880</v>
      </c>
      <c r="E40" s="17" t="s">
        <v>54</v>
      </c>
      <c r="F40" s="17" t="s">
        <v>29</v>
      </c>
      <c r="G40" s="17" t="s">
        <v>4</v>
      </c>
      <c r="H40" s="2" t="s">
        <v>18</v>
      </c>
      <c r="I40" s="112"/>
    </row>
    <row r="41" spans="1:9" s="19" customFormat="1" ht="31.5" customHeight="1">
      <c r="A41" s="26">
        <v>46148.651388888888</v>
      </c>
      <c r="B41" s="83" t="s">
        <v>0</v>
      </c>
      <c r="C41" s="18">
        <v>10</v>
      </c>
      <c r="D41" s="18">
        <v>375</v>
      </c>
      <c r="E41" s="17" t="s">
        <v>68</v>
      </c>
      <c r="F41" s="17"/>
      <c r="G41" s="17" t="s">
        <v>60</v>
      </c>
      <c r="H41" s="2" t="s">
        <v>18</v>
      </c>
      <c r="I41" s="112"/>
    </row>
    <row r="42" spans="1:9" s="19" customFormat="1" ht="31.5" customHeight="1">
      <c r="A42" s="26">
        <v>46151.367962962962</v>
      </c>
      <c r="B42" s="83" t="s">
        <v>0</v>
      </c>
      <c r="C42" s="18">
        <v>81</v>
      </c>
      <c r="D42" s="18">
        <v>7799</v>
      </c>
      <c r="E42" s="17" t="s">
        <v>54</v>
      </c>
      <c r="F42" s="17" t="s">
        <v>29</v>
      </c>
      <c r="G42" s="17" t="s">
        <v>4</v>
      </c>
      <c r="H42" s="2" t="s">
        <v>18</v>
      </c>
      <c r="I42" s="112"/>
    </row>
    <row r="43" spans="1:9" s="19" customFormat="1" ht="31.5" customHeight="1">
      <c r="A43" s="26">
        <v>46151.370312500003</v>
      </c>
      <c r="B43" s="83" t="s">
        <v>0</v>
      </c>
      <c r="C43" s="18">
        <v>7</v>
      </c>
      <c r="D43" s="18">
        <v>28028</v>
      </c>
      <c r="E43" s="17" t="s">
        <v>46</v>
      </c>
      <c r="F43" s="17" t="s">
        <v>29</v>
      </c>
      <c r="G43" s="17" t="s">
        <v>4</v>
      </c>
      <c r="H43" s="2" t="s">
        <v>18</v>
      </c>
      <c r="I43" s="112"/>
    </row>
    <row r="44" spans="1:9" s="19" customFormat="1" ht="31.5" customHeight="1">
      <c r="A44" s="26">
        <v>46151.371678240743</v>
      </c>
      <c r="B44" s="83" t="s">
        <v>0</v>
      </c>
      <c r="C44" s="18">
        <v>60</v>
      </c>
      <c r="D44" s="18">
        <v>5828</v>
      </c>
      <c r="E44" s="17" t="s">
        <v>59</v>
      </c>
      <c r="F44" s="17"/>
      <c r="G44" s="17" t="s">
        <v>5</v>
      </c>
      <c r="H44" s="2" t="s">
        <v>18</v>
      </c>
      <c r="I44" s="112"/>
    </row>
    <row r="45" spans="1:9" s="19" customFormat="1" ht="31.5" customHeight="1">
      <c r="A45" s="26">
        <v>46151.372164351851</v>
      </c>
      <c r="B45" s="83" t="s">
        <v>0</v>
      </c>
      <c r="C45" s="18">
        <v>30</v>
      </c>
      <c r="D45" s="18">
        <v>8017</v>
      </c>
      <c r="E45" s="17" t="s">
        <v>41</v>
      </c>
      <c r="F45" s="17" t="s">
        <v>29</v>
      </c>
      <c r="G45" s="17" t="s">
        <v>3</v>
      </c>
      <c r="H45" s="2" t="s">
        <v>18</v>
      </c>
      <c r="I45" s="112"/>
    </row>
    <row r="46" spans="1:9" s="19" customFormat="1" ht="31.5" customHeight="1">
      <c r="A46" s="26">
        <v>46151.372685185182</v>
      </c>
      <c r="B46" s="83" t="s">
        <v>0</v>
      </c>
      <c r="C46" s="18">
        <v>20</v>
      </c>
      <c r="D46" s="18">
        <v>355</v>
      </c>
      <c r="E46" s="17" t="s">
        <v>68</v>
      </c>
      <c r="F46" s="17"/>
      <c r="G46" s="17" t="s">
        <v>60</v>
      </c>
      <c r="H46" s="2" t="s">
        <v>18</v>
      </c>
      <c r="I46" s="112"/>
    </row>
    <row r="47" spans="1:9" s="19" customFormat="1" ht="31.5" customHeight="1">
      <c r="A47" s="26">
        <v>46151.375231481485</v>
      </c>
      <c r="B47" s="83" t="s">
        <v>0</v>
      </c>
      <c r="C47" s="18">
        <v>2</v>
      </c>
      <c r="D47" s="18">
        <v>393</v>
      </c>
      <c r="E47" s="17" t="s">
        <v>24</v>
      </c>
      <c r="F47" s="17"/>
      <c r="G47" s="17" t="s">
        <v>80</v>
      </c>
      <c r="H47" s="2" t="s">
        <v>79</v>
      </c>
      <c r="I47" s="112"/>
    </row>
    <row r="48" spans="1:9" s="19" customFormat="1" ht="31.5" customHeight="1">
      <c r="A48" s="26">
        <v>46151.375555555554</v>
      </c>
      <c r="B48" s="83" t="s">
        <v>0</v>
      </c>
      <c r="C48" s="18">
        <v>5</v>
      </c>
      <c r="D48" s="18">
        <v>1978</v>
      </c>
      <c r="E48" s="17" t="s">
        <v>87</v>
      </c>
      <c r="F48" s="17"/>
      <c r="G48" s="17" t="s">
        <v>78</v>
      </c>
      <c r="H48" s="2" t="s">
        <v>79</v>
      </c>
      <c r="I48" s="112"/>
    </row>
    <row r="49" spans="1:9" s="19" customFormat="1" ht="31.5" customHeight="1">
      <c r="A49" s="26">
        <v>46151.37945601852</v>
      </c>
      <c r="B49" s="83" t="s">
        <v>0</v>
      </c>
      <c r="C49" s="18">
        <v>8</v>
      </c>
      <c r="D49" s="18">
        <v>1456</v>
      </c>
      <c r="E49" s="17" t="s">
        <v>86</v>
      </c>
      <c r="F49" s="17"/>
      <c r="G49" s="17" t="s">
        <v>72</v>
      </c>
      <c r="H49" s="2" t="s">
        <v>79</v>
      </c>
      <c r="I49" s="112"/>
    </row>
    <row r="50" spans="1:9" s="19" customFormat="1" ht="31.5" customHeight="1">
      <c r="A50" s="26">
        <v>46151.379756944443</v>
      </c>
      <c r="B50" s="83" t="s">
        <v>0</v>
      </c>
      <c r="C50" s="18">
        <v>2</v>
      </c>
      <c r="D50" s="18">
        <v>1454</v>
      </c>
      <c r="E50" s="17" t="s">
        <v>86</v>
      </c>
      <c r="F50" s="17"/>
      <c r="G50" s="17" t="s">
        <v>72</v>
      </c>
      <c r="H50" s="2" t="s">
        <v>79</v>
      </c>
      <c r="I50" s="112"/>
    </row>
    <row r="51" spans="1:9" s="19" customFormat="1" ht="31.5" customHeight="1">
      <c r="A51" s="26">
        <v>46151.381608796299</v>
      </c>
      <c r="B51" s="83" t="s">
        <v>0</v>
      </c>
      <c r="C51" s="18">
        <v>100</v>
      </c>
      <c r="D51" s="18">
        <v>5728</v>
      </c>
      <c r="E51" s="17" t="s">
        <v>59</v>
      </c>
      <c r="F51" s="17"/>
      <c r="G51" s="17" t="s">
        <v>5</v>
      </c>
      <c r="H51" s="2" t="s">
        <v>18</v>
      </c>
      <c r="I51" s="112"/>
    </row>
    <row r="52" spans="1:9" s="19" customFormat="1" ht="31.5" customHeight="1">
      <c r="A52" s="26">
        <v>46151.383136574077</v>
      </c>
      <c r="B52" s="83" t="s">
        <v>0</v>
      </c>
      <c r="C52" s="18">
        <v>6</v>
      </c>
      <c r="D52" s="18">
        <v>5722</v>
      </c>
      <c r="E52" s="17" t="s">
        <v>59</v>
      </c>
      <c r="F52" s="17"/>
      <c r="G52" s="17" t="s">
        <v>5</v>
      </c>
      <c r="H52" s="27" t="s">
        <v>18</v>
      </c>
      <c r="I52" s="112"/>
    </row>
    <row r="53" spans="1:9" s="19" customFormat="1" ht="31.5" customHeight="1">
      <c r="A53" s="26">
        <v>46151.383634259262</v>
      </c>
      <c r="B53" s="83" t="s">
        <v>0</v>
      </c>
      <c r="C53" s="18">
        <v>205</v>
      </c>
      <c r="D53" s="18">
        <v>64327</v>
      </c>
      <c r="E53" s="17" t="s">
        <v>40</v>
      </c>
      <c r="F53" s="17" t="s">
        <v>29</v>
      </c>
      <c r="G53" s="17" t="s">
        <v>3</v>
      </c>
      <c r="H53" s="27" t="s">
        <v>18</v>
      </c>
      <c r="I53" s="112"/>
    </row>
    <row r="54" spans="1:9" s="19" customFormat="1" ht="31.5" customHeight="1">
      <c r="A54" s="26">
        <v>46151.392280092594</v>
      </c>
      <c r="B54" s="83" t="s">
        <v>0</v>
      </c>
      <c r="C54" s="18">
        <v>1605</v>
      </c>
      <c r="D54" s="18">
        <v>9181</v>
      </c>
      <c r="E54" s="17" t="s">
        <v>50</v>
      </c>
      <c r="F54" s="17" t="s">
        <v>29</v>
      </c>
      <c r="G54" s="17" t="s">
        <v>92</v>
      </c>
      <c r="H54" s="27" t="s">
        <v>18</v>
      </c>
      <c r="I54" s="112"/>
    </row>
    <row r="55" spans="1:9" s="19" customFormat="1" ht="31.5" customHeight="1">
      <c r="A55" s="26">
        <v>46151.392650462964</v>
      </c>
      <c r="B55" s="83" t="s">
        <v>0</v>
      </c>
      <c r="C55" s="18">
        <v>1005</v>
      </c>
      <c r="D55" s="18">
        <v>27023</v>
      </c>
      <c r="E55" s="17" t="s">
        <v>46</v>
      </c>
      <c r="F55" s="17" t="s">
        <v>29</v>
      </c>
      <c r="G55" s="17" t="s">
        <v>4</v>
      </c>
      <c r="H55" s="27" t="s">
        <v>18</v>
      </c>
      <c r="I55" s="112"/>
    </row>
    <row r="56" spans="1:9" s="19" customFormat="1" ht="31.5" customHeight="1">
      <c r="A56" s="26">
        <v>46151.392905092594</v>
      </c>
      <c r="B56" s="83" t="s">
        <v>0</v>
      </c>
      <c r="C56" s="18">
        <v>605</v>
      </c>
      <c r="D56" s="18">
        <v>7194</v>
      </c>
      <c r="E56" s="17" t="s">
        <v>54</v>
      </c>
      <c r="F56" s="17" t="s">
        <v>29</v>
      </c>
      <c r="G56" s="17" t="s">
        <v>4</v>
      </c>
      <c r="H56" s="27" t="s">
        <v>18</v>
      </c>
      <c r="I56" s="112"/>
    </row>
    <row r="57" spans="1:9" s="19" customFormat="1" ht="31.5" customHeight="1">
      <c r="A57" s="26">
        <v>46151.393240740741</v>
      </c>
      <c r="B57" s="83" t="s">
        <v>0</v>
      </c>
      <c r="C57" s="18">
        <v>165</v>
      </c>
      <c r="D57" s="18">
        <v>5557</v>
      </c>
      <c r="E57" s="17" t="s">
        <v>59</v>
      </c>
      <c r="F57" s="17"/>
      <c r="G57" s="17" t="s">
        <v>5</v>
      </c>
      <c r="H57" s="27" t="s">
        <v>18</v>
      </c>
      <c r="I57" s="112"/>
    </row>
    <row r="58" spans="1:9" s="19" customFormat="1" ht="31.5" customHeight="1">
      <c r="A58" s="26">
        <v>46151.394571759258</v>
      </c>
      <c r="B58" s="83" t="s">
        <v>0</v>
      </c>
      <c r="C58" s="18">
        <v>205</v>
      </c>
      <c r="D58" s="18">
        <v>47393</v>
      </c>
      <c r="E58" s="17" t="s">
        <v>28</v>
      </c>
      <c r="F58" s="17" t="s">
        <v>29</v>
      </c>
      <c r="G58" s="17" t="s">
        <v>3</v>
      </c>
      <c r="H58" s="27" t="s">
        <v>18</v>
      </c>
      <c r="I58" s="112"/>
    </row>
    <row r="59" spans="1:9" s="19" customFormat="1" ht="31.5" customHeight="1">
      <c r="A59" s="26">
        <v>46151.394942129627</v>
      </c>
      <c r="B59" s="83" t="s">
        <v>0</v>
      </c>
      <c r="C59" s="18">
        <v>3005</v>
      </c>
      <c r="D59" s="18">
        <v>66373</v>
      </c>
      <c r="E59" s="17" t="s">
        <v>37</v>
      </c>
      <c r="F59" s="17" t="s">
        <v>29</v>
      </c>
      <c r="G59" s="17" t="s">
        <v>3</v>
      </c>
      <c r="H59" s="27" t="s">
        <v>18</v>
      </c>
      <c r="I59" s="112"/>
    </row>
    <row r="60" spans="1:9" s="19" customFormat="1" ht="31.5" customHeight="1">
      <c r="A60" s="26">
        <v>46151.395254629628</v>
      </c>
      <c r="B60" s="83" t="s">
        <v>0</v>
      </c>
      <c r="C60" s="18">
        <v>165</v>
      </c>
      <c r="D60" s="18">
        <v>2581</v>
      </c>
      <c r="E60" s="17" t="s">
        <v>24</v>
      </c>
      <c r="F60" s="17" t="s">
        <v>29</v>
      </c>
      <c r="G60" s="17" t="s">
        <v>3</v>
      </c>
      <c r="H60" s="27" t="s">
        <v>18</v>
      </c>
      <c r="I60" s="112"/>
    </row>
    <row r="61" spans="1:9" s="19" customFormat="1" ht="31.5" customHeight="1">
      <c r="A61" s="26">
        <v>46151.395868055559</v>
      </c>
      <c r="B61" s="83" t="s">
        <v>0</v>
      </c>
      <c r="C61" s="18">
        <v>165</v>
      </c>
      <c r="D61" s="18">
        <v>7739</v>
      </c>
      <c r="E61" s="17" t="s">
        <v>31</v>
      </c>
      <c r="F61" s="17" t="s">
        <v>29</v>
      </c>
      <c r="G61" s="17" t="s">
        <v>3</v>
      </c>
      <c r="H61" s="27" t="s">
        <v>18</v>
      </c>
      <c r="I61" s="112"/>
    </row>
    <row r="62" spans="1:9" s="19" customFormat="1" ht="31.5" customHeight="1">
      <c r="A62" s="26">
        <v>46151.396215277775</v>
      </c>
      <c r="B62" s="83" t="s">
        <v>0</v>
      </c>
      <c r="C62" s="18">
        <v>45</v>
      </c>
      <c r="D62" s="18">
        <v>64282</v>
      </c>
      <c r="E62" s="17" t="s">
        <v>40</v>
      </c>
      <c r="F62" s="17" t="s">
        <v>29</v>
      </c>
      <c r="G62" s="17" t="s">
        <v>3</v>
      </c>
      <c r="H62" s="27" t="s">
        <v>18</v>
      </c>
      <c r="I62" s="112"/>
    </row>
    <row r="63" spans="1:9" s="19" customFormat="1" ht="31.5" customHeight="1">
      <c r="A63" s="26">
        <v>46151.396458333336</v>
      </c>
      <c r="B63" s="83" t="s">
        <v>0</v>
      </c>
      <c r="C63" s="18">
        <v>40</v>
      </c>
      <c r="D63" s="18">
        <v>5517</v>
      </c>
      <c r="E63" s="17" t="s">
        <v>59</v>
      </c>
      <c r="F63" s="17"/>
      <c r="G63" s="17" t="s">
        <v>5</v>
      </c>
      <c r="H63" s="27" t="s">
        <v>18</v>
      </c>
      <c r="I63" s="112"/>
    </row>
    <row r="64" spans="1:9" s="19" customFormat="1" ht="31.5" customHeight="1">
      <c r="A64" s="26">
        <v>46151.397222222222</v>
      </c>
      <c r="B64" s="83" t="s">
        <v>0</v>
      </c>
      <c r="C64" s="18">
        <v>8</v>
      </c>
      <c r="D64" s="18">
        <v>7731</v>
      </c>
      <c r="E64" s="17" t="s">
        <v>31</v>
      </c>
      <c r="F64" s="17" t="s">
        <v>29</v>
      </c>
      <c r="G64" s="17" t="s">
        <v>3</v>
      </c>
      <c r="H64" s="27" t="s">
        <v>18</v>
      </c>
      <c r="I64" s="112"/>
    </row>
    <row r="65" spans="1:9" s="19" customFormat="1" ht="31.5" customHeight="1">
      <c r="A65" s="26">
        <v>46151.398229166669</v>
      </c>
      <c r="B65" s="83" t="s">
        <v>0</v>
      </c>
      <c r="C65" s="18">
        <v>30</v>
      </c>
      <c r="D65" s="18">
        <v>66343</v>
      </c>
      <c r="E65" s="17" t="s">
        <v>37</v>
      </c>
      <c r="F65" s="17" t="s">
        <v>29</v>
      </c>
      <c r="G65" s="17" t="s">
        <v>3</v>
      </c>
      <c r="H65" s="27" t="s">
        <v>18</v>
      </c>
      <c r="I65" s="112"/>
    </row>
    <row r="66" spans="1:9" s="19" customFormat="1" ht="31.5" customHeight="1">
      <c r="A66" s="26">
        <v>46151.3987037037</v>
      </c>
      <c r="B66" s="83" t="s">
        <v>0</v>
      </c>
      <c r="C66" s="18">
        <v>5</v>
      </c>
      <c r="D66" s="18">
        <v>9176</v>
      </c>
      <c r="E66" s="17" t="s">
        <v>50</v>
      </c>
      <c r="F66" s="17" t="s">
        <v>29</v>
      </c>
      <c r="G66" s="17" t="s">
        <v>4</v>
      </c>
      <c r="H66" s="27" t="s">
        <v>18</v>
      </c>
      <c r="I66" s="112"/>
    </row>
    <row r="67" spans="1:9" s="19" customFormat="1" ht="31.5" customHeight="1">
      <c r="A67" s="26">
        <v>46151.402824074074</v>
      </c>
      <c r="B67" s="83" t="s">
        <v>0</v>
      </c>
      <c r="C67" s="18">
        <v>410</v>
      </c>
      <c r="D67" s="18">
        <v>46983</v>
      </c>
      <c r="E67" s="17" t="s">
        <v>28</v>
      </c>
      <c r="F67" s="17" t="s">
        <v>29</v>
      </c>
      <c r="G67" s="17" t="s">
        <v>3</v>
      </c>
      <c r="H67" s="27" t="s">
        <v>18</v>
      </c>
      <c r="I67" s="112"/>
    </row>
    <row r="68" spans="1:9" s="19" customFormat="1" ht="31.5" customHeight="1">
      <c r="A68" s="26">
        <v>46151.403090277781</v>
      </c>
      <c r="B68" s="83" t="s">
        <v>0</v>
      </c>
      <c r="C68" s="18">
        <v>85</v>
      </c>
      <c r="D68" s="18">
        <v>2496</v>
      </c>
      <c r="E68" s="17" t="s">
        <v>24</v>
      </c>
      <c r="F68" s="17" t="s">
        <v>29</v>
      </c>
      <c r="G68" s="17" t="s">
        <v>3</v>
      </c>
      <c r="H68" s="27" t="s">
        <v>18</v>
      </c>
      <c r="I68" s="112"/>
    </row>
    <row r="69" spans="1:9" s="19" customFormat="1" ht="31.5" customHeight="1">
      <c r="A69" s="26">
        <v>46151.406678240739</v>
      </c>
      <c r="B69" s="83" t="s">
        <v>0</v>
      </c>
      <c r="C69" s="18">
        <v>85</v>
      </c>
      <c r="D69" s="18">
        <v>6191</v>
      </c>
      <c r="E69" s="17" t="s">
        <v>38</v>
      </c>
      <c r="F69" s="17" t="s">
        <v>29</v>
      </c>
      <c r="G69" s="17" t="s">
        <v>3</v>
      </c>
      <c r="H69" s="27" t="s">
        <v>18</v>
      </c>
      <c r="I69" s="112"/>
    </row>
    <row r="70" spans="1:9" s="19" customFormat="1" ht="31.5" customHeight="1">
      <c r="A70" s="26">
        <v>46151.409571759257</v>
      </c>
      <c r="B70" s="83" t="s">
        <v>1</v>
      </c>
      <c r="C70" s="18">
        <v>34</v>
      </c>
      <c r="D70" s="18">
        <v>75</v>
      </c>
      <c r="E70" s="17" t="s">
        <v>42</v>
      </c>
      <c r="F70" s="17" t="s">
        <v>29</v>
      </c>
      <c r="G70" s="17" t="s">
        <v>3</v>
      </c>
      <c r="H70" s="27" t="s">
        <v>18</v>
      </c>
      <c r="I70" s="112"/>
    </row>
    <row r="71" spans="1:9" s="19" customFormat="1" ht="31.5" customHeight="1">
      <c r="A71" s="26">
        <v>46151.409733796296</v>
      </c>
      <c r="B71" s="83" t="s">
        <v>0</v>
      </c>
      <c r="C71" s="18">
        <v>45</v>
      </c>
      <c r="D71" s="18">
        <v>30</v>
      </c>
      <c r="E71" s="17" t="s">
        <v>42</v>
      </c>
      <c r="F71" s="17" t="s">
        <v>29</v>
      </c>
      <c r="G71" s="17" t="s">
        <v>3</v>
      </c>
      <c r="H71" s="27" t="s">
        <v>18</v>
      </c>
      <c r="I71" s="112"/>
    </row>
    <row r="72" spans="1:9" s="19" customFormat="1" ht="31.5" customHeight="1">
      <c r="A72" s="26">
        <v>46151.436111111114</v>
      </c>
      <c r="B72" s="83" t="s">
        <v>0</v>
      </c>
      <c r="C72" s="18">
        <v>125</v>
      </c>
      <c r="D72" s="18">
        <v>64157</v>
      </c>
      <c r="E72" s="17" t="s">
        <v>40</v>
      </c>
      <c r="F72" s="17" t="s">
        <v>29</v>
      </c>
      <c r="G72" s="17" t="s">
        <v>3</v>
      </c>
      <c r="H72" s="27" t="s">
        <v>18</v>
      </c>
      <c r="I72" s="112"/>
    </row>
    <row r="73" spans="1:9" s="19" customFormat="1" ht="31.5" customHeight="1">
      <c r="A73" s="26">
        <v>46151.436747685184</v>
      </c>
      <c r="B73" s="83" t="s">
        <v>0</v>
      </c>
      <c r="C73" s="18">
        <v>205</v>
      </c>
      <c r="D73" s="18">
        <v>66138</v>
      </c>
      <c r="E73" s="17" t="s">
        <v>37</v>
      </c>
      <c r="F73" s="17" t="s">
        <v>29</v>
      </c>
      <c r="G73" s="17" t="s">
        <v>3</v>
      </c>
      <c r="H73" s="27" t="s">
        <v>18</v>
      </c>
      <c r="I73" s="112"/>
    </row>
    <row r="74" spans="1:9" s="19" customFormat="1" ht="31.5" customHeight="1">
      <c r="A74" s="26">
        <v>46151.437638888892</v>
      </c>
      <c r="B74" s="83" t="s">
        <v>0</v>
      </c>
      <c r="C74" s="18">
        <v>125</v>
      </c>
      <c r="D74" s="18">
        <v>20604</v>
      </c>
      <c r="E74" s="17" t="s">
        <v>37</v>
      </c>
      <c r="F74" s="17"/>
      <c r="G74" s="17" t="s">
        <v>5</v>
      </c>
      <c r="H74" s="27" t="s">
        <v>18</v>
      </c>
      <c r="I74" s="112"/>
    </row>
    <row r="75" spans="1:9" s="19" customFormat="1" ht="31.5" customHeight="1">
      <c r="A75" s="26">
        <v>46151.439444444448</v>
      </c>
      <c r="B75" s="83" t="s">
        <v>0</v>
      </c>
      <c r="C75" s="18">
        <v>21</v>
      </c>
      <c r="D75" s="18">
        <v>47403</v>
      </c>
      <c r="E75" s="17" t="s">
        <v>24</v>
      </c>
      <c r="F75" s="17" t="s">
        <v>29</v>
      </c>
      <c r="G75" s="17" t="s">
        <v>2</v>
      </c>
      <c r="H75" s="27" t="s">
        <v>18</v>
      </c>
      <c r="I75" s="112"/>
    </row>
    <row r="76" spans="1:9" s="19" customFormat="1" ht="31.5" customHeight="1">
      <c r="A76" s="26">
        <v>46151.439699074072</v>
      </c>
      <c r="B76" s="83" t="s">
        <v>0</v>
      </c>
      <c r="C76" s="18">
        <v>21</v>
      </c>
      <c r="D76" s="18">
        <v>4130</v>
      </c>
      <c r="E76" s="17" t="s">
        <v>30</v>
      </c>
      <c r="F76" s="17" t="s">
        <v>29</v>
      </c>
      <c r="G76" s="17" t="s">
        <v>2</v>
      </c>
      <c r="H76" s="27" t="s">
        <v>18</v>
      </c>
      <c r="I76" s="112"/>
    </row>
    <row r="77" spans="1:9" s="19" customFormat="1" ht="31.5" customHeight="1">
      <c r="A77" s="26">
        <v>46151.440636574072</v>
      </c>
      <c r="B77" s="83" t="s">
        <v>0</v>
      </c>
      <c r="C77" s="18">
        <v>205</v>
      </c>
      <c r="D77" s="18">
        <v>63952</v>
      </c>
      <c r="E77" s="17" t="s">
        <v>40</v>
      </c>
      <c r="F77" s="17" t="s">
        <v>29</v>
      </c>
      <c r="G77" s="17" t="s">
        <v>3</v>
      </c>
      <c r="H77" s="27" t="s">
        <v>18</v>
      </c>
      <c r="I77" s="112"/>
    </row>
    <row r="78" spans="1:9" s="19" customFormat="1" ht="31.5" customHeight="1">
      <c r="A78" s="26">
        <v>46151.44090277778</v>
      </c>
      <c r="B78" s="83" t="s">
        <v>0</v>
      </c>
      <c r="C78" s="18">
        <v>605</v>
      </c>
      <c r="D78" s="18">
        <v>1802</v>
      </c>
      <c r="E78" s="17" t="s">
        <v>45</v>
      </c>
      <c r="F78" s="17" t="s">
        <v>32</v>
      </c>
      <c r="G78" s="17" t="s">
        <v>2</v>
      </c>
      <c r="H78" s="27" t="s">
        <v>18</v>
      </c>
      <c r="I78" s="112"/>
    </row>
    <row r="79" spans="1:9" s="19" customFormat="1" ht="31.5" customHeight="1">
      <c r="A79" s="26">
        <v>46151.441284722219</v>
      </c>
      <c r="B79" s="83" t="s">
        <v>0</v>
      </c>
      <c r="C79" s="18">
        <v>7</v>
      </c>
      <c r="D79" s="18">
        <v>27016</v>
      </c>
      <c r="E79" s="17" t="s">
        <v>46</v>
      </c>
      <c r="F79" s="17" t="s">
        <v>29</v>
      </c>
      <c r="G79" s="17" t="s">
        <v>4</v>
      </c>
      <c r="H79" s="27" t="s">
        <v>18</v>
      </c>
      <c r="I79" s="112"/>
    </row>
    <row r="80" spans="1:9" s="19" customFormat="1" ht="31.5" customHeight="1">
      <c r="A80" s="26">
        <v>46151.44158564815</v>
      </c>
      <c r="B80" s="83" t="s">
        <v>0</v>
      </c>
      <c r="C80" s="18">
        <v>10</v>
      </c>
      <c r="D80" s="18">
        <v>345</v>
      </c>
      <c r="E80" s="17" t="s">
        <v>68</v>
      </c>
      <c r="F80" s="17"/>
      <c r="G80" s="17" t="s">
        <v>60</v>
      </c>
      <c r="H80" s="27" t="s">
        <v>18</v>
      </c>
      <c r="I80" s="112"/>
    </row>
    <row r="81" spans="1:9" s="19" customFormat="1" ht="31.5" customHeight="1">
      <c r="A81" s="26">
        <v>46151.44189814815</v>
      </c>
      <c r="B81" s="83" t="s">
        <v>0</v>
      </c>
      <c r="C81" s="18">
        <v>8</v>
      </c>
      <c r="D81" s="18">
        <v>337</v>
      </c>
      <c r="E81" s="17" t="s">
        <v>68</v>
      </c>
      <c r="F81" s="17"/>
      <c r="G81" s="17" t="s">
        <v>60</v>
      </c>
      <c r="H81" s="27" t="s">
        <v>18</v>
      </c>
      <c r="I81" s="112"/>
    </row>
    <row r="82" spans="1:9" s="19" customFormat="1" ht="31.5" customHeight="1">
      <c r="A82" s="26">
        <v>46151.460949074077</v>
      </c>
      <c r="B82" s="83" t="s">
        <v>0</v>
      </c>
      <c r="C82" s="18">
        <v>8</v>
      </c>
      <c r="D82" s="18">
        <v>7723</v>
      </c>
      <c r="E82" s="17" t="s">
        <v>31</v>
      </c>
      <c r="F82" s="17" t="s">
        <v>29</v>
      </c>
      <c r="G82" s="17" t="s">
        <v>3</v>
      </c>
      <c r="H82" s="27" t="s">
        <v>18</v>
      </c>
      <c r="I82" s="112"/>
    </row>
    <row r="83" spans="1:9" s="19" customFormat="1" ht="31.5" customHeight="1">
      <c r="A83" s="26">
        <v>46151.4612037037</v>
      </c>
      <c r="B83" s="83" t="s">
        <v>0</v>
      </c>
      <c r="C83" s="18">
        <v>2</v>
      </c>
      <c r="D83" s="18">
        <v>2494</v>
      </c>
      <c r="E83" s="17" t="s">
        <v>24</v>
      </c>
      <c r="F83" s="17" t="s">
        <v>29</v>
      </c>
      <c r="G83" s="17" t="s">
        <v>3</v>
      </c>
      <c r="H83" s="27" t="s">
        <v>18</v>
      </c>
      <c r="I83" s="112"/>
    </row>
    <row r="84" spans="1:9" s="19" customFormat="1" ht="31.5" customHeight="1">
      <c r="A84" s="26">
        <v>46151.461550925924</v>
      </c>
      <c r="B84" s="83" t="s">
        <v>0</v>
      </c>
      <c r="C84" s="18">
        <v>13</v>
      </c>
      <c r="D84" s="18">
        <v>20591</v>
      </c>
      <c r="E84" s="17" t="s">
        <v>37</v>
      </c>
      <c r="F84" s="17"/>
      <c r="G84" s="17" t="s">
        <v>5</v>
      </c>
      <c r="H84" s="27" t="s">
        <v>18</v>
      </c>
      <c r="I84" s="112"/>
    </row>
    <row r="85" spans="1:9" s="19" customFormat="1" ht="31.5" customHeight="1">
      <c r="A85" s="26">
        <v>46151.461701388886</v>
      </c>
      <c r="B85" s="83" t="s">
        <v>0</v>
      </c>
      <c r="C85" s="18">
        <v>60</v>
      </c>
      <c r="D85" s="18">
        <v>5457</v>
      </c>
      <c r="E85" s="17" t="s">
        <v>59</v>
      </c>
      <c r="F85" s="17"/>
      <c r="G85" s="17" t="s">
        <v>5</v>
      </c>
      <c r="H85" s="27" t="s">
        <v>18</v>
      </c>
      <c r="I85" s="112"/>
    </row>
    <row r="86" spans="1:9" s="19" customFormat="1" ht="31.5" customHeight="1">
      <c r="A86" s="26">
        <v>46152.421284722222</v>
      </c>
      <c r="B86" s="83" t="s">
        <v>0</v>
      </c>
      <c r="C86" s="18">
        <v>9</v>
      </c>
      <c r="D86" s="18">
        <v>1445</v>
      </c>
      <c r="E86" s="17" t="s">
        <v>86</v>
      </c>
      <c r="F86" s="17"/>
      <c r="G86" s="17" t="s">
        <v>72</v>
      </c>
      <c r="H86" s="27" t="s">
        <v>79</v>
      </c>
      <c r="I86" s="73"/>
    </row>
    <row r="87" spans="1:9" s="19" customFormat="1" ht="31.5" customHeight="1">
      <c r="A87" s="26">
        <v>46152.421597222223</v>
      </c>
      <c r="B87" s="83" t="s">
        <v>0</v>
      </c>
      <c r="C87" s="18">
        <v>4</v>
      </c>
      <c r="D87" s="18">
        <v>1974</v>
      </c>
      <c r="E87" s="17" t="s">
        <v>87</v>
      </c>
      <c r="F87" s="17"/>
      <c r="G87" s="17" t="s">
        <v>78</v>
      </c>
      <c r="H87" s="27" t="s">
        <v>79</v>
      </c>
      <c r="I87" s="73"/>
    </row>
    <row r="88" spans="1:9" s="19" customFormat="1" ht="31.5" customHeight="1">
      <c r="A88" s="26">
        <v>46152.437858796293</v>
      </c>
      <c r="B88" s="83" t="s">
        <v>0</v>
      </c>
      <c r="C88" s="18">
        <v>2825</v>
      </c>
      <c r="D88" s="18">
        <v>44158</v>
      </c>
      <c r="E88" s="17" t="s">
        <v>28</v>
      </c>
      <c r="F88" s="17" t="s">
        <v>29</v>
      </c>
      <c r="G88" s="17" t="s">
        <v>3</v>
      </c>
      <c r="H88" s="27" t="s">
        <v>18</v>
      </c>
      <c r="I88" s="73"/>
    </row>
    <row r="89" spans="1:9" s="19" customFormat="1" ht="31.5" customHeight="1">
      <c r="A89" s="26">
        <v>46152.438206018516</v>
      </c>
      <c r="B89" s="83" t="s">
        <v>0</v>
      </c>
      <c r="C89" s="18">
        <v>285</v>
      </c>
      <c r="D89" s="18">
        <v>8095</v>
      </c>
      <c r="E89" s="17" t="s">
        <v>36</v>
      </c>
      <c r="F89" s="17" t="s">
        <v>29</v>
      </c>
      <c r="G89" s="17" t="s">
        <v>3</v>
      </c>
      <c r="H89" s="27" t="s">
        <v>18</v>
      </c>
      <c r="I89" s="73"/>
    </row>
    <row r="90" spans="1:9" s="19" customFormat="1" ht="31.5" customHeight="1">
      <c r="A90" s="26">
        <v>46152.438622685186</v>
      </c>
      <c r="B90" s="83" t="s">
        <v>0</v>
      </c>
      <c r="C90" s="18">
        <v>855</v>
      </c>
      <c r="D90" s="18">
        <v>65283</v>
      </c>
      <c r="E90" s="17" t="s">
        <v>37</v>
      </c>
      <c r="F90" s="17" t="s">
        <v>29</v>
      </c>
      <c r="G90" s="17" t="s">
        <v>3</v>
      </c>
      <c r="H90" s="27" t="s">
        <v>18</v>
      </c>
      <c r="I90" s="73"/>
    </row>
    <row r="91" spans="1:9" s="19" customFormat="1" ht="31.5" customHeight="1">
      <c r="A91" s="26">
        <v>46152.439016203702</v>
      </c>
      <c r="B91" s="83" t="s">
        <v>0</v>
      </c>
      <c r="C91" s="18">
        <v>105</v>
      </c>
      <c r="D91" s="18">
        <v>384</v>
      </c>
      <c r="E91" s="17" t="s">
        <v>39</v>
      </c>
      <c r="F91" s="17" t="s">
        <v>29</v>
      </c>
      <c r="G91" s="17" t="s">
        <v>3</v>
      </c>
      <c r="H91" s="27" t="s">
        <v>18</v>
      </c>
      <c r="I91" s="73"/>
    </row>
    <row r="92" spans="1:9" s="19" customFormat="1" ht="31.5" customHeight="1">
      <c r="A92" s="26">
        <v>46152.439247685186</v>
      </c>
      <c r="B92" s="83" t="s">
        <v>0</v>
      </c>
      <c r="C92" s="18">
        <v>45</v>
      </c>
      <c r="D92" s="18">
        <v>6146</v>
      </c>
      <c r="E92" s="17" t="s">
        <v>38</v>
      </c>
      <c r="F92" s="17" t="s">
        <v>29</v>
      </c>
      <c r="G92" s="17" t="s">
        <v>3</v>
      </c>
      <c r="H92" s="27" t="s">
        <v>18</v>
      </c>
      <c r="I92" s="73"/>
    </row>
    <row r="93" spans="1:9" s="19" customFormat="1" ht="31.5" customHeight="1">
      <c r="A93" s="26">
        <v>46152.441747685189</v>
      </c>
      <c r="B93" s="83" t="s">
        <v>0</v>
      </c>
      <c r="C93" s="18">
        <v>245</v>
      </c>
      <c r="D93" s="18">
        <v>32111</v>
      </c>
      <c r="E93" s="17" t="s">
        <v>28</v>
      </c>
      <c r="F93" s="17" t="s">
        <v>29</v>
      </c>
      <c r="G93" s="17" t="s">
        <v>2</v>
      </c>
      <c r="H93" s="27" t="s">
        <v>18</v>
      </c>
      <c r="I93" s="73"/>
    </row>
    <row r="94" spans="1:9" s="19" customFormat="1" ht="31.5" customHeight="1">
      <c r="A94" s="117">
        <v>46152.63521990741</v>
      </c>
      <c r="B94" s="83" t="s">
        <v>0</v>
      </c>
      <c r="C94" s="18">
        <v>15</v>
      </c>
      <c r="D94" s="18">
        <v>322</v>
      </c>
      <c r="E94" s="17" t="s">
        <v>68</v>
      </c>
      <c r="F94" s="17"/>
      <c r="G94" s="17" t="s">
        <v>60</v>
      </c>
      <c r="H94" s="17" t="s">
        <v>18</v>
      </c>
      <c r="I94" s="73"/>
    </row>
    <row r="95" spans="1:9" s="19" customFormat="1" ht="31.5" customHeight="1">
      <c r="A95" s="117">
        <v>46153.340949074074</v>
      </c>
      <c r="B95" s="83" t="s">
        <v>0</v>
      </c>
      <c r="C95" s="18">
        <v>1</v>
      </c>
      <c r="D95" s="18">
        <v>1444</v>
      </c>
      <c r="E95" s="17" t="s">
        <v>86</v>
      </c>
      <c r="F95" s="17"/>
      <c r="G95" s="17" t="s">
        <v>72</v>
      </c>
      <c r="H95" s="17" t="s">
        <v>79</v>
      </c>
      <c r="I95" s="73"/>
    </row>
    <row r="96" spans="1:9" s="19" customFormat="1" ht="31.5" customHeight="1">
      <c r="A96" s="117">
        <v>46153.341099537036</v>
      </c>
      <c r="B96" s="83" t="s">
        <v>0</v>
      </c>
      <c r="C96" s="18">
        <v>1</v>
      </c>
      <c r="D96" s="18">
        <v>1973</v>
      </c>
      <c r="E96" s="17" t="s">
        <v>87</v>
      </c>
      <c r="F96" s="17"/>
      <c r="G96" s="17" t="s">
        <v>78</v>
      </c>
      <c r="H96" s="17" t="s">
        <v>79</v>
      </c>
      <c r="I96" s="73"/>
    </row>
    <row r="97" spans="1:9" s="19" customFormat="1" ht="31.5" customHeight="1">
      <c r="A97" s="117">
        <v>46153.397465277776</v>
      </c>
      <c r="B97" s="83" t="s">
        <v>0</v>
      </c>
      <c r="C97" s="18">
        <v>10</v>
      </c>
      <c r="D97" s="18">
        <v>312</v>
      </c>
      <c r="E97" s="17" t="s">
        <v>68</v>
      </c>
      <c r="F97" s="17"/>
      <c r="G97" s="17" t="s">
        <v>60</v>
      </c>
      <c r="H97" s="17" t="s">
        <v>18</v>
      </c>
      <c r="I97" s="73"/>
    </row>
    <row r="98" spans="1:9" s="19" customFormat="1" ht="31.5" customHeight="1">
      <c r="A98" s="117">
        <v>46153.408310185187</v>
      </c>
      <c r="B98" s="83" t="s">
        <v>0</v>
      </c>
      <c r="C98" s="18">
        <v>485</v>
      </c>
      <c r="D98" s="18">
        <v>43673</v>
      </c>
      <c r="E98" s="17" t="s">
        <v>28</v>
      </c>
      <c r="F98" s="17" t="s">
        <v>29</v>
      </c>
      <c r="G98" s="17" t="s">
        <v>3</v>
      </c>
      <c r="H98" s="17" t="s">
        <v>18</v>
      </c>
      <c r="I98" s="73"/>
    </row>
    <row r="99" spans="1:9" s="19" customFormat="1" ht="31.5" customHeight="1">
      <c r="A99" s="117">
        <v>46153.408668981479</v>
      </c>
      <c r="B99" s="83" t="s">
        <v>0</v>
      </c>
      <c r="C99" s="18">
        <v>325</v>
      </c>
      <c r="D99" s="18">
        <v>2169</v>
      </c>
      <c r="E99" s="17" t="s">
        <v>24</v>
      </c>
      <c r="F99" s="17" t="s">
        <v>29</v>
      </c>
      <c r="G99" s="17" t="s">
        <v>3</v>
      </c>
      <c r="H99" s="17" t="s">
        <v>18</v>
      </c>
      <c r="I99" s="73"/>
    </row>
    <row r="100" spans="1:9" s="19" customFormat="1" ht="31.5" customHeight="1">
      <c r="A100" s="117">
        <v>46153.41</v>
      </c>
      <c r="B100" s="83" t="s">
        <v>0</v>
      </c>
      <c r="C100" s="18">
        <v>66</v>
      </c>
      <c r="D100" s="18">
        <v>5450</v>
      </c>
      <c r="E100" s="17" t="s">
        <v>42</v>
      </c>
      <c r="F100" s="17" t="s">
        <v>29</v>
      </c>
      <c r="G100" s="17" t="s">
        <v>5</v>
      </c>
      <c r="H100" s="17" t="s">
        <v>18</v>
      </c>
      <c r="I100" s="73"/>
    </row>
    <row r="101" spans="1:9" ht="40.5" customHeight="1">
      <c r="A101" s="117">
        <v>46153.410243055558</v>
      </c>
      <c r="B101" s="83" t="s">
        <v>0</v>
      </c>
      <c r="C101" s="18">
        <v>85</v>
      </c>
      <c r="D101" s="18">
        <v>4668</v>
      </c>
      <c r="E101" s="17" t="s">
        <v>36</v>
      </c>
      <c r="F101" s="17" t="s">
        <v>29</v>
      </c>
      <c r="G101" s="17" t="s">
        <v>2</v>
      </c>
      <c r="H101" s="17" t="s">
        <v>18</v>
      </c>
    </row>
    <row r="102" spans="1:9" ht="40.5" customHeight="1">
      <c r="A102" s="117">
        <v>46153.410474537035</v>
      </c>
      <c r="B102" s="83" t="s">
        <v>0</v>
      </c>
      <c r="C102" s="18">
        <v>80</v>
      </c>
      <c r="D102" s="18">
        <v>6865</v>
      </c>
      <c r="E102" s="17" t="s">
        <v>24</v>
      </c>
      <c r="F102" s="17" t="s">
        <v>29</v>
      </c>
      <c r="G102" s="17" t="s">
        <v>5</v>
      </c>
      <c r="H102" s="17" t="s">
        <v>18</v>
      </c>
    </row>
    <row r="103" spans="1:9" ht="40.5" customHeight="1">
      <c r="A103" s="117">
        <v>46153.423252314817</v>
      </c>
      <c r="B103" s="83" t="s">
        <v>0</v>
      </c>
      <c r="C103" s="18">
        <v>6</v>
      </c>
      <c r="D103" s="18">
        <v>306</v>
      </c>
      <c r="E103" s="17" t="s">
        <v>68</v>
      </c>
      <c r="F103" s="17"/>
      <c r="G103" s="17" t="s">
        <v>60</v>
      </c>
      <c r="H103" s="17" t="s">
        <v>18</v>
      </c>
    </row>
    <row r="104" spans="1:9" ht="40.5" customHeight="1">
      <c r="A104" s="117">
        <v>46153.569953703707</v>
      </c>
      <c r="B104" s="83" t="s">
        <v>0</v>
      </c>
      <c r="C104" s="18">
        <v>28</v>
      </c>
      <c r="D104" s="18">
        <v>5429</v>
      </c>
      <c r="E104" s="17" t="s">
        <v>59</v>
      </c>
      <c r="F104" s="17"/>
      <c r="G104" s="17" t="s">
        <v>5</v>
      </c>
      <c r="H104" s="17" t="s">
        <v>18</v>
      </c>
    </row>
    <row r="105" spans="1:9" ht="40.5" customHeight="1">
      <c r="A105" s="117">
        <v>46153.570289351854</v>
      </c>
      <c r="B105" s="83" t="s">
        <v>0</v>
      </c>
      <c r="C105" s="18">
        <v>45</v>
      </c>
      <c r="D105" s="18">
        <v>47358</v>
      </c>
      <c r="E105" s="17" t="s">
        <v>24</v>
      </c>
      <c r="F105" s="17" t="s">
        <v>29</v>
      </c>
      <c r="G105" s="17" t="s">
        <v>2</v>
      </c>
      <c r="H105" s="17" t="s">
        <v>18</v>
      </c>
    </row>
    <row r="106" spans="1:9" ht="40.5" customHeight="1">
      <c r="A106" s="117">
        <v>46153.570625</v>
      </c>
      <c r="B106" s="30" t="s">
        <v>0</v>
      </c>
      <c r="C106" s="18">
        <v>450</v>
      </c>
      <c r="D106" s="18">
        <v>3680</v>
      </c>
      <c r="E106" s="17" t="s">
        <v>30</v>
      </c>
      <c r="F106" s="17" t="s">
        <v>29</v>
      </c>
      <c r="G106" s="17" t="s">
        <v>2</v>
      </c>
      <c r="H106" s="17" t="s">
        <v>18</v>
      </c>
    </row>
    <row r="107" spans="1:9" ht="40.5" customHeight="1">
      <c r="A107" s="117">
        <v>46153.570821759262</v>
      </c>
      <c r="B107" s="83" t="s">
        <v>0</v>
      </c>
      <c r="C107" s="18">
        <v>405</v>
      </c>
      <c r="D107" s="18">
        <v>1397</v>
      </c>
      <c r="E107" s="17" t="s">
        <v>45</v>
      </c>
      <c r="F107" s="17" t="s">
        <v>32</v>
      </c>
      <c r="G107" s="17" t="s">
        <v>2</v>
      </c>
      <c r="H107" s="17" t="s">
        <v>18</v>
      </c>
    </row>
    <row r="108" spans="1:9" ht="40.5" customHeight="1">
      <c r="A108" s="117">
        <v>46153.606249999997</v>
      </c>
      <c r="B108" s="83" t="s">
        <v>0</v>
      </c>
      <c r="C108" s="18">
        <v>5</v>
      </c>
      <c r="D108" s="18">
        <v>43668</v>
      </c>
      <c r="E108" s="17" t="s">
        <v>28</v>
      </c>
      <c r="F108" s="17" t="s">
        <v>29</v>
      </c>
      <c r="G108" s="17" t="s">
        <v>3</v>
      </c>
      <c r="H108" s="17" t="s">
        <v>18</v>
      </c>
    </row>
    <row r="109" spans="1:9" ht="40.5" customHeight="1">
      <c r="A109" s="117">
        <v>46153.61041666667</v>
      </c>
      <c r="B109" s="83" t="s">
        <v>0</v>
      </c>
      <c r="C109" s="18">
        <v>2</v>
      </c>
      <c r="D109" s="18">
        <v>1442</v>
      </c>
      <c r="E109" s="17" t="s">
        <v>86</v>
      </c>
      <c r="F109" s="17" t="s">
        <v>83</v>
      </c>
      <c r="G109" s="17" t="s">
        <v>72</v>
      </c>
      <c r="H109" s="17" t="s">
        <v>79</v>
      </c>
    </row>
    <row r="110" spans="1:9" ht="40.5" customHeight="1">
      <c r="A110" s="117">
        <v>46153.610717592594</v>
      </c>
      <c r="B110" s="83" t="s">
        <v>0</v>
      </c>
      <c r="C110" s="18">
        <v>1</v>
      </c>
      <c r="D110" s="18">
        <v>1972</v>
      </c>
      <c r="E110" s="17" t="s">
        <v>87</v>
      </c>
      <c r="F110" s="17" t="s">
        <v>76</v>
      </c>
      <c r="G110" s="17" t="s">
        <v>78</v>
      </c>
      <c r="H110" s="17" t="s">
        <v>79</v>
      </c>
    </row>
    <row r="111" spans="1:9" ht="40.5" customHeight="1">
      <c r="A111" s="117">
        <v>46153.614652777775</v>
      </c>
      <c r="B111" s="83" t="s">
        <v>0</v>
      </c>
      <c r="C111" s="18">
        <v>1</v>
      </c>
      <c r="D111" s="18">
        <v>1441</v>
      </c>
      <c r="E111" s="17" t="s">
        <v>86</v>
      </c>
      <c r="F111" s="17" t="s">
        <v>83</v>
      </c>
      <c r="G111" s="17" t="s">
        <v>72</v>
      </c>
      <c r="H111" s="17" t="s">
        <v>79</v>
      </c>
    </row>
    <row r="112" spans="1:9" ht="40.5" customHeight="1">
      <c r="A112" s="117">
        <v>46153.637013888889</v>
      </c>
      <c r="B112" s="83" t="s">
        <v>0</v>
      </c>
      <c r="C112" s="18">
        <v>1</v>
      </c>
      <c r="D112" s="18">
        <v>1440</v>
      </c>
      <c r="E112" s="17" t="s">
        <v>86</v>
      </c>
      <c r="F112" s="17" t="s">
        <v>83</v>
      </c>
      <c r="G112" s="17" t="s">
        <v>72</v>
      </c>
      <c r="H112" s="17" t="s">
        <v>79</v>
      </c>
    </row>
    <row r="113" spans="1:8" ht="40.5" customHeight="1">
      <c r="A113" s="117">
        <v>46155.347534722219</v>
      </c>
      <c r="B113" s="83" t="s">
        <v>0</v>
      </c>
      <c r="C113" s="18">
        <v>5</v>
      </c>
      <c r="D113" s="18">
        <v>301</v>
      </c>
      <c r="E113" s="17" t="s">
        <v>68</v>
      </c>
      <c r="F113" s="17"/>
      <c r="G113" s="17" t="s">
        <v>60</v>
      </c>
      <c r="H113" s="17" t="s">
        <v>18</v>
      </c>
    </row>
    <row r="114" spans="1:8" ht="40.5" customHeight="1">
      <c r="A114" s="149">
        <v>46155.347824074073</v>
      </c>
      <c r="B114" s="31" t="s">
        <v>0</v>
      </c>
      <c r="C114" s="72">
        <v>9</v>
      </c>
      <c r="D114" s="72">
        <v>292</v>
      </c>
      <c r="E114" t="s">
        <v>68</v>
      </c>
      <c r="G114" t="s">
        <v>60</v>
      </c>
      <c r="H114" s="29" t="s">
        <v>18</v>
      </c>
    </row>
    <row r="115" spans="1:8" ht="40.5" customHeight="1">
      <c r="A115" s="149">
        <v>46155.350671296299</v>
      </c>
      <c r="B115" s="31" t="s">
        <v>0</v>
      </c>
      <c r="C115" s="72">
        <v>405</v>
      </c>
      <c r="D115" s="72">
        <v>7690</v>
      </c>
      <c r="E115" t="s">
        <v>36</v>
      </c>
      <c r="F115" t="s">
        <v>29</v>
      </c>
      <c r="G115" t="s">
        <v>3</v>
      </c>
      <c r="H115" s="29" t="s">
        <v>18</v>
      </c>
    </row>
    <row r="116" spans="1:8" ht="40.5" customHeight="1">
      <c r="A116" s="149">
        <v>46155.351006944446</v>
      </c>
      <c r="B116" s="31" t="s">
        <v>0</v>
      </c>
      <c r="C116" s="72">
        <v>605</v>
      </c>
      <c r="D116" s="72">
        <v>1564</v>
      </c>
      <c r="E116" t="s">
        <v>24</v>
      </c>
      <c r="F116" t="s">
        <v>29</v>
      </c>
      <c r="G116" t="s">
        <v>3</v>
      </c>
      <c r="H116" s="29" t="s">
        <v>18</v>
      </c>
    </row>
    <row r="117" spans="1:8" ht="40.5" customHeight="1">
      <c r="A117" s="149">
        <v>46155.3512962963</v>
      </c>
      <c r="B117" s="31" t="s">
        <v>0</v>
      </c>
      <c r="C117" s="72">
        <v>5</v>
      </c>
      <c r="D117" s="72">
        <v>43663</v>
      </c>
      <c r="E117" t="s">
        <v>28</v>
      </c>
      <c r="F117" t="s">
        <v>29</v>
      </c>
      <c r="G117" t="s">
        <v>3</v>
      </c>
      <c r="H117" s="29" t="s">
        <v>18</v>
      </c>
    </row>
    <row r="118" spans="1:8" ht="40.5" customHeight="1">
      <c r="A118" s="149">
        <v>46155.351574074077</v>
      </c>
      <c r="B118" s="31" t="s">
        <v>0</v>
      </c>
      <c r="C118" s="72">
        <v>5</v>
      </c>
      <c r="D118" s="72">
        <v>6860</v>
      </c>
      <c r="E118" t="s">
        <v>24</v>
      </c>
      <c r="F118" t="s">
        <v>29</v>
      </c>
      <c r="G118" t="s">
        <v>5</v>
      </c>
      <c r="H118" s="29" t="s">
        <v>18</v>
      </c>
    </row>
    <row r="119" spans="1:8" ht="40.5" customHeight="1">
      <c r="A119" s="149">
        <v>46155.352129629631</v>
      </c>
      <c r="B119" s="31" t="s">
        <v>0</v>
      </c>
      <c r="C119" s="72">
        <v>165</v>
      </c>
      <c r="D119" s="72">
        <v>63787</v>
      </c>
      <c r="E119" t="s">
        <v>40</v>
      </c>
      <c r="F119" t="s">
        <v>29</v>
      </c>
      <c r="G119" t="s">
        <v>3</v>
      </c>
      <c r="H119" s="29" t="s">
        <v>18</v>
      </c>
    </row>
    <row r="120" spans="1:8" ht="40.5" customHeight="1">
      <c r="A120" s="149">
        <v>46155.352835648147</v>
      </c>
      <c r="B120" s="31" t="s">
        <v>0</v>
      </c>
      <c r="C120" s="72">
        <v>125</v>
      </c>
      <c r="D120" s="72">
        <v>7466</v>
      </c>
      <c r="E120" t="s">
        <v>56</v>
      </c>
      <c r="F120" t="s">
        <v>57</v>
      </c>
      <c r="G120" t="s">
        <v>5</v>
      </c>
      <c r="H120" s="29" t="s">
        <v>18</v>
      </c>
    </row>
    <row r="121" spans="1:8" ht="40.5" customHeight="1">
      <c r="A121" s="149">
        <v>46155.353518518517</v>
      </c>
      <c r="B121" s="31" t="s">
        <v>0</v>
      </c>
      <c r="C121" s="72">
        <v>205</v>
      </c>
      <c r="D121" s="72">
        <v>63582</v>
      </c>
      <c r="E121" t="s">
        <v>40</v>
      </c>
      <c r="F121" t="s">
        <v>29</v>
      </c>
      <c r="G121" t="s">
        <v>3</v>
      </c>
      <c r="H121" s="29" t="s">
        <v>18</v>
      </c>
    </row>
    <row r="122" spans="1:8" ht="40.5" customHeight="1">
      <c r="A122" s="149">
        <v>46155.353703703702</v>
      </c>
      <c r="B122" s="31" t="s">
        <v>0</v>
      </c>
      <c r="C122" s="72">
        <v>245</v>
      </c>
      <c r="D122" s="72">
        <v>43418</v>
      </c>
      <c r="E122" t="s">
        <v>28</v>
      </c>
      <c r="F122" t="s">
        <v>29</v>
      </c>
      <c r="G122" t="s">
        <v>3</v>
      </c>
      <c r="H122" s="29" t="s">
        <v>18</v>
      </c>
    </row>
    <row r="123" spans="1:8" ht="40.5" customHeight="1">
      <c r="A123" s="149">
        <v>46155.353877314818</v>
      </c>
      <c r="B123" s="31" t="s">
        <v>0</v>
      </c>
      <c r="C123" s="72">
        <v>45</v>
      </c>
      <c r="D123" s="72">
        <v>339</v>
      </c>
      <c r="E123" t="s">
        <v>39</v>
      </c>
      <c r="F123" t="s">
        <v>29</v>
      </c>
      <c r="G123" t="s">
        <v>3</v>
      </c>
      <c r="H123" s="29" t="s">
        <v>18</v>
      </c>
    </row>
    <row r="124" spans="1:8" ht="40.5" customHeight="1">
      <c r="A124" s="149">
        <v>46155.354409722226</v>
      </c>
      <c r="B124" s="31" t="s">
        <v>0</v>
      </c>
      <c r="C124" s="72">
        <v>205</v>
      </c>
      <c r="D124" s="72">
        <v>65078</v>
      </c>
      <c r="E124" t="s">
        <v>37</v>
      </c>
      <c r="F124" t="s">
        <v>29</v>
      </c>
      <c r="G124" t="s">
        <v>3</v>
      </c>
      <c r="H124" s="29" t="s">
        <v>18</v>
      </c>
    </row>
    <row r="125" spans="1:8" ht="40.5" customHeight="1">
      <c r="A125" s="149">
        <v>46155.355173611111</v>
      </c>
      <c r="B125" s="31" t="s">
        <v>0</v>
      </c>
      <c r="C125" s="72">
        <v>85</v>
      </c>
      <c r="D125" s="72">
        <v>20506</v>
      </c>
      <c r="E125" t="s">
        <v>37</v>
      </c>
      <c r="F125" t="s">
        <v>29</v>
      </c>
      <c r="G125" t="s">
        <v>5</v>
      </c>
      <c r="H125" s="29" t="s">
        <v>18</v>
      </c>
    </row>
    <row r="126" spans="1:8" ht="40.5" customHeight="1">
      <c r="A126" s="149">
        <v>46155.356226851851</v>
      </c>
      <c r="B126" s="31" t="s">
        <v>0</v>
      </c>
      <c r="C126" s="72">
        <v>2</v>
      </c>
      <c r="D126" s="72">
        <v>1438</v>
      </c>
      <c r="E126" t="s">
        <v>86</v>
      </c>
      <c r="F126" t="s">
        <v>83</v>
      </c>
      <c r="G126" t="s">
        <v>72</v>
      </c>
      <c r="H126" s="29" t="s">
        <v>79</v>
      </c>
    </row>
    <row r="127" spans="1:8" ht="40.5" customHeight="1">
      <c r="A127" s="149">
        <v>46155.356388888889</v>
      </c>
      <c r="B127" s="31" t="s">
        <v>0</v>
      </c>
      <c r="C127" s="72">
        <v>1</v>
      </c>
      <c r="D127" s="72">
        <v>1971</v>
      </c>
      <c r="E127" t="s">
        <v>87</v>
      </c>
      <c r="F127" t="s">
        <v>76</v>
      </c>
      <c r="G127" t="s">
        <v>78</v>
      </c>
      <c r="H127" s="29" t="s">
        <v>79</v>
      </c>
    </row>
    <row r="128" spans="1:8" ht="40.5" customHeight="1">
      <c r="A128" s="149">
        <v>46155.511921296296</v>
      </c>
      <c r="B128" s="31" t="s">
        <v>0</v>
      </c>
      <c r="C128" s="72">
        <v>3</v>
      </c>
      <c r="D128" s="72">
        <v>6857</v>
      </c>
      <c r="E128" t="s">
        <v>24</v>
      </c>
      <c r="F128" t="s">
        <v>29</v>
      </c>
      <c r="G128" t="s">
        <v>5</v>
      </c>
      <c r="H128" s="29" t="s">
        <v>18</v>
      </c>
    </row>
    <row r="129" spans="1:8" ht="40.5" customHeight="1">
      <c r="A129" s="149">
        <v>46155.58048611111</v>
      </c>
      <c r="B129" s="31" t="s">
        <v>0</v>
      </c>
      <c r="C129" s="72">
        <v>12</v>
      </c>
      <c r="D129" s="72">
        <v>5417</v>
      </c>
      <c r="E129" t="s">
        <v>59</v>
      </c>
    </row>
    <row r="130" spans="1:8" ht="40.5" customHeight="1">
      <c r="A130" s="149">
        <v>46155.713043981479</v>
      </c>
      <c r="B130" s="31" t="s">
        <v>0</v>
      </c>
      <c r="C130" s="72">
        <v>85</v>
      </c>
      <c r="D130" s="72">
        <v>6061</v>
      </c>
      <c r="E130" t="s">
        <v>38</v>
      </c>
      <c r="F130" t="s">
        <v>29</v>
      </c>
      <c r="G130" t="s">
        <v>3</v>
      </c>
      <c r="H130" s="29" t="s">
        <v>18</v>
      </c>
    </row>
    <row r="131" spans="1:8" ht="40.5" customHeight="1">
      <c r="A131" s="149">
        <v>46155.71366898148</v>
      </c>
      <c r="B131" s="31" t="s">
        <v>0</v>
      </c>
      <c r="C131" s="72">
        <v>965</v>
      </c>
      <c r="D131" s="72">
        <v>62617</v>
      </c>
      <c r="E131" t="s">
        <v>40</v>
      </c>
      <c r="F131" t="s">
        <v>29</v>
      </c>
      <c r="G131" t="s">
        <v>3</v>
      </c>
      <c r="H131" s="29" t="s">
        <v>18</v>
      </c>
    </row>
    <row r="132" spans="1:8" ht="40.5" customHeight="1">
      <c r="A132" s="149">
        <v>46155.713900462964</v>
      </c>
      <c r="B132" s="31" t="s">
        <v>0</v>
      </c>
      <c r="C132" s="72">
        <v>205</v>
      </c>
      <c r="D132" s="72">
        <v>7812</v>
      </c>
      <c r="E132" t="s">
        <v>41</v>
      </c>
      <c r="F132" t="s">
        <v>29</v>
      </c>
      <c r="G132" t="s">
        <v>3</v>
      </c>
      <c r="H132" s="29" t="s">
        <v>18</v>
      </c>
    </row>
    <row r="133" spans="1:8" ht="40.5" customHeight="1">
      <c r="A133" s="149">
        <v>46155.714375000003</v>
      </c>
      <c r="B133" s="31" t="s">
        <v>0</v>
      </c>
      <c r="C133" s="72">
        <v>24</v>
      </c>
      <c r="D133" s="72">
        <v>5393</v>
      </c>
      <c r="E133" t="s">
        <v>59</v>
      </c>
      <c r="G133" t="s">
        <v>5</v>
      </c>
      <c r="H133" s="29" t="s">
        <v>18</v>
      </c>
    </row>
    <row r="134" spans="1:8" ht="40.5" customHeight="1">
      <c r="A134" s="149">
        <v>46155.714733796296</v>
      </c>
      <c r="B134" s="31" t="s">
        <v>0</v>
      </c>
      <c r="C134" s="72">
        <v>85</v>
      </c>
      <c r="D134" s="72">
        <v>20421</v>
      </c>
      <c r="E134" t="s">
        <v>37</v>
      </c>
      <c r="F134" t="s">
        <v>29</v>
      </c>
      <c r="G134" t="s">
        <v>5</v>
      </c>
      <c r="H134" s="29" t="s">
        <v>18</v>
      </c>
    </row>
    <row r="135" spans="1:8" ht="40.5" customHeight="1">
      <c r="A135" s="149">
        <v>46155.714999999997</v>
      </c>
      <c r="B135" s="31" t="s">
        <v>0</v>
      </c>
      <c r="C135" s="72">
        <v>245</v>
      </c>
      <c r="D135" s="72">
        <v>6612</v>
      </c>
      <c r="E135" t="s">
        <v>24</v>
      </c>
      <c r="F135" t="s">
        <v>29</v>
      </c>
      <c r="G135" t="s">
        <v>5</v>
      </c>
      <c r="H135" s="29" t="s">
        <v>18</v>
      </c>
    </row>
    <row r="136" spans="1:8" ht="40.5" customHeight="1">
      <c r="A136" s="149">
        <v>46155.715416666666</v>
      </c>
      <c r="B136" s="31" t="s">
        <v>0</v>
      </c>
      <c r="C136" s="72">
        <v>45</v>
      </c>
      <c r="D136" s="72">
        <v>5405</v>
      </c>
      <c r="E136" t="s">
        <v>42</v>
      </c>
      <c r="G136" t="s">
        <v>5</v>
      </c>
      <c r="H136" s="29" t="s">
        <v>18</v>
      </c>
    </row>
    <row r="137" spans="1:8" ht="40.5" customHeight="1">
      <c r="A137" s="149">
        <v>46155.715729166666</v>
      </c>
    </row>
    <row r="138" spans="1:8" ht="40.5" customHeight="1">
      <c r="A138" s="149">
        <v>46155.715995370374</v>
      </c>
    </row>
    <row r="139" spans="1:8" ht="40.5" customHeight="1">
      <c r="A139" s="149">
        <v>46155.716307870367</v>
      </c>
    </row>
    <row r="140" spans="1:8" ht="40.5" customHeight="1">
      <c r="A140" s="149">
        <v>46155.716886574075</v>
      </c>
      <c r="B140" s="31" t="s">
        <v>0</v>
      </c>
      <c r="C140" s="72">
        <v>205</v>
      </c>
      <c r="D140" s="72">
        <v>62412</v>
      </c>
      <c r="E140" t="s">
        <v>40</v>
      </c>
      <c r="F140" t="s">
        <v>29</v>
      </c>
      <c r="G140" t="s">
        <v>3</v>
      </c>
      <c r="H140" s="29" t="s">
        <v>18</v>
      </c>
    </row>
    <row r="141" spans="1:8" ht="40.5" customHeight="1">
      <c r="A141" s="149">
        <v>46155.717037037037</v>
      </c>
      <c r="B141" s="31" t="s">
        <v>0</v>
      </c>
      <c r="C141" s="72">
        <v>1605</v>
      </c>
      <c r="D141" s="72">
        <v>63473</v>
      </c>
      <c r="E141" t="s">
        <v>37</v>
      </c>
      <c r="F141" t="s">
        <v>29</v>
      </c>
      <c r="G141" t="s">
        <v>3</v>
      </c>
      <c r="H141" s="29" t="s">
        <v>18</v>
      </c>
    </row>
    <row r="142" spans="1:8" ht="40.5" customHeight="1">
      <c r="A142" s="149">
        <v>46155.717222222222</v>
      </c>
      <c r="B142" s="31" t="s">
        <v>0</v>
      </c>
      <c r="C142" s="72">
        <v>205</v>
      </c>
      <c r="D142" s="72">
        <v>7485</v>
      </c>
      <c r="E142" t="s">
        <v>36</v>
      </c>
      <c r="F142" t="s">
        <v>29</v>
      </c>
      <c r="G142" t="s">
        <v>3</v>
      </c>
      <c r="H142" s="29" t="s">
        <v>18</v>
      </c>
    </row>
    <row r="143" spans="1:8" ht="40.5" customHeight="1">
      <c r="A143" s="149"/>
    </row>
    <row r="144" spans="1:8" ht="40.5" customHeight="1">
      <c r="A144" s="149">
        <v>46158.364641203705</v>
      </c>
      <c r="B144" s="31" t="s">
        <v>0</v>
      </c>
      <c r="C144" s="72">
        <v>12</v>
      </c>
      <c r="D144" s="72">
        <v>5381</v>
      </c>
      <c r="E144" t="s">
        <v>59</v>
      </c>
      <c r="G144" t="s">
        <v>5</v>
      </c>
      <c r="H144" s="29" t="s">
        <v>18</v>
      </c>
    </row>
    <row r="145" spans="1:8" ht="40.5" customHeight="1">
      <c r="A145" s="149">
        <v>46158.365231481483</v>
      </c>
      <c r="B145" s="31" t="s">
        <v>0</v>
      </c>
      <c r="C145" s="72">
        <v>15</v>
      </c>
      <c r="D145" s="72">
        <v>5366</v>
      </c>
      <c r="E145" t="s">
        <v>59</v>
      </c>
      <c r="G145" t="s">
        <v>5</v>
      </c>
      <c r="H145" s="29" t="s">
        <v>18</v>
      </c>
    </row>
    <row r="146" spans="1:8" ht="40.5" customHeight="1">
      <c r="A146" s="149">
        <v>46158.36681712963</v>
      </c>
      <c r="B146" s="31" t="s">
        <v>0</v>
      </c>
      <c r="C146" s="72">
        <v>76</v>
      </c>
      <c r="D146" s="72">
        <v>43342</v>
      </c>
      <c r="E146" t="s">
        <v>28</v>
      </c>
      <c r="F146" t="s">
        <v>29</v>
      </c>
      <c r="G146" t="s">
        <v>3</v>
      </c>
      <c r="H146" s="29" t="s">
        <v>18</v>
      </c>
    </row>
    <row r="147" spans="1:8" ht="40.5" customHeight="1">
      <c r="A147" s="149">
        <v>46158.367418981485</v>
      </c>
      <c r="B147" s="31" t="s">
        <v>0</v>
      </c>
      <c r="C147" s="72">
        <v>5</v>
      </c>
      <c r="D147" s="72">
        <v>3675</v>
      </c>
      <c r="E147" t="s">
        <v>30</v>
      </c>
      <c r="F147" t="s">
        <v>29</v>
      </c>
      <c r="G147" t="s">
        <v>2</v>
      </c>
      <c r="H147" s="29" t="s">
        <v>18</v>
      </c>
    </row>
    <row r="148" spans="1:8" ht="40.5" customHeight="1">
      <c r="A148" s="149">
        <v>46158.368888888886</v>
      </c>
      <c r="B148" s="31" t="s">
        <v>0</v>
      </c>
      <c r="C148" s="72">
        <v>20</v>
      </c>
      <c r="D148" s="72">
        <v>272</v>
      </c>
      <c r="E148" t="s">
        <v>68</v>
      </c>
      <c r="G148" t="s">
        <v>60</v>
      </c>
      <c r="H148" s="29" t="s">
        <v>18</v>
      </c>
    </row>
    <row r="149" spans="1:8" ht="40.5" customHeight="1">
      <c r="A149" s="149">
        <v>46158.370347222219</v>
      </c>
      <c r="B149" s="31" t="s">
        <v>0</v>
      </c>
      <c r="C149" s="72">
        <v>7</v>
      </c>
      <c r="D149" s="72">
        <v>1431</v>
      </c>
      <c r="E149" t="s">
        <v>86</v>
      </c>
      <c r="F149" t="s">
        <v>83</v>
      </c>
      <c r="G149" t="s">
        <v>72</v>
      </c>
      <c r="H149" s="29" t="s">
        <v>79</v>
      </c>
    </row>
    <row r="150" spans="1:8" ht="40.5" customHeight="1">
      <c r="A150" s="149">
        <v>46158.370509259257</v>
      </c>
      <c r="B150" s="31" t="s">
        <v>0</v>
      </c>
      <c r="C150" s="72">
        <v>3</v>
      </c>
      <c r="D150" s="72">
        <v>1968</v>
      </c>
      <c r="E150" t="s">
        <v>87</v>
      </c>
      <c r="F150" t="s">
        <v>76</v>
      </c>
      <c r="G150" t="s">
        <v>78</v>
      </c>
      <c r="H150" s="29" t="s">
        <v>79</v>
      </c>
    </row>
    <row r="151" spans="1:8" ht="40.5" customHeight="1">
      <c r="A151" s="149">
        <v>46158.371076388888</v>
      </c>
      <c r="B151" s="31" t="s">
        <v>0</v>
      </c>
      <c r="C151" s="72">
        <v>9</v>
      </c>
      <c r="D151" s="72">
        <v>1422</v>
      </c>
      <c r="E151" t="s">
        <v>86</v>
      </c>
      <c r="F151" t="s">
        <v>83</v>
      </c>
      <c r="G151" t="s">
        <v>72</v>
      </c>
      <c r="H151" s="29" t="s">
        <v>79</v>
      </c>
    </row>
    <row r="152" spans="1:8" ht="40.5" customHeight="1">
      <c r="A152" s="149">
        <v>46158.37122685185</v>
      </c>
      <c r="B152" s="31" t="s">
        <v>0</v>
      </c>
      <c r="C152" s="72">
        <v>4</v>
      </c>
      <c r="D152" s="72">
        <v>1964</v>
      </c>
      <c r="E152" t="s">
        <v>87</v>
      </c>
      <c r="F152" t="s">
        <v>76</v>
      </c>
      <c r="G152" t="s">
        <v>78</v>
      </c>
      <c r="H152" s="29" t="s">
        <v>79</v>
      </c>
    </row>
    <row r="153" spans="1:8" ht="40.5" customHeight="1">
      <c r="A153" s="149">
        <v>46158.371516203704</v>
      </c>
      <c r="B153" s="31" t="s">
        <v>0</v>
      </c>
      <c r="C153" s="72">
        <v>2</v>
      </c>
      <c r="D153" s="72">
        <v>1962</v>
      </c>
      <c r="E153" t="s">
        <v>87</v>
      </c>
      <c r="F153" t="s">
        <v>76</v>
      </c>
      <c r="G153" t="s">
        <v>78</v>
      </c>
      <c r="H153" s="29" t="s">
        <v>79</v>
      </c>
    </row>
    <row r="154" spans="1:8" ht="40.5" customHeight="1">
      <c r="A154" s="149">
        <v>46158.371770833335</v>
      </c>
      <c r="B154" s="31" t="s">
        <v>0</v>
      </c>
      <c r="C154" s="72">
        <v>5</v>
      </c>
      <c r="D154" s="72">
        <v>1417</v>
      </c>
      <c r="E154" t="s">
        <v>86</v>
      </c>
      <c r="F154" t="s">
        <v>83</v>
      </c>
      <c r="G154" t="s">
        <v>72</v>
      </c>
      <c r="H154" s="29" t="s">
        <v>79</v>
      </c>
    </row>
    <row r="155" spans="1:8" ht="40.5" customHeight="1">
      <c r="A155" s="149">
        <v>46158.37296296296</v>
      </c>
      <c r="B155" s="31" t="s">
        <v>1</v>
      </c>
      <c r="C155" s="72">
        <v>0</v>
      </c>
      <c r="D155" s="72">
        <v>1</v>
      </c>
      <c r="E155" t="s">
        <v>67</v>
      </c>
      <c r="G155" t="s">
        <v>60</v>
      </c>
      <c r="H155" s="29" t="s">
        <v>18</v>
      </c>
    </row>
    <row r="156" spans="1:8" ht="40.5" customHeight="1">
      <c r="A156" s="149">
        <v>46158.373217592591</v>
      </c>
      <c r="B156" s="31" t="s">
        <v>0</v>
      </c>
      <c r="C156" s="72">
        <v>999</v>
      </c>
      <c r="D156" s="72">
        <v>-998</v>
      </c>
      <c r="E156" t="s">
        <v>67</v>
      </c>
      <c r="G156" t="s">
        <v>60</v>
      </c>
      <c r="H156" s="29" t="s">
        <v>18</v>
      </c>
    </row>
    <row r="157" spans="1:8" ht="40.5" customHeight="1">
      <c r="A157" s="149">
        <v>46158.373298611114</v>
      </c>
      <c r="B157" s="31" t="s">
        <v>1</v>
      </c>
      <c r="C157" s="72">
        <v>9</v>
      </c>
      <c r="D157" s="72">
        <v>10</v>
      </c>
      <c r="E157" t="s">
        <v>67</v>
      </c>
      <c r="G157" t="s">
        <v>60</v>
      </c>
      <c r="H157" s="29" t="s">
        <v>18</v>
      </c>
    </row>
    <row r="158" spans="1:8" ht="40.5" customHeight="1">
      <c r="A158" s="149">
        <v>46158.373506944445</v>
      </c>
      <c r="B158" s="31" t="s">
        <v>1</v>
      </c>
      <c r="C158" s="72">
        <v>999</v>
      </c>
      <c r="D158" s="72">
        <v>1000</v>
      </c>
      <c r="E158" t="s">
        <v>67</v>
      </c>
      <c r="G158" t="s">
        <v>60</v>
      </c>
      <c r="H158" s="29" t="s">
        <v>18</v>
      </c>
    </row>
    <row r="159" spans="1:8" ht="40.5" customHeight="1">
      <c r="A159" s="149">
        <v>46158.373726851853</v>
      </c>
      <c r="B159" s="31" t="s">
        <v>1</v>
      </c>
      <c r="C159" s="72">
        <v>1500</v>
      </c>
      <c r="D159" s="72">
        <v>1772</v>
      </c>
      <c r="E159" t="s">
        <v>68</v>
      </c>
      <c r="G159" t="s">
        <v>60</v>
      </c>
      <c r="H159" s="29" t="s">
        <v>18</v>
      </c>
    </row>
    <row r="160" spans="1:8" ht="40.5" customHeight="1">
      <c r="A160" s="149">
        <v>46158.374895833331</v>
      </c>
      <c r="B160" s="31" t="s">
        <v>0</v>
      </c>
      <c r="C160" s="72">
        <v>85</v>
      </c>
      <c r="D160" s="72">
        <v>6527</v>
      </c>
      <c r="E160" t="s">
        <v>24</v>
      </c>
      <c r="F160" t="s">
        <v>29</v>
      </c>
      <c r="G160" t="s">
        <v>5</v>
      </c>
      <c r="H160" s="29" t="s">
        <v>18</v>
      </c>
    </row>
    <row r="161" spans="1:8" ht="40.5" customHeight="1">
      <c r="A161" s="149">
        <v>46158.375625000001</v>
      </c>
      <c r="B161" s="31" t="s">
        <v>0</v>
      </c>
      <c r="C161" s="72">
        <v>2005</v>
      </c>
      <c r="D161" s="72">
        <v>61468</v>
      </c>
      <c r="E161" t="s">
        <v>37</v>
      </c>
      <c r="F161" t="s">
        <v>29</v>
      </c>
      <c r="G161" t="s">
        <v>3</v>
      </c>
      <c r="H161" s="29" t="s">
        <v>18</v>
      </c>
    </row>
    <row r="162" spans="1:8" ht="40.5" customHeight="1">
      <c r="A162" s="149">
        <v>46158.375821759262</v>
      </c>
      <c r="B162" s="31" t="s">
        <v>0</v>
      </c>
      <c r="C162" s="72">
        <v>8</v>
      </c>
      <c r="D162" s="72">
        <v>5358</v>
      </c>
      <c r="E162" t="s">
        <v>59</v>
      </c>
      <c r="G162" t="s">
        <v>5</v>
      </c>
      <c r="H162" s="29" t="s">
        <v>18</v>
      </c>
    </row>
    <row r="163" spans="1:8" ht="40.5" customHeight="1">
      <c r="A163" s="149">
        <v>46158.376145833332</v>
      </c>
      <c r="B163" s="31" t="s">
        <v>0</v>
      </c>
      <c r="C163" s="72">
        <v>4405</v>
      </c>
      <c r="D163" s="72">
        <v>57063</v>
      </c>
      <c r="E163" t="s">
        <v>37</v>
      </c>
      <c r="F163" t="s">
        <v>29</v>
      </c>
      <c r="G163" t="s">
        <v>3</v>
      </c>
      <c r="H163" s="29" t="s">
        <v>18</v>
      </c>
    </row>
    <row r="164" spans="1:8" ht="40.5" customHeight="1">
      <c r="A164" s="149">
        <v>46158.376319444447</v>
      </c>
      <c r="B164" s="31" t="s">
        <v>0</v>
      </c>
      <c r="C164" s="72">
        <v>885</v>
      </c>
      <c r="D164" s="72">
        <v>42457</v>
      </c>
      <c r="E164" t="s">
        <v>28</v>
      </c>
      <c r="F164" t="s">
        <v>29</v>
      </c>
      <c r="G164" t="s">
        <v>3</v>
      </c>
      <c r="H164" s="29" t="s">
        <v>18</v>
      </c>
    </row>
    <row r="165" spans="1:8" ht="40.5" customHeight="1">
      <c r="A165" s="149">
        <v>46158.37699074074</v>
      </c>
      <c r="B165" s="31" t="s">
        <v>0</v>
      </c>
      <c r="C165" s="72">
        <v>9</v>
      </c>
      <c r="D165" s="72">
        <v>1763</v>
      </c>
      <c r="E165" t="s">
        <v>68</v>
      </c>
      <c r="G165" t="s">
        <v>60</v>
      </c>
      <c r="H165" s="29" t="s">
        <v>18</v>
      </c>
    </row>
    <row r="166" spans="1:8" ht="40.5" customHeight="1">
      <c r="A166" s="149">
        <v>46158.377245370371</v>
      </c>
      <c r="B166" s="31" t="s">
        <v>0</v>
      </c>
      <c r="C166" s="72">
        <v>47</v>
      </c>
      <c r="D166" s="72">
        <v>57016</v>
      </c>
      <c r="E166" t="s">
        <v>37</v>
      </c>
      <c r="F166" t="s">
        <v>29</v>
      </c>
      <c r="G166" t="s">
        <v>3</v>
      </c>
      <c r="H166" s="29" t="s">
        <v>18</v>
      </c>
    </row>
    <row r="167" spans="1:8" ht="40.5" customHeight="1">
      <c r="A167" s="149">
        <v>46158.37740740741</v>
      </c>
      <c r="B167" s="31" t="s">
        <v>0</v>
      </c>
      <c r="C167" s="72">
        <v>40</v>
      </c>
      <c r="D167" s="72">
        <v>1723</v>
      </c>
      <c r="E167" t="s">
        <v>68</v>
      </c>
      <c r="G167" t="s">
        <v>60</v>
      </c>
      <c r="H167" s="29" t="s">
        <v>18</v>
      </c>
    </row>
    <row r="168" spans="1:8" ht="40.5" customHeight="1">
      <c r="A168" s="149">
        <v>46158.512060185189</v>
      </c>
      <c r="B168" s="31" t="s">
        <v>0</v>
      </c>
      <c r="C168" s="72">
        <v>20</v>
      </c>
      <c r="D168" s="72">
        <v>1703</v>
      </c>
      <c r="E168" t="s">
        <v>68</v>
      </c>
      <c r="G168" t="s">
        <v>60</v>
      </c>
      <c r="H168" s="29" t="s">
        <v>18</v>
      </c>
    </row>
    <row r="169" spans="1:8" ht="40.5" customHeight="1">
      <c r="A169" s="149">
        <v>46158.639918981484</v>
      </c>
      <c r="B169" s="31" t="s">
        <v>0</v>
      </c>
      <c r="C169" s="72">
        <v>125</v>
      </c>
      <c r="D169" s="72">
        <v>5936</v>
      </c>
      <c r="E169" t="s">
        <v>38</v>
      </c>
      <c r="F169" t="s">
        <v>29</v>
      </c>
      <c r="G169" t="s">
        <v>3</v>
      </c>
      <c r="H169" s="29" t="s">
        <v>18</v>
      </c>
    </row>
    <row r="170" spans="1:8" ht="40.5" customHeight="1">
      <c r="A170" s="149">
        <v>46158.640289351853</v>
      </c>
      <c r="B170" s="31" t="s">
        <v>0</v>
      </c>
      <c r="C170" s="72">
        <v>61</v>
      </c>
      <c r="D170" s="72">
        <v>7662</v>
      </c>
      <c r="E170" t="s">
        <v>31</v>
      </c>
      <c r="F170" t="s">
        <v>29</v>
      </c>
      <c r="G170" t="s">
        <v>3</v>
      </c>
      <c r="H170" s="29" t="s">
        <v>18</v>
      </c>
    </row>
    <row r="171" spans="1:8" ht="40.5" customHeight="1">
      <c r="A171" s="149">
        <v>46159.431226851855</v>
      </c>
      <c r="B171" s="31" t="s">
        <v>0</v>
      </c>
      <c r="C171" s="72">
        <v>1</v>
      </c>
      <c r="D171" s="72">
        <v>1416</v>
      </c>
      <c r="E171" t="s">
        <v>86</v>
      </c>
      <c r="F171" t="s">
        <v>83</v>
      </c>
      <c r="G171" t="s">
        <v>72</v>
      </c>
      <c r="H171" s="29" t="s">
        <v>79</v>
      </c>
    </row>
    <row r="172" spans="1:8" ht="40.5" customHeight="1">
      <c r="A172" s="149">
        <v>46159.431655092594</v>
      </c>
      <c r="B172" s="31" t="s">
        <v>0</v>
      </c>
      <c r="C172" s="72">
        <v>2</v>
      </c>
      <c r="D172" s="72">
        <v>1701</v>
      </c>
      <c r="E172" t="s">
        <v>68</v>
      </c>
      <c r="G172" t="s">
        <v>60</v>
      </c>
      <c r="H172" s="29" t="s">
        <v>18</v>
      </c>
    </row>
    <row r="173" spans="1:8" ht="40.5" customHeight="1">
      <c r="A173" s="149">
        <v>46160.40253472222</v>
      </c>
      <c r="B173" s="31" t="s">
        <v>0</v>
      </c>
      <c r="C173" s="72">
        <v>45</v>
      </c>
      <c r="D173" s="72">
        <v>6482</v>
      </c>
      <c r="E173" t="s">
        <v>24</v>
      </c>
      <c r="F173" t="s">
        <v>29</v>
      </c>
      <c r="G173" t="s">
        <v>5</v>
      </c>
      <c r="H173" s="29" t="s">
        <v>18</v>
      </c>
    </row>
    <row r="174" spans="1:8" ht="40.5" customHeight="1">
      <c r="A174" s="149">
        <v>46160.405243055553</v>
      </c>
      <c r="B174" s="31" t="s">
        <v>0</v>
      </c>
      <c r="C174" s="72">
        <v>55</v>
      </c>
      <c r="D174" s="72">
        <v>1509</v>
      </c>
      <c r="E174" t="s">
        <v>24</v>
      </c>
      <c r="F174" t="s">
        <v>29</v>
      </c>
      <c r="G174" t="s">
        <v>3</v>
      </c>
      <c r="H174" s="29" t="s">
        <v>18</v>
      </c>
    </row>
    <row r="175" spans="1:8" ht="40.5" customHeight="1">
      <c r="A175" s="149">
        <v>46160.405393518522</v>
      </c>
      <c r="B175" s="31" t="s">
        <v>0</v>
      </c>
      <c r="C175" s="72">
        <v>205</v>
      </c>
      <c r="D175" s="72">
        <v>5731</v>
      </c>
      <c r="E175" t="s">
        <v>38</v>
      </c>
      <c r="F175" t="s">
        <v>29</v>
      </c>
      <c r="G175" t="s">
        <v>3</v>
      </c>
      <c r="H175" s="29" t="s">
        <v>18</v>
      </c>
    </row>
    <row r="176" spans="1:8" ht="40.5" customHeight="1">
      <c r="A176" s="149">
        <v>46160.405509259261</v>
      </c>
      <c r="B176" s="31" t="s">
        <v>0</v>
      </c>
      <c r="C176" s="72">
        <v>125</v>
      </c>
      <c r="D176" s="72">
        <v>7537</v>
      </c>
      <c r="E176" t="s">
        <v>31</v>
      </c>
      <c r="F176" t="s">
        <v>29</v>
      </c>
      <c r="G176" t="s">
        <v>3</v>
      </c>
      <c r="H176" s="29" t="s">
        <v>18</v>
      </c>
    </row>
    <row r="177" spans="1:8" ht="40.5" customHeight="1">
      <c r="A177" s="149">
        <v>46160.405868055554</v>
      </c>
      <c r="B177" s="31" t="s">
        <v>0</v>
      </c>
      <c r="C177" s="72">
        <v>1005</v>
      </c>
      <c r="D177" s="72">
        <v>41452</v>
      </c>
      <c r="E177" t="s">
        <v>28</v>
      </c>
      <c r="F177" t="s">
        <v>29</v>
      </c>
      <c r="G177" t="s">
        <v>3</v>
      </c>
      <c r="H177" s="29" t="s">
        <v>18</v>
      </c>
    </row>
    <row r="178" spans="1:8" ht="40.5" customHeight="1">
      <c r="A178" s="149">
        <v>46160.40730324074</v>
      </c>
      <c r="B178" s="31" t="s">
        <v>0</v>
      </c>
      <c r="C178" s="72">
        <v>2</v>
      </c>
      <c r="D178" s="72">
        <v>3673</v>
      </c>
      <c r="E178" t="s">
        <v>30</v>
      </c>
      <c r="F178" t="s">
        <v>29</v>
      </c>
      <c r="G178" t="s">
        <v>2</v>
      </c>
      <c r="H178" s="29" t="s">
        <v>18</v>
      </c>
    </row>
    <row r="179" spans="1:8" ht="40.5" customHeight="1">
      <c r="A179" s="149">
        <v>46160.408622685187</v>
      </c>
      <c r="B179" s="31" t="s">
        <v>0</v>
      </c>
      <c r="C179" s="72">
        <v>11</v>
      </c>
      <c r="D179" s="72">
        <v>5394</v>
      </c>
      <c r="E179" t="s">
        <v>42</v>
      </c>
      <c r="F179" t="s">
        <v>29</v>
      </c>
      <c r="G179" t="s">
        <v>5</v>
      </c>
      <c r="H179" s="29" t="s">
        <v>18</v>
      </c>
    </row>
    <row r="180" spans="1:8" ht="40.5" customHeight="1">
      <c r="A180" s="149">
        <v>46160.408668981479</v>
      </c>
      <c r="B180" s="31" t="s">
        <v>0</v>
      </c>
      <c r="C180" s="72">
        <v>11</v>
      </c>
      <c r="D180" s="72">
        <v>5347</v>
      </c>
      <c r="E180" t="s">
        <v>59</v>
      </c>
      <c r="F180" t="s">
        <v>29</v>
      </c>
      <c r="G180" t="s">
        <v>5</v>
      </c>
      <c r="H180" s="29" t="s">
        <v>18</v>
      </c>
    </row>
    <row r="181" spans="1:8" ht="40.5" customHeight="1"/>
    <row r="182" spans="1:8" ht="40.5" customHeight="1"/>
    <row r="183" spans="1:8" ht="40.5" customHeight="1"/>
    <row r="184" spans="1:8" ht="40.5" customHeight="1"/>
    <row r="185" spans="1:8" ht="40.5" customHeight="1"/>
    <row r="186" spans="1:8" ht="40.5" customHeight="1"/>
    <row r="187" spans="1:8" ht="40.5" customHeight="1"/>
    <row r="188" spans="1:8" ht="40.5" customHeight="1"/>
    <row r="189" spans="1:8" ht="40.5" customHeight="1"/>
    <row r="190" spans="1:8" ht="40.5" customHeight="1"/>
    <row r="191" spans="1:8" ht="40.5" customHeight="1"/>
    <row r="192" spans="1:8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2026-05-01T18:39:31Z</cp:lastPrinted>
  <dcterms:created xsi:type="dcterms:W3CDTF">2026-04-22T15:27:50Z</dcterms:created>
  <dcterms:modified xsi:type="dcterms:W3CDTF">2026-05-18T06:48:38Z</dcterms:modified>
</cp:coreProperties>
</file>