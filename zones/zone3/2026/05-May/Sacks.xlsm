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DD873DEE-8EFC-4883-8AFD-0E6B40FD2B90}" xr6:coauthVersionLast="47" xr6:coauthVersionMax="47" xr10:uidLastSave="{00000000-0000-0000-0000-000000000000}"/>
  <bookViews>
    <workbookView xWindow="-108" yWindow="-108" windowWidth="23256" windowHeight="12576" tabRatio="636" activeTab="1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<sst xmlns="http://schemas.openxmlformats.org/spreadsheetml/2006/main" count="2066" uniqueCount="94">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</sst>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9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0" fontId="13" fillId="13" borderId="24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8" fillId="15" borderId="4" xfId="0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88" zoomScale="70" zoomScaleNormal="70" workbookViewId="0">
      <selection activeCell="M105" sqref="M105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76" t="s">
        <v>8</v>
      </c>
      <c r="D2" s="177"/>
      <c r="E2" s="177"/>
      <c r="F2" s="177"/>
      <c r="G2" s="177"/>
      <c r="H2" s="177"/>
      <c r="I2" s="177"/>
      <c r="J2" s="178"/>
      <c r="K2" s="1"/>
    </row>
    <row r="3" spans="3:13" ht="27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192" t="s">
        <v>18</v>
      </c>
      <c r="E7" s="192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193"/>
      <c r="E8" s="193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193"/>
      <c r="E9" s="193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193"/>
      <c r="E10" s="193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193"/>
      <c r="E11" s="193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193"/>
      <c r="E12" s="193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193"/>
      <c r="E13" s="193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193"/>
      <c r="E14" s="193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193"/>
      <c r="E15" s="193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193"/>
      <c r="E16" s="193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193"/>
      <c r="E17" s="193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193"/>
      <c r="E18" s="193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193"/>
      <c r="E19" s="193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193"/>
      <c r="E20" s="193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193"/>
      <c r="E21" s="193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193"/>
      <c r="E22" s="193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193"/>
      <c r="E23" s="193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193"/>
      <c r="E24" s="193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193"/>
      <c r="E25" s="193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193"/>
      <c r="E26" s="193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193"/>
      <c r="E27" s="193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193"/>
      <c r="E28" s="193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193"/>
      <c r="E29" s="193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193"/>
      <c r="E30" s="193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193"/>
      <c r="E31" s="193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193"/>
      <c r="E32" s="193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193"/>
      <c r="E33" s="193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193"/>
      <c r="E34" s="193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193"/>
      <c r="E35" s="193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193"/>
      <c r="E36" s="193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193"/>
      <c r="E37" s="193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193"/>
      <c r="E38" s="193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193"/>
      <c r="E39" s="193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193"/>
      <c r="E40" s="193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193"/>
      <c r="E41" s="193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193"/>
      <c r="E42" s="193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193"/>
      <c r="E43" s="193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193"/>
      <c r="E44" s="193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193"/>
      <c r="E45" s="193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193"/>
      <c r="E46" s="193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193"/>
      <c r="E47" s="193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193"/>
      <c r="E48" s="193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193"/>
      <c r="E49" s="193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193"/>
      <c r="E50" s="193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193"/>
      <c r="E51" s="193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193"/>
      <c r="E52" s="193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193"/>
      <c r="E53" s="193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193"/>
      <c r="E54" s="193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193"/>
      <c r="E55" s="193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193"/>
      <c r="E56" s="193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193"/>
      <c r="E57" s="193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193"/>
      <c r="E58" s="193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193"/>
      <c r="E59" s="193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193"/>
      <c r="E60" s="193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193"/>
      <c r="E61" s="193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193"/>
      <c r="E62" s="193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193"/>
      <c r="E63" s="193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193"/>
      <c r="E64" s="193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193"/>
      <c r="E65" s="193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193"/>
      <c r="E66" s="193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193"/>
      <c r="E67" s="193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193"/>
      <c r="E68" s="193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193"/>
      <c r="E69" s="193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193"/>
      <c r="E70" s="193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193"/>
      <c r="E71" s="193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193"/>
      <c r="E72" s="193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193"/>
      <c r="E73" s="193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193"/>
      <c r="E74" s="193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193"/>
      <c r="E75" s="193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193"/>
      <c r="E76" s="193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193"/>
      <c r="E77" s="193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2">
        <v>46157</v>
      </c>
      <c r="D78" s="193"/>
      <c r="E78" s="193"/>
      <c r="F78" s="163"/>
      <c r="G78" s="163"/>
      <c r="H78" s="163"/>
      <c r="I78" s="164"/>
      <c r="J78" s="164"/>
      <c r="L78" s="160"/>
      <c r="M78" s="160"/>
    </row>
    <row r="79" spans="3:13" ht="25.8">
      <c r="C79" s="116">
        <v>46158</v>
      </c>
      <c r="D79" s="193"/>
      <c r="E79" s="193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193"/>
      <c r="E80" s="193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193"/>
      <c r="E81" s="193"/>
      <c r="F81" s="113" t="s">
        <v>24</v>
      </c>
      <c r="G81" s="113" t="s">
        <v>29</v>
      </c>
      <c r="H81" s="113" t="s">
        <v>66</v>
      </c>
      <c r="I81" s="159">
        <v>1564</v>
      </c>
      <c r="J81" s="159">
        <v>1509</v>
      </c>
      <c r="L81" s="113"/>
      <c r="M81" s="113"/>
    </row>
    <row r="82" spans="3:13" ht="25.8">
      <c r="C82" s="116">
        <v>46159</v>
      </c>
      <c r="D82" s="193"/>
      <c r="E82" s="193"/>
      <c r="F82" s="113" t="s">
        <v>38</v>
      </c>
      <c r="G82" s="113" t="s">
        <v>29</v>
      </c>
      <c r="H82" s="113" t="s">
        <v>66</v>
      </c>
      <c r="I82" s="159">
        <v>5936</v>
      </c>
      <c r="J82" s="159">
        <v>5731</v>
      </c>
      <c r="L82" s="113"/>
      <c r="M82" s="113"/>
    </row>
    <row r="83" spans="3:13" ht="25.8">
      <c r="C83" s="116">
        <v>46159</v>
      </c>
      <c r="D83" s="193"/>
      <c r="E83" s="193"/>
      <c r="F83" s="113" t="s">
        <v>31</v>
      </c>
      <c r="G83" s="113" t="s">
        <v>29</v>
      </c>
      <c r="H83" s="113" t="s">
        <v>66</v>
      </c>
      <c r="I83" s="159">
        <v>7662</v>
      </c>
      <c r="J83" s="159">
        <v>7537</v>
      </c>
      <c r="L83" s="113"/>
      <c r="M83" s="113"/>
    </row>
    <row r="84" spans="3:13" ht="25.8">
      <c r="C84" s="116">
        <v>46159</v>
      </c>
      <c r="D84" s="193"/>
      <c r="E84" s="193"/>
      <c r="F84" s="113" t="s">
        <v>28</v>
      </c>
      <c r="G84" s="113" t="s">
        <v>29</v>
      </c>
      <c r="H84" s="113" t="s">
        <v>66</v>
      </c>
      <c r="I84" s="159">
        <v>42457</v>
      </c>
      <c r="J84" s="159">
        <v>41452</v>
      </c>
      <c r="L84" s="113"/>
      <c r="M84" s="113"/>
    </row>
    <row r="85" spans="3:13" ht="25.8">
      <c r="C85" s="116">
        <v>46160</v>
      </c>
      <c r="D85" s="193"/>
      <c r="E85" s="193"/>
      <c r="F85" s="113" t="s">
        <v>39</v>
      </c>
      <c r="G85" s="113" t="s">
        <v>29</v>
      </c>
      <c r="H85" s="113" t="s">
        <v>66</v>
      </c>
      <c r="I85" s="115">
        <v>339</v>
      </c>
      <c r="J85" s="115">
        <v>294</v>
      </c>
      <c r="L85" s="113"/>
      <c r="M85" s="113"/>
    </row>
    <row r="86" spans="3:13" ht="25.8">
      <c r="C86" s="116">
        <v>46160</v>
      </c>
      <c r="D86" s="193"/>
      <c r="E86" s="193"/>
      <c r="F86" s="113" t="s">
        <v>28</v>
      </c>
      <c r="G86" s="113" t="s">
        <v>29</v>
      </c>
      <c r="H86" s="113" t="s">
        <v>66</v>
      </c>
      <c r="I86" s="115">
        <v>41452</v>
      </c>
      <c r="J86" s="115">
        <v>41327</v>
      </c>
      <c r="L86" s="113"/>
      <c r="M86" s="113"/>
    </row>
    <row r="87" spans="3:13" ht="25.8">
      <c r="C87" s="116">
        <v>46160</v>
      </c>
      <c r="D87" s="193"/>
      <c r="E87" s="193"/>
      <c r="F87" s="113" t="s">
        <v>36</v>
      </c>
      <c r="G87" s="113" t="s">
        <v>29</v>
      </c>
      <c r="H87" s="113" t="s">
        <v>66</v>
      </c>
      <c r="I87" s="115">
        <v>7485</v>
      </c>
      <c r="J87" s="115">
        <v>7360</v>
      </c>
      <c r="L87" s="113"/>
      <c r="M87" s="113"/>
    </row>
    <row r="88" spans="3:13" ht="25.8">
      <c r="C88" s="116">
        <v>46160</v>
      </c>
      <c r="D88" s="193"/>
      <c r="E88" s="193"/>
      <c r="F88" s="113" t="s">
        <v>37</v>
      </c>
      <c r="G88" s="113" t="s">
        <v>29</v>
      </c>
      <c r="H88" s="113" t="s">
        <v>66</v>
      </c>
      <c r="I88" s="115">
        <v>57016</v>
      </c>
      <c r="J88" s="115">
        <v>56971</v>
      </c>
      <c r="L88" s="113"/>
      <c r="M88" s="113"/>
    </row>
    <row r="89" spans="3:13" ht="25.8">
      <c r="C89" s="116">
        <v>46160</v>
      </c>
      <c r="D89" s="193"/>
      <c r="E89" s="193"/>
      <c r="F89" s="113" t="s">
        <v>28</v>
      </c>
      <c r="G89" s="113" t="s">
        <v>29</v>
      </c>
      <c r="H89" s="113" t="s">
        <v>66</v>
      </c>
      <c r="I89" s="115">
        <v>41327</v>
      </c>
      <c r="J89" s="115">
        <v>41312</v>
      </c>
      <c r="L89" s="113"/>
      <c r="M89" s="113"/>
    </row>
    <row r="90" spans="3:13" ht="25.8">
      <c r="C90" s="116"/>
      <c r="D90" s="193"/>
      <c r="E90" s="193"/>
      <c r="F90" s="113"/>
      <c r="G90" s="113"/>
      <c r="H90" s="113"/>
      <c r="I90" s="115"/>
      <c r="J90" s="115"/>
      <c r="L90" s="113"/>
      <c r="M90" s="113"/>
    </row>
    <row r="91" spans="3:13" ht="25.8">
      <c r="C91" s="116">
        <v>46160</v>
      </c>
      <c r="D91" s="193"/>
      <c r="E91" s="193"/>
      <c r="F91" s="113" t="s">
        <v>40</v>
      </c>
      <c r="G91" s="113" t="s">
        <v>29</v>
      </c>
      <c r="H91" s="113" t="s">
        <v>66</v>
      </c>
      <c r="I91" s="115">
        <v>62412</v>
      </c>
      <c r="J91" s="115">
        <v>61487</v>
      </c>
      <c r="L91" s="113"/>
      <c r="M91" s="113"/>
    </row>
    <row r="92" spans="3:13" ht="25.8">
      <c r="C92" s="116">
        <v>46160</v>
      </c>
      <c r="D92" s="193"/>
      <c r="E92" s="193"/>
      <c r="F92" s="113" t="s">
        <v>40</v>
      </c>
      <c r="G92" s="113" t="s">
        <v>29</v>
      </c>
      <c r="H92" s="113" t="s">
        <v>66</v>
      </c>
      <c r="I92" s="115">
        <v>61487</v>
      </c>
      <c r="J92" s="115">
        <v>61082</v>
      </c>
      <c r="L92" s="113"/>
      <c r="M92" s="113"/>
    </row>
    <row r="93" spans="3:13" ht="25.8">
      <c r="C93" s="116">
        <v>46160</v>
      </c>
      <c r="D93" s="193"/>
      <c r="E93" s="193"/>
      <c r="F93" s="113" t="s">
        <v>37</v>
      </c>
      <c r="G93" s="113" t="s">
        <v>29</v>
      </c>
      <c r="H93" s="113" t="s">
        <v>66</v>
      </c>
      <c r="I93" s="115">
        <v>56971</v>
      </c>
      <c r="J93" s="115">
        <v>54366</v>
      </c>
      <c r="L93" s="113"/>
      <c r="M93" s="113"/>
    </row>
    <row r="94" spans="3:13" ht="25.8">
      <c r="C94" s="116">
        <v>46160</v>
      </c>
      <c r="D94" s="193"/>
      <c r="E94" s="193"/>
      <c r="F94" s="113" t="s">
        <v>36</v>
      </c>
      <c r="G94" s="113" t="s">
        <v>29</v>
      </c>
      <c r="H94" s="113" t="s">
        <v>66</v>
      </c>
      <c r="I94" s="115">
        <v>7360</v>
      </c>
      <c r="J94" s="115">
        <v>1304</v>
      </c>
      <c r="L94" s="113"/>
      <c r="M94" s="113"/>
    </row>
    <row r="95" spans="3:13" ht="25.8">
      <c r="C95" s="116">
        <v>46161</v>
      </c>
      <c r="D95" s="193"/>
      <c r="E95" s="193"/>
      <c r="F95" s="113"/>
      <c r="G95" s="113"/>
      <c r="H95" s="113"/>
      <c r="I95" s="115"/>
      <c r="J95" s="115"/>
      <c r="L95" s="113"/>
      <c r="M95" s="113"/>
    </row>
    <row r="96" spans="3:13" ht="25.8">
      <c r="C96" s="116">
        <v>46162</v>
      </c>
      <c r="D96" s="193"/>
      <c r="E96" s="193"/>
      <c r="F96" s="113" t="s">
        <v>39</v>
      </c>
      <c r="G96" s="113" t="s">
        <v>29</v>
      </c>
      <c r="H96" s="113" t="s">
        <v>66</v>
      </c>
      <c r="I96" s="115">
        <v>294</v>
      </c>
      <c r="J96" s="115">
        <v>249</v>
      </c>
      <c r="L96" s="113"/>
      <c r="M96" s="113"/>
    </row>
    <row r="97" spans="3:13" ht="25.8">
      <c r="C97" s="116">
        <v>46162</v>
      </c>
      <c r="D97" s="193"/>
      <c r="E97" s="193"/>
      <c r="F97" s="113" t="s">
        <v>24</v>
      </c>
      <c r="G97" s="113" t="s">
        <v>29</v>
      </c>
      <c r="H97" s="113" t="s">
        <v>66</v>
      </c>
      <c r="I97" s="115">
        <v>1509</v>
      </c>
      <c r="J97" s="115">
        <v>1104</v>
      </c>
      <c r="L97" s="113"/>
      <c r="M97" s="113"/>
    </row>
    <row r="98" spans="3:13" ht="25.8">
      <c r="C98" s="116">
        <v>46162</v>
      </c>
      <c r="D98" s="193"/>
      <c r="E98" s="193"/>
      <c r="F98" s="113" t="s">
        <v>38</v>
      </c>
      <c r="G98" s="113" t="s">
        <v>29</v>
      </c>
      <c r="H98" s="113" t="s">
        <v>66</v>
      </c>
      <c r="I98" s="115">
        <v>5731</v>
      </c>
      <c r="J98" s="115">
        <v>5326</v>
      </c>
      <c r="L98" s="113"/>
      <c r="M98" s="113"/>
    </row>
    <row r="99" spans="3:13" ht="25.8">
      <c r="C99" s="116">
        <v>46162</v>
      </c>
      <c r="D99" s="193"/>
      <c r="E99" s="193"/>
      <c r="F99" s="113" t="s">
        <v>36</v>
      </c>
      <c r="G99" s="113" t="s">
        <v>29</v>
      </c>
      <c r="H99" s="113" t="s">
        <v>66</v>
      </c>
      <c r="I99" s="115">
        <v>1304</v>
      </c>
      <c r="J99" s="115">
        <v>1099</v>
      </c>
      <c r="L99" s="113"/>
      <c r="M99" s="113"/>
    </row>
    <row r="100" spans="3:13" ht="25.8">
      <c r="C100" s="116">
        <v>46162</v>
      </c>
      <c r="D100" s="193"/>
      <c r="E100" s="193"/>
      <c r="F100" s="113" t="s">
        <v>31</v>
      </c>
      <c r="G100" s="113" t="s">
        <v>29</v>
      </c>
      <c r="H100" s="113" t="s">
        <v>66</v>
      </c>
      <c r="I100" s="115">
        <v>7537</v>
      </c>
      <c r="J100" s="115">
        <v>6932</v>
      </c>
      <c r="L100" s="113"/>
      <c r="M100" s="113"/>
    </row>
    <row r="101" spans="3:13" ht="25.8">
      <c r="C101" s="116">
        <v>46162</v>
      </c>
      <c r="D101" s="193"/>
      <c r="E101" s="193"/>
      <c r="F101" s="113" t="s">
        <v>40</v>
      </c>
      <c r="G101" s="113" t="s">
        <v>29</v>
      </c>
      <c r="H101" s="113" t="s">
        <v>66</v>
      </c>
      <c r="I101" s="115">
        <v>61082</v>
      </c>
      <c r="J101" s="115">
        <v>60837</v>
      </c>
      <c r="L101" s="113"/>
      <c r="M101" s="113"/>
    </row>
    <row r="102" spans="3:13" ht="25.8">
      <c r="C102" s="116">
        <v>46163</v>
      </c>
      <c r="D102" s="193"/>
      <c r="E102" s="193"/>
      <c r="F102" s="113" t="s">
        <v>31</v>
      </c>
      <c r="G102" s="113" t="s">
        <v>29</v>
      </c>
      <c r="H102" s="113" t="s">
        <v>66</v>
      </c>
      <c r="I102" s="115">
        <v>6932</v>
      </c>
      <c r="J102" s="115">
        <v>6887</v>
      </c>
      <c r="L102" s="113"/>
      <c r="M102" s="113"/>
    </row>
    <row r="103" spans="3:13" ht="25.8">
      <c r="C103" s="116">
        <v>46163</v>
      </c>
      <c r="D103" s="193"/>
      <c r="E103" s="193"/>
      <c r="F103" s="113" t="s">
        <v>38</v>
      </c>
      <c r="G103" s="113" t="s">
        <v>29</v>
      </c>
      <c r="H103" s="113" t="s">
        <v>66</v>
      </c>
      <c r="I103" s="115">
        <v>5326</v>
      </c>
      <c r="J103" s="115">
        <v>5201</v>
      </c>
      <c r="L103" s="113"/>
      <c r="M103" s="113"/>
    </row>
    <row r="104" spans="3:13" ht="25.8">
      <c r="C104" s="116">
        <v>46163</v>
      </c>
      <c r="D104" s="193"/>
      <c r="E104" s="193"/>
      <c r="F104" s="113" t="s">
        <v>40</v>
      </c>
      <c r="G104" s="113" t="s">
        <v>29</v>
      </c>
      <c r="H104" s="113" t="s">
        <v>66</v>
      </c>
      <c r="I104" s="115">
        <v>60837</v>
      </c>
      <c r="J104" s="115">
        <v>60632</v>
      </c>
      <c r="L104" s="113"/>
      <c r="M104" s="113"/>
    </row>
    <row r="105" spans="3:13" ht="25.8">
      <c r="C105" s="175"/>
      <c r="D105" s="193"/>
      <c r="E105" s="193"/>
      <c r="F105" s="113"/>
      <c r="G105" s="113"/>
      <c r="H105" s="113"/>
      <c r="I105" s="115"/>
      <c r="J105" s="115"/>
      <c r="L105" s="113"/>
      <c r="M105" s="113"/>
    </row>
    <row r="106" spans="3:13" ht="25.8">
      <c r="C106" s="175"/>
      <c r="D106" s="193"/>
      <c r="E106" s="193"/>
      <c r="F106" s="113"/>
      <c r="G106" s="113"/>
      <c r="H106" s="113"/>
      <c r="I106" s="115"/>
      <c r="J106" s="115"/>
      <c r="L106" s="113"/>
      <c r="M106" s="113"/>
    </row>
    <row r="107" spans="3:13" ht="25.8">
      <c r="C107" s="175"/>
      <c r="D107" s="193"/>
      <c r="E107" s="193"/>
      <c r="F107" s="113"/>
      <c r="G107" s="113"/>
      <c r="H107" s="113"/>
      <c r="I107" s="115"/>
      <c r="J107" s="115"/>
      <c r="L107" s="113"/>
      <c r="M107" s="113"/>
    </row>
    <row r="108" spans="3:13" ht="25.8">
      <c r="C108" s="175"/>
      <c r="D108" s="193"/>
      <c r="E108" s="193"/>
      <c r="F108" s="113"/>
      <c r="G108" s="113"/>
      <c r="H108" s="113"/>
      <c r="I108" s="115"/>
      <c r="J108" s="115"/>
      <c r="L108" s="113"/>
      <c r="M108" s="113"/>
    </row>
    <row r="109" spans="3:13" ht="25.8">
      <c r="C109" s="175"/>
      <c r="D109" s="193"/>
      <c r="E109" s="193"/>
      <c r="F109" s="113"/>
      <c r="G109" s="113"/>
      <c r="H109" s="113"/>
      <c r="I109" s="115"/>
      <c r="J109" s="115"/>
      <c r="L109" s="113"/>
      <c r="M109" s="113"/>
    </row>
    <row r="110" spans="3:13" ht="25.8">
      <c r="C110" s="175"/>
      <c r="D110" s="193"/>
      <c r="E110" s="193"/>
      <c r="F110" s="113"/>
      <c r="G110" s="113"/>
      <c r="H110" s="113"/>
      <c r="I110" s="115"/>
      <c r="J110" s="115"/>
      <c r="L110" s="113"/>
      <c r="M110" s="113"/>
    </row>
    <row r="111" spans="3:13" ht="25.8">
      <c r="C111" s="175"/>
      <c r="D111" s="193"/>
      <c r="E111" s="193"/>
      <c r="F111" s="113"/>
      <c r="G111" s="113"/>
      <c r="H111" s="113"/>
      <c r="I111" s="115"/>
      <c r="J111" s="115"/>
      <c r="L111" s="113"/>
      <c r="M111" s="113"/>
    </row>
    <row r="112" spans="3:13" ht="25.8">
      <c r="C112" s="175"/>
      <c r="D112" s="193"/>
      <c r="E112" s="193"/>
      <c r="F112" s="175"/>
      <c r="G112" s="175"/>
      <c r="H112" s="175"/>
      <c r="I112" s="159"/>
      <c r="J112" s="159"/>
      <c r="L112" s="113"/>
      <c r="M112" s="113"/>
    </row>
    <row r="113" spans="3:13" ht="25.8">
      <c r="C113" s="175"/>
      <c r="D113" s="194"/>
      <c r="E113" s="194"/>
      <c r="F113" s="175"/>
      <c r="G113" s="175"/>
      <c r="H113" s="175"/>
      <c r="I113" s="159"/>
      <c r="J113" s="159"/>
      <c r="L113" s="113"/>
      <c r="M113" s="113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17" priority="20" operator="containsText" text="Light Blue">
      <formula>NOT(ISERROR(SEARCH("Light Blue",F7)))</formula>
    </cfRule>
    <cfRule type="containsText" dxfId="116" priority="30" operator="containsText" text="Orange">
      <formula>NOT(ISERROR(SEARCH("Orange",F7)))</formula>
    </cfRule>
    <cfRule type="containsText" dxfId="115" priority="31" operator="containsText" text="Purple">
      <formula>NOT(ISERROR(SEARCH("Purple",F7)))</formula>
    </cfRule>
  </conditionalFormatting>
  <conditionalFormatting sqref="F7:F39">
    <cfRule type="containsText" dxfId="114" priority="18" operator="containsText" text="Light Blue">
      <formula>NOT(ISERROR(SEARCH("Light Blue",F7)))</formula>
    </cfRule>
    <cfRule type="containsText" dxfId="113" priority="21" operator="containsText" text="Dark Blue">
      <formula>NOT(ISERROR(SEARCH("Dark Blue",F7)))</formula>
    </cfRule>
    <cfRule type="containsText" dxfId="112" priority="22" operator="containsText" text="Blue">
      <formula>NOT(ISERROR(SEARCH("Blue",F7)))</formula>
    </cfRule>
    <cfRule type="containsText" dxfId="111" priority="23" operator="containsText" text="Yellow">
      <formula>NOT(ISERROR(SEARCH("Yellow",F7)))</formula>
    </cfRule>
    <cfRule type="containsText" dxfId="110" priority="24" operator="containsText" text="Light Blue">
      <formula>NOT(ISERROR(SEARCH("Light Blue",F7)))</formula>
    </cfRule>
    <cfRule type="containsText" dxfId="109" priority="25" operator="containsText" text="Dark Green">
      <formula>NOT(ISERROR(SEARCH("Dark Green",F7)))</formula>
    </cfRule>
    <cfRule type="containsText" dxfId="108" priority="26" operator="containsText" text="Brown">
      <formula>NOT(ISERROR(SEARCH("Brown",F7)))</formula>
    </cfRule>
    <cfRule type="containsText" dxfId="107" priority="27" operator="containsText" text="Green">
      <formula>NOT(ISERROR(SEARCH("Green",F7)))</formula>
    </cfRule>
    <cfRule type="containsText" dxfId="106" priority="28" operator="containsText" text="Red">
      <formula>NOT(ISERROR(SEARCH("Red",F7)))</formula>
    </cfRule>
    <cfRule type="containsText" dxfId="105" priority="29" operator="containsText" text="Gray">
      <formula>NOT(ISERROR(SEARCH("Gray",F7)))</formula>
    </cfRule>
  </conditionalFormatting>
  <conditionalFormatting sqref="F9">
    <cfRule type="containsText" dxfId="104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103" priority="17" operator="containsText" text="wHITE">
      <formula>NOT(ISERROR(SEARCH("wHITE",F20)))</formula>
    </cfRule>
  </conditionalFormatting>
  <conditionalFormatting sqref="F7:F39">
    <cfRule type="containsText" dxfId="102" priority="15" operator="containsText" text="White">
      <formula>NOT(ISERROR(SEARCH("White",F7)))</formula>
    </cfRule>
  </conditionalFormatting>
  <conditionalFormatting sqref="F40:F51">
    <cfRule type="containsText" dxfId="101" priority="11" operator="containsText" text="Brown">
      <formula>NOT(ISERROR(SEARCH("Brown",F40)))</formula>
    </cfRule>
    <cfRule type="containsText" dxfId="100" priority="12" operator="containsText" text="Dark Green">
      <formula>NOT(ISERROR(SEARCH("Dark Green",F40)))</formula>
    </cfRule>
    <cfRule type="containsText" dxfId="99" priority="13" operator="containsText" text="Blue">
      <formula>NOT(ISERROR(SEARCH("Blue",F40)))</formula>
    </cfRule>
  </conditionalFormatting>
  <conditionalFormatting sqref="F44">
    <cfRule type="containsText" dxfId="98" priority="10" operator="containsText" text="Dark Blue">
      <formula>NOT(ISERROR(SEARCH("Dark Blue",F44)))</formula>
    </cfRule>
  </conditionalFormatting>
  <conditionalFormatting sqref="F45:F51">
    <cfRule type="containsText" dxfId="97" priority="9" operator="containsText" text="Green">
      <formula>NOT(ISERROR(SEARCH("Green",F45)))</formula>
    </cfRule>
  </conditionalFormatting>
  <conditionalFormatting sqref="F46:F51">
    <cfRule type="containsText" dxfId="96" priority="8" operator="containsText" text="Dark Blue">
      <formula>NOT(ISERROR(SEARCH("Dark Blue",F46)))</formula>
    </cfRule>
  </conditionalFormatting>
  <conditionalFormatting sqref="F47:F51">
    <cfRule type="containsText" dxfId="95" priority="7" operator="containsText" text="Gray">
      <formula>NOT(ISERROR(SEARCH("Gray",F47)))</formula>
    </cfRule>
  </conditionalFormatting>
  <conditionalFormatting sqref="F51:F64">
    <cfRule type="containsText" dxfId="94" priority="6" operator="containsText" text="Purple">
      <formula>NOT(ISERROR(SEARCH("Purple",F51)))</formula>
    </cfRule>
  </conditionalFormatting>
  <conditionalFormatting sqref="F52">
    <cfRule type="containsText" dxfId="93" priority="5" operator="containsText" text="Red">
      <formula>NOT(ISERROR(SEARCH("Red",F52)))</formula>
    </cfRule>
  </conditionalFormatting>
  <conditionalFormatting sqref="F53">
    <cfRule type="containsText" dxfId="92" priority="4" operator="containsText" text="Green">
      <formula>NOT(ISERROR(SEARCH("Green",F53)))</formula>
    </cfRule>
  </conditionalFormatting>
  <conditionalFormatting sqref="F54">
    <cfRule type="containsText" dxfId="91" priority="3" operator="containsText" text="Light Blue">
      <formula>NOT(ISERROR(SEARCH("Light Blue",F54)))</formula>
    </cfRule>
  </conditionalFormatting>
  <conditionalFormatting sqref="F55">
    <cfRule type="containsText" dxfId="90" priority="2" operator="containsText" text="Dark Green">
      <formula>NOT(ISERROR(SEARCH("Dark Green",F55)))</formula>
    </cfRule>
  </conditionalFormatting>
  <conditionalFormatting sqref="F57">
    <cfRule type="containsText" dxfId="89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75"/>
  <sheetViews>
    <sheetView tabSelected="1" topLeftCell="A61" zoomScale="70" zoomScaleNormal="70" workbookViewId="0">
      <selection activeCell="I55" sqref="I5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95" t="s">
        <v>9</v>
      </c>
      <c r="D2" s="196"/>
      <c r="E2" s="196"/>
      <c r="F2" s="196"/>
      <c r="G2" s="196"/>
      <c r="H2" s="196"/>
      <c r="I2" s="196"/>
      <c r="J2" s="197"/>
      <c r="K2" s="1"/>
    </row>
    <row r="3" spans="3:13" ht="26.4" thickBot="1">
      <c r="C3" s="198"/>
      <c r="D3" s="199"/>
      <c r="E3" s="199"/>
      <c r="F3" s="199"/>
      <c r="G3" s="199"/>
      <c r="H3" s="199"/>
      <c r="I3" s="199"/>
      <c r="J3" s="200"/>
      <c r="K3" s="1"/>
      <c r="L3" s="185" t="s">
        <v>16</v>
      </c>
      <c r="M3" s="186"/>
    </row>
    <row r="4" spans="3:13" ht="27" thickTop="1" thickBot="1">
      <c r="C4" s="201"/>
      <c r="D4" s="202"/>
      <c r="E4" s="202"/>
      <c r="F4" s="202"/>
      <c r="G4" s="202"/>
      <c r="H4" s="202"/>
      <c r="I4" s="202"/>
      <c r="J4" s="203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4" t="s">
        <v>18</v>
      </c>
      <c r="E7" s="204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308"/>
      <c r="E8" s="308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308"/>
      <c r="E9" s="308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308"/>
      <c r="E10" s="308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308"/>
      <c r="E11" s="308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308"/>
      <c r="E12" s="308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308"/>
      <c r="E13" s="308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308"/>
      <c r="E14" s="308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308"/>
      <c r="E15" s="308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308"/>
      <c r="E16" s="308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308"/>
      <c r="E17" s="308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308"/>
      <c r="E18" s="308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308"/>
      <c r="E19" s="308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308"/>
      <c r="E20" s="308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308"/>
      <c r="E21" s="308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308"/>
      <c r="E22" s="308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308"/>
      <c r="E23" s="308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308"/>
      <c r="E24" s="308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308"/>
      <c r="E25" s="308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308"/>
      <c r="E26" s="308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308"/>
      <c r="E27" s="308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308"/>
      <c r="E28" s="308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308"/>
      <c r="E29" s="308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308"/>
      <c r="E30" s="308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308"/>
      <c r="E31" s="308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308"/>
      <c r="E32" s="308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308"/>
      <c r="E33" s="308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308"/>
      <c r="E34" s="308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308"/>
      <c r="E35" s="308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2">
        <v>46155</v>
      </c>
      <c r="D36" s="308"/>
      <c r="E36" s="308"/>
      <c r="F36" s="143"/>
      <c r="G36" s="143"/>
      <c r="H36" s="143"/>
      <c r="I36" s="168"/>
      <c r="J36" s="168"/>
      <c r="K36" s="1"/>
      <c r="L36" s="143"/>
      <c r="M36" s="143"/>
    </row>
    <row r="37" spans="3:13" ht="26.25" customHeight="1">
      <c r="C37" s="162">
        <v>46156</v>
      </c>
      <c r="D37" s="308"/>
      <c r="E37" s="308"/>
      <c r="F37" s="169"/>
      <c r="G37" s="169"/>
      <c r="H37" s="169"/>
      <c r="I37" s="170"/>
      <c r="J37" s="170"/>
      <c r="K37" s="1"/>
      <c r="L37" s="169"/>
      <c r="M37" s="169"/>
    </row>
    <row r="38" spans="3:13" ht="25.8">
      <c r="C38" s="162">
        <v>46157</v>
      </c>
      <c r="D38" s="308"/>
      <c r="E38" s="308"/>
      <c r="F38" s="160"/>
      <c r="G38" s="160"/>
      <c r="H38" s="160"/>
      <c r="I38" s="161"/>
      <c r="J38" s="161"/>
      <c r="L38" s="160"/>
      <c r="M38" s="160"/>
    </row>
    <row r="39" spans="3:13" ht="26.4" thickBot="1">
      <c r="C39" s="162">
        <v>46158</v>
      </c>
      <c r="D39" s="308"/>
      <c r="E39" s="308"/>
      <c r="F39" s="160"/>
      <c r="G39" s="160"/>
      <c r="H39" s="160"/>
      <c r="I39" s="161"/>
      <c r="J39" s="161"/>
      <c r="L39" s="160"/>
      <c r="M39" s="160"/>
    </row>
    <row r="40" spans="3:13" ht="26.4" thickBot="1">
      <c r="C40" s="156">
        <v>46159</v>
      </c>
      <c r="D40" s="308"/>
      <c r="E40" s="308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6.4" thickBot="1">
      <c r="C41" s="156">
        <v>46160</v>
      </c>
      <c r="D41" s="308"/>
      <c r="E41" s="308"/>
      <c r="F41" s="113" t="s">
        <v>45</v>
      </c>
      <c r="G41" s="113" t="s">
        <v>32</v>
      </c>
      <c r="H41" s="11" t="s">
        <v>66</v>
      </c>
      <c r="I41" s="115">
        <v>1397</v>
      </c>
      <c r="J41" s="115">
        <v>992</v>
      </c>
      <c r="L41" s="113"/>
      <c r="M41" s="113"/>
    </row>
    <row r="42" spans="3:13" ht="26.4" thickBot="1">
      <c r="C42" s="156">
        <v>46160</v>
      </c>
      <c r="D42" s="308"/>
      <c r="E42" s="308"/>
      <c r="F42" s="113" t="s">
        <v>30</v>
      </c>
      <c r="G42" s="113" t="s">
        <v>29</v>
      </c>
      <c r="H42" s="11" t="s">
        <v>66</v>
      </c>
      <c r="I42" s="115">
        <v>3673</v>
      </c>
      <c r="J42" s="115">
        <v>3671</v>
      </c>
      <c r="L42" s="113"/>
      <c r="M42" s="113"/>
    </row>
    <row r="43" spans="3:13" ht="26.4" thickBot="1">
      <c r="C43" s="156">
        <v>46160</v>
      </c>
      <c r="D43" s="308"/>
      <c r="E43" s="308"/>
      <c r="F43" s="113" t="s">
        <v>36</v>
      </c>
      <c r="G43" s="113" t="s">
        <v>29</v>
      </c>
      <c r="H43" s="11" t="s">
        <v>66</v>
      </c>
      <c r="I43" s="115">
        <v>4668</v>
      </c>
      <c r="J43" s="115">
        <v>4667</v>
      </c>
      <c r="L43" s="113"/>
      <c r="M43" s="113"/>
    </row>
    <row r="44" spans="3:13" ht="26.4" thickBot="1">
      <c r="C44" s="156">
        <v>46160</v>
      </c>
      <c r="D44" s="308"/>
      <c r="E44" s="308"/>
      <c r="F44" s="113" t="s">
        <v>38</v>
      </c>
      <c r="G44" s="113" t="s">
        <v>29</v>
      </c>
      <c r="H44" s="11" t="s">
        <v>66</v>
      </c>
      <c r="I44" s="115">
        <v>38160</v>
      </c>
      <c r="J44" s="115">
        <v>38159</v>
      </c>
      <c r="L44" s="113"/>
      <c r="M44" s="113"/>
    </row>
    <row r="45" spans="3:13" ht="26.4" thickBot="1">
      <c r="C45" s="156">
        <v>46161</v>
      </c>
      <c r="D45" s="308"/>
      <c r="E45" s="308"/>
      <c r="F45" s="113"/>
      <c r="G45" s="113"/>
      <c r="H45" s="113"/>
      <c r="I45" s="115"/>
      <c r="J45" s="115"/>
      <c r="L45" s="113"/>
      <c r="M45" s="113"/>
    </row>
    <row r="46" spans="3:13" ht="26.4" thickBot="1">
      <c r="C46" s="156">
        <v>46162</v>
      </c>
      <c r="D46" s="308"/>
      <c r="E46" s="308"/>
      <c r="F46" s="113" t="s">
        <v>38</v>
      </c>
      <c r="G46" s="113" t="s">
        <v>29</v>
      </c>
      <c r="H46" s="11" t="s">
        <v>66</v>
      </c>
      <c r="I46" s="115">
        <v>38159</v>
      </c>
      <c r="J46" s="115">
        <v>38158</v>
      </c>
      <c r="L46" s="113"/>
      <c r="M46" s="113"/>
    </row>
    <row r="47" spans="3:13" ht="26.4" thickBot="1">
      <c r="C47" s="156">
        <v>46162</v>
      </c>
      <c r="D47" s="308"/>
      <c r="E47" s="308"/>
      <c r="F47" s="113" t="s">
        <v>45</v>
      </c>
      <c r="G47" s="113" t="s">
        <v>32</v>
      </c>
      <c r="H47" s="11" t="s">
        <v>66</v>
      </c>
      <c r="I47" s="115">
        <v>992</v>
      </c>
      <c r="J47" s="115">
        <v>990</v>
      </c>
      <c r="L47" s="113"/>
      <c r="M47" s="113"/>
    </row>
    <row r="48" spans="3:13" ht="26.4" thickBot="1">
      <c r="C48" s="156">
        <v>46163</v>
      </c>
      <c r="D48" s="308"/>
      <c r="E48" s="308"/>
      <c r="F48" s="113" t="s">
        <v>30</v>
      </c>
      <c r="G48" s="113" t="s">
        <v>29</v>
      </c>
      <c r="H48" s="11" t="s">
        <v>66</v>
      </c>
      <c r="I48" s="115">
        <v>3671</v>
      </c>
      <c r="J48" s="115">
        <v>3626</v>
      </c>
      <c r="L48" s="113"/>
      <c r="M48" s="113"/>
    </row>
    <row r="49" spans="3:13" ht="26.4" thickBot="1">
      <c r="C49" s="156">
        <v>46163</v>
      </c>
      <c r="D49" s="308"/>
      <c r="E49" s="308"/>
      <c r="F49" s="113" t="s">
        <v>36</v>
      </c>
      <c r="G49" s="113" t="s">
        <v>29</v>
      </c>
      <c r="H49" s="11" t="s">
        <v>66</v>
      </c>
      <c r="I49" s="115">
        <v>4667</v>
      </c>
      <c r="J49" s="115">
        <v>4542</v>
      </c>
      <c r="L49" s="113"/>
      <c r="M49" s="113"/>
    </row>
    <row r="50" spans="3:13" ht="26.4" thickBot="1">
      <c r="C50" s="156">
        <v>46163</v>
      </c>
      <c r="D50" s="308"/>
      <c r="E50" s="308"/>
      <c r="F50" s="113" t="s">
        <v>38</v>
      </c>
      <c r="G50" s="113" t="s">
        <v>35</v>
      </c>
      <c r="H50" s="11" t="s">
        <v>66</v>
      </c>
      <c r="I50" s="115">
        <v>38158</v>
      </c>
      <c r="J50" s="115">
        <v>38033</v>
      </c>
      <c r="L50" s="113"/>
      <c r="M50" s="113"/>
    </row>
    <row r="51" spans="3:13" ht="26.4" thickBot="1">
      <c r="C51" s="156">
        <v>46163</v>
      </c>
      <c r="D51" s="308"/>
      <c r="E51" s="308"/>
      <c r="F51" s="113" t="s">
        <v>45</v>
      </c>
      <c r="G51" s="113" t="s">
        <v>32</v>
      </c>
      <c r="H51" s="11" t="s">
        <v>66</v>
      </c>
      <c r="I51" s="115">
        <v>990</v>
      </c>
      <c r="J51" s="115">
        <v>905</v>
      </c>
      <c r="L51" s="113"/>
      <c r="M51" s="113"/>
    </row>
    <row r="52" spans="3:13" ht="26.4" thickBot="1">
      <c r="C52" s="156">
        <v>46163</v>
      </c>
      <c r="D52" s="308"/>
      <c r="E52" s="308"/>
      <c r="F52" s="113" t="s">
        <v>28</v>
      </c>
      <c r="G52" s="113" t="s">
        <v>29</v>
      </c>
      <c r="H52" s="11" t="s">
        <v>66</v>
      </c>
      <c r="I52" s="115">
        <v>32111</v>
      </c>
      <c r="J52" s="115">
        <v>32066</v>
      </c>
      <c r="L52" s="113"/>
      <c r="M52" s="113"/>
    </row>
    <row r="53" spans="3:13" ht="26.4" thickBot="1">
      <c r="C53" s="156">
        <v>46163</v>
      </c>
      <c r="D53" s="308"/>
      <c r="E53" s="308"/>
      <c r="F53" s="113" t="s">
        <v>24</v>
      </c>
      <c r="G53" s="113" t="s">
        <v>29</v>
      </c>
      <c r="H53" s="11" t="s">
        <v>66</v>
      </c>
      <c r="I53" s="115">
        <v>47358</v>
      </c>
      <c r="J53" s="115">
        <v>47153</v>
      </c>
      <c r="L53" s="113"/>
      <c r="M53" s="113"/>
    </row>
    <row r="54" spans="3:13" ht="26.4" thickBot="1">
      <c r="C54" s="156"/>
      <c r="D54" s="308"/>
      <c r="E54" s="308"/>
      <c r="F54" s="113"/>
      <c r="G54" s="113"/>
      <c r="H54" s="11"/>
      <c r="I54" s="115"/>
      <c r="J54" s="115"/>
      <c r="L54" s="113"/>
      <c r="M54" s="113"/>
    </row>
    <row r="55" spans="3:13" ht="25.8">
      <c r="C55" s="113"/>
      <c r="D55" s="308"/>
      <c r="E55" s="308"/>
      <c r="F55" s="113"/>
      <c r="G55" s="113"/>
      <c r="H55" s="113"/>
      <c r="I55" s="115"/>
      <c r="J55" s="115"/>
      <c r="L55" s="113"/>
      <c r="M55" s="113"/>
    </row>
    <row r="56" spans="3:13" ht="25.8">
      <c r="C56" s="113"/>
      <c r="D56" s="308"/>
      <c r="E56" s="308"/>
      <c r="F56" s="113"/>
      <c r="G56" s="113"/>
      <c r="H56" s="113"/>
      <c r="I56" s="115"/>
      <c r="J56" s="115"/>
      <c r="L56" s="113"/>
      <c r="M56" s="113"/>
    </row>
    <row r="57" spans="3:13" ht="25.8">
      <c r="C57" s="113"/>
      <c r="D57" s="308"/>
      <c r="E57" s="308"/>
      <c r="F57" s="113"/>
      <c r="G57" s="113"/>
      <c r="H57" s="113"/>
      <c r="I57" s="115"/>
      <c r="J57" s="115"/>
      <c r="L57" s="113"/>
      <c r="M57" s="113"/>
    </row>
    <row r="58" spans="3:13" ht="25.8">
      <c r="C58" s="113"/>
      <c r="D58" s="308"/>
      <c r="E58" s="308"/>
      <c r="F58" s="113"/>
      <c r="G58" s="113"/>
      <c r="H58" s="113"/>
      <c r="I58" s="115"/>
      <c r="J58" s="115"/>
      <c r="L58" s="113"/>
      <c r="M58" s="113"/>
    </row>
    <row r="59" spans="3:13" ht="25.8">
      <c r="C59" s="113"/>
      <c r="D59" s="308"/>
      <c r="E59" s="308"/>
      <c r="F59" s="113"/>
      <c r="G59" s="113"/>
      <c r="H59" s="113"/>
      <c r="I59" s="115"/>
      <c r="J59" s="115"/>
      <c r="L59" s="113"/>
      <c r="M59" s="113"/>
    </row>
    <row r="60" spans="3:13" ht="25.8">
      <c r="C60" s="113"/>
      <c r="D60" s="308"/>
      <c r="E60" s="308"/>
      <c r="F60" s="113"/>
      <c r="G60" s="113"/>
      <c r="H60" s="113"/>
      <c r="I60" s="115"/>
      <c r="J60" s="115"/>
      <c r="L60" s="113"/>
      <c r="M60" s="113"/>
    </row>
    <row r="61" spans="3:13" ht="25.8">
      <c r="C61" s="113"/>
      <c r="D61" s="308"/>
      <c r="E61" s="308"/>
      <c r="F61" s="113"/>
      <c r="G61" s="113"/>
      <c r="H61" s="113"/>
      <c r="I61" s="115"/>
      <c r="J61" s="115"/>
      <c r="L61" s="113"/>
      <c r="M61" s="113"/>
    </row>
    <row r="62" spans="3:13" ht="25.8">
      <c r="C62" s="113"/>
      <c r="D62" s="308"/>
      <c r="E62" s="308"/>
      <c r="F62" s="113"/>
      <c r="G62" s="113"/>
      <c r="H62" s="113"/>
      <c r="I62" s="115"/>
      <c r="J62" s="115"/>
      <c r="L62" s="113"/>
      <c r="M62" s="113"/>
    </row>
    <row r="63" spans="3:13" ht="25.8">
      <c r="C63" s="113"/>
      <c r="D63" s="308"/>
      <c r="E63" s="308"/>
      <c r="F63" s="113"/>
      <c r="G63" s="113"/>
      <c r="H63" s="113"/>
      <c r="I63" s="115"/>
      <c r="J63" s="115"/>
      <c r="L63" s="113"/>
      <c r="M63" s="113"/>
    </row>
    <row r="64" spans="3:13" ht="25.8">
      <c r="C64" s="113"/>
      <c r="D64" s="308"/>
      <c r="E64" s="308"/>
      <c r="F64" s="113"/>
      <c r="G64" s="113"/>
      <c r="H64" s="113"/>
      <c r="I64" s="115"/>
      <c r="J64" s="115"/>
      <c r="L64" s="113"/>
      <c r="M64" s="113"/>
    </row>
    <row r="65" spans="3:13" ht="25.8">
      <c r="C65" s="113"/>
      <c r="D65" s="308"/>
      <c r="E65" s="308"/>
      <c r="F65" s="113"/>
      <c r="G65" s="113"/>
      <c r="H65" s="113"/>
      <c r="I65" s="115"/>
      <c r="J65" s="115"/>
      <c r="L65" s="113"/>
      <c r="M65" s="113"/>
    </row>
    <row r="66" spans="3:13" ht="25.8">
      <c r="C66" s="113"/>
      <c r="D66" s="308"/>
      <c r="E66" s="308"/>
      <c r="F66" s="113"/>
      <c r="G66" s="113"/>
      <c r="H66" s="113"/>
      <c r="I66" s="115"/>
      <c r="J66" s="115"/>
      <c r="L66" s="113"/>
      <c r="M66" s="113"/>
    </row>
    <row r="67" spans="3:13" ht="25.8">
      <c r="C67" s="113"/>
      <c r="D67" s="308"/>
      <c r="E67" s="308"/>
      <c r="F67" s="113"/>
      <c r="G67" s="113"/>
      <c r="H67" s="113"/>
      <c r="I67" s="115"/>
      <c r="J67" s="115"/>
      <c r="L67" s="113"/>
      <c r="M67" s="113"/>
    </row>
    <row r="68" spans="3:13" ht="25.8">
      <c r="C68" s="113"/>
      <c r="D68" s="308"/>
      <c r="E68" s="308"/>
      <c r="F68" s="113"/>
      <c r="G68" s="113"/>
      <c r="H68" s="113"/>
      <c r="I68" s="115"/>
      <c r="J68" s="115"/>
      <c r="L68" s="113"/>
      <c r="M68" s="113"/>
    </row>
    <row r="69" spans="3:13" ht="25.8">
      <c r="C69" s="113"/>
      <c r="D69" s="308"/>
      <c r="E69" s="308"/>
      <c r="F69" s="113"/>
      <c r="G69" s="113"/>
      <c r="H69" s="113"/>
      <c r="I69" s="115"/>
      <c r="J69" s="115"/>
      <c r="L69" s="113"/>
      <c r="M69" s="113"/>
    </row>
    <row r="70" spans="3:13" ht="25.8">
      <c r="C70" s="113"/>
      <c r="D70" s="308"/>
      <c r="E70" s="308"/>
      <c r="F70" s="113"/>
      <c r="G70" s="113"/>
      <c r="H70" s="113"/>
      <c r="I70" s="115"/>
      <c r="J70" s="115"/>
      <c r="L70" s="113"/>
      <c r="M70" s="113"/>
    </row>
    <row r="71" spans="3:13" ht="25.8">
      <c r="C71" s="113"/>
      <c r="D71" s="308"/>
      <c r="E71" s="308"/>
      <c r="F71" s="113"/>
      <c r="G71" s="113"/>
      <c r="H71" s="113"/>
      <c r="I71" s="115"/>
      <c r="J71" s="115"/>
      <c r="L71" s="113"/>
      <c r="M71" s="113"/>
    </row>
    <row r="72" spans="3:13" ht="25.8">
      <c r="C72" s="113"/>
      <c r="D72" s="308"/>
      <c r="E72" s="308"/>
      <c r="F72" s="113"/>
      <c r="G72" s="113"/>
      <c r="H72" s="113"/>
      <c r="I72" s="115"/>
      <c r="J72" s="115"/>
      <c r="L72" s="113"/>
      <c r="M72" s="113"/>
    </row>
    <row r="73" spans="3:13" ht="25.8">
      <c r="C73" s="113"/>
      <c r="D73" s="308"/>
      <c r="E73" s="308"/>
      <c r="F73" s="113"/>
      <c r="G73" s="113"/>
      <c r="H73" s="113"/>
      <c r="I73" s="115"/>
      <c r="J73" s="115"/>
      <c r="L73" s="113"/>
      <c r="M73" s="113"/>
    </row>
    <row r="74" spans="3:13" ht="25.8">
      <c r="C74" s="113"/>
      <c r="D74" s="308"/>
      <c r="E74" s="308"/>
      <c r="F74" s="113"/>
      <c r="G74" s="113"/>
      <c r="H74" s="113"/>
      <c r="I74" s="115"/>
      <c r="J74" s="115"/>
      <c r="L74" s="113"/>
      <c r="M74" s="113"/>
    </row>
    <row r="75" spans="3:13" ht="25.8">
      <c r="C75" s="113"/>
      <c r="D75" s="206"/>
      <c r="E75" s="206"/>
      <c r="F75" s="113"/>
      <c r="G75" s="113"/>
      <c r="H75" s="113"/>
      <c r="I75" s="115"/>
      <c r="J75" s="115"/>
      <c r="L75" s="113"/>
      <c r="M75" s="113"/>
    </row>
  </sheetData>
  <mergeCells count="5">
    <mergeCell ref="C2:J4"/>
    <mergeCell ref="L3:M4"/>
    <mergeCell ref="C5:J5"/>
    <mergeCell ref="D7:D75"/>
    <mergeCell ref="E7:E75"/>
  </mergeCells>
  <conditionalFormatting sqref="F7:F37">
    <cfRule type="containsText" dxfId="88" priority="6" operator="containsText" text="Light Blue">
      <formula>NOT(ISERROR(SEARCH("Light Blue",F7)))</formula>
    </cfRule>
    <cfRule type="containsText" dxfId="87" priority="16" operator="containsText" text="Orange">
      <formula>NOT(ISERROR(SEARCH("Orange",F7)))</formula>
    </cfRule>
    <cfRule type="containsText" dxfId="86" priority="17" operator="containsText" text="Purple">
      <formula>NOT(ISERROR(SEARCH("Purple",F7)))</formula>
    </cfRule>
  </conditionalFormatting>
  <conditionalFormatting sqref="F7:F37">
    <cfRule type="containsText" dxfId="85" priority="4" operator="containsText" text="Light Blue">
      <formula>NOT(ISERROR(SEARCH("Light Blue",F7)))</formula>
    </cfRule>
    <cfRule type="containsText" dxfId="84" priority="7" operator="containsText" text="Dark Blue">
      <formula>NOT(ISERROR(SEARCH("Dark Blue",F7)))</formula>
    </cfRule>
    <cfRule type="containsText" dxfId="83" priority="8" operator="containsText" text="Blue">
      <formula>NOT(ISERROR(SEARCH("Blue",F7)))</formula>
    </cfRule>
    <cfRule type="containsText" dxfId="82" priority="9" operator="containsText" text="Yellow">
      <formula>NOT(ISERROR(SEARCH("Yellow",F7)))</formula>
    </cfRule>
    <cfRule type="containsText" dxfId="81" priority="10" operator="containsText" text="Light Blue">
      <formula>NOT(ISERROR(SEARCH("Light Blue",F7)))</formula>
    </cfRule>
    <cfRule type="containsText" dxfId="80" priority="11" operator="containsText" text="Dark Green">
      <formula>NOT(ISERROR(SEARCH("Dark Green",F7)))</formula>
    </cfRule>
    <cfRule type="containsText" dxfId="79" priority="12" operator="containsText" text="Brown">
      <formula>NOT(ISERROR(SEARCH("Brown",F7)))</formula>
    </cfRule>
    <cfRule type="containsText" dxfId="78" priority="13" operator="containsText" text="Green">
      <formula>NOT(ISERROR(SEARCH("Green",F7)))</formula>
    </cfRule>
    <cfRule type="containsText" dxfId="77" priority="14" operator="containsText" text="Red">
      <formula>NOT(ISERROR(SEARCH("Red",F7)))</formula>
    </cfRule>
    <cfRule type="containsText" dxfId="76" priority="15" operator="containsText" text="Gray">
      <formula>NOT(ISERROR(SEARCH("Gray",F7)))</formula>
    </cfRule>
  </conditionalFormatting>
  <conditionalFormatting sqref="F8">
    <cfRule type="containsText" dxfId="75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74" priority="3" operator="containsText" text="wHITE">
      <formula>NOT(ISERROR(SEARCH("wHITE",F19)))</formula>
    </cfRule>
  </conditionalFormatting>
  <conditionalFormatting sqref="F7:F37">
    <cfRule type="containsText" dxfId="73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55" zoomScale="70" zoomScaleNormal="70" workbookViewId="0">
      <selection activeCell="M63" sqref="M63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07" t="s">
        <v>6</v>
      </c>
      <c r="D2" s="208"/>
      <c r="E2" s="208"/>
      <c r="F2" s="208"/>
      <c r="G2" s="208"/>
      <c r="H2" s="208"/>
      <c r="I2" s="208"/>
      <c r="J2" s="209"/>
      <c r="K2" s="1"/>
    </row>
    <row r="3" spans="3:13" ht="27.75" customHeight="1" thickBot="1">
      <c r="C3" s="210"/>
      <c r="D3" s="211"/>
      <c r="E3" s="211"/>
      <c r="F3" s="211"/>
      <c r="G3" s="211"/>
      <c r="H3" s="211"/>
      <c r="I3" s="211"/>
      <c r="J3" s="212"/>
      <c r="K3" s="1"/>
      <c r="L3" s="185" t="s">
        <v>16</v>
      </c>
      <c r="M3" s="186"/>
    </row>
    <row r="4" spans="3:13" ht="27.75" customHeight="1" thickTop="1" thickBot="1">
      <c r="C4" s="213"/>
      <c r="D4" s="214"/>
      <c r="E4" s="214"/>
      <c r="F4" s="214"/>
      <c r="G4" s="214"/>
      <c r="H4" s="214"/>
      <c r="I4" s="214"/>
      <c r="J4" s="215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4" t="s">
        <v>18</v>
      </c>
      <c r="E7" s="204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205"/>
      <c r="E8" s="205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205"/>
      <c r="E9" s="205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205"/>
      <c r="E10" s="205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205"/>
      <c r="E11" s="205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205"/>
      <c r="E12" s="205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205"/>
      <c r="E13" s="205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205"/>
      <c r="E14" s="205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205"/>
      <c r="E15" s="205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205"/>
      <c r="E16" s="205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205"/>
      <c r="E17" s="205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205"/>
      <c r="E18" s="205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205"/>
      <c r="E19" s="205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205"/>
      <c r="E20" s="205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205"/>
      <c r="E21" s="205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205"/>
      <c r="E22" s="205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205"/>
      <c r="E23" s="205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205"/>
      <c r="E24" s="205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205"/>
      <c r="E25" s="205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205"/>
      <c r="E26" s="205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205"/>
      <c r="E27" s="205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205"/>
      <c r="E28" s="205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205"/>
      <c r="E29" s="205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205"/>
      <c r="E30" s="205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205"/>
      <c r="E31" s="205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205"/>
      <c r="E32" s="205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205"/>
      <c r="E33" s="205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205"/>
      <c r="E34" s="205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205"/>
      <c r="E35" s="205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205"/>
      <c r="E36" s="205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205"/>
      <c r="E37" s="205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205"/>
      <c r="E38" s="205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205"/>
      <c r="E39" s="205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205"/>
      <c r="E40" s="205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205"/>
      <c r="E41" s="205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205"/>
      <c r="E42" s="205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205"/>
      <c r="E43" s="205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205"/>
      <c r="E44" s="205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205"/>
      <c r="E45" s="205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205"/>
      <c r="E46" s="205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165">
        <v>46157</v>
      </c>
      <c r="D47" s="205"/>
      <c r="E47" s="205"/>
      <c r="F47" s="166"/>
      <c r="G47" s="166"/>
      <c r="H47" s="166"/>
      <c r="I47" s="167"/>
      <c r="J47" s="167"/>
      <c r="L47" s="160"/>
      <c r="M47" s="160"/>
    </row>
    <row r="48" spans="3:13" ht="26.4" thickBot="1">
      <c r="C48" s="118">
        <v>46158</v>
      </c>
      <c r="D48" s="205"/>
      <c r="E48" s="205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165">
        <v>46159</v>
      </c>
      <c r="D49" s="205"/>
      <c r="E49" s="205"/>
      <c r="F49" s="160"/>
      <c r="G49" s="160"/>
      <c r="H49" s="160"/>
      <c r="I49" s="161"/>
      <c r="J49" s="161"/>
      <c r="L49" s="160"/>
      <c r="M49" s="160"/>
    </row>
    <row r="50" spans="3:13" ht="26.4" thickBot="1">
      <c r="C50" s="118">
        <v>46160</v>
      </c>
      <c r="D50" s="205"/>
      <c r="E50" s="205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6.4" thickBot="1">
      <c r="C51" s="118">
        <v>46160</v>
      </c>
      <c r="D51" s="205"/>
      <c r="E51" s="205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6.4" thickBot="1">
      <c r="C52" s="118">
        <v>46160</v>
      </c>
      <c r="D52" s="205"/>
      <c r="E52" s="205"/>
      <c r="F52" s="113" t="s">
        <v>59</v>
      </c>
      <c r="G52" s="113" t="s">
        <v>29</v>
      </c>
      <c r="H52" s="54" t="s">
        <v>66</v>
      </c>
      <c r="I52" s="115">
        <v>5347</v>
      </c>
      <c r="J52" s="115">
        <v>5220</v>
      </c>
      <c r="L52" s="113"/>
      <c r="M52" s="113"/>
    </row>
    <row r="53" spans="3:13" ht="26.4" thickBot="1">
      <c r="C53" s="118">
        <v>46160</v>
      </c>
      <c r="D53" s="205"/>
      <c r="E53" s="205"/>
      <c r="F53" s="113" t="s">
        <v>37</v>
      </c>
      <c r="G53" s="113" t="s">
        <v>29</v>
      </c>
      <c r="H53" s="54" t="s">
        <v>66</v>
      </c>
      <c r="I53" s="115">
        <v>20421</v>
      </c>
      <c r="J53" s="115">
        <v>20376</v>
      </c>
      <c r="L53" s="113"/>
      <c r="M53" s="113"/>
    </row>
    <row r="54" spans="3:13" ht="26.4" thickBot="1">
      <c r="C54" s="118">
        <v>46161</v>
      </c>
      <c r="D54" s="205"/>
      <c r="E54" s="205"/>
      <c r="F54" s="113" t="s">
        <v>59</v>
      </c>
      <c r="G54" s="113" t="s">
        <v>29</v>
      </c>
      <c r="H54" s="54" t="s">
        <v>66</v>
      </c>
      <c r="I54" s="115">
        <v>5220</v>
      </c>
      <c r="J54" s="115">
        <v>5175</v>
      </c>
      <c r="L54" s="113"/>
      <c r="M54" s="113"/>
    </row>
    <row r="55" spans="3:13" ht="26.4" thickBot="1">
      <c r="C55" s="118">
        <v>46161</v>
      </c>
      <c r="D55" s="205"/>
      <c r="E55" s="205"/>
      <c r="F55" s="171" t="s">
        <v>42</v>
      </c>
      <c r="G55" s="171" t="s">
        <v>29</v>
      </c>
      <c r="H55" s="54" t="s">
        <v>66</v>
      </c>
      <c r="I55" s="172">
        <v>5394</v>
      </c>
      <c r="J55" s="172">
        <v>5349</v>
      </c>
      <c r="L55" s="113"/>
      <c r="M55" s="113"/>
    </row>
    <row r="56" spans="3:13" ht="29.4" thickBot="1">
      <c r="C56" s="118">
        <v>46162</v>
      </c>
      <c r="D56" s="205"/>
      <c r="E56" s="205"/>
      <c r="F56" s="173" t="s">
        <v>42</v>
      </c>
      <c r="G56" s="173" t="s">
        <v>29</v>
      </c>
      <c r="H56" s="54" t="s">
        <v>66</v>
      </c>
      <c r="I56" s="174">
        <v>5349</v>
      </c>
      <c r="J56" s="174">
        <v>5348</v>
      </c>
      <c r="L56" s="113"/>
      <c r="M56" s="113"/>
    </row>
    <row r="57" spans="3:13" ht="29.4" thickBot="1">
      <c r="C57" s="118">
        <v>46162</v>
      </c>
      <c r="D57" s="205"/>
      <c r="E57" s="205"/>
      <c r="F57" s="173" t="s">
        <v>59</v>
      </c>
      <c r="G57" s="173" t="s">
        <v>29</v>
      </c>
      <c r="H57" s="54" t="s">
        <v>66</v>
      </c>
      <c r="I57" s="174">
        <v>5175</v>
      </c>
      <c r="J57" s="174">
        <v>5050</v>
      </c>
      <c r="L57" s="113"/>
      <c r="M57" s="113"/>
    </row>
    <row r="58" spans="3:13" ht="29.4" thickBot="1">
      <c r="C58" s="118">
        <v>46162</v>
      </c>
      <c r="D58" s="205"/>
      <c r="E58" s="205"/>
      <c r="F58" s="173" t="s">
        <v>42</v>
      </c>
      <c r="G58" s="173" t="s">
        <v>29</v>
      </c>
      <c r="H58" s="54" t="s">
        <v>66</v>
      </c>
      <c r="I58" s="174">
        <v>5348</v>
      </c>
      <c r="J58" s="174">
        <v>5223</v>
      </c>
      <c r="L58" s="113"/>
      <c r="M58" s="113"/>
    </row>
    <row r="59" spans="3:13" ht="29.4" thickBot="1">
      <c r="C59" s="118">
        <v>46163</v>
      </c>
      <c r="D59" s="205"/>
      <c r="E59" s="205"/>
      <c r="F59" s="173" t="s">
        <v>37</v>
      </c>
      <c r="G59" s="173" t="s">
        <v>29</v>
      </c>
      <c r="H59" s="54" t="s">
        <v>66</v>
      </c>
      <c r="I59" s="174">
        <v>20376</v>
      </c>
      <c r="J59" s="174">
        <v>20251</v>
      </c>
      <c r="L59" s="113"/>
      <c r="M59" s="113"/>
    </row>
    <row r="60" spans="3:13" ht="29.4" thickBot="1">
      <c r="C60" s="118">
        <v>46163</v>
      </c>
      <c r="D60" s="205"/>
      <c r="E60" s="205"/>
      <c r="F60" s="173" t="s">
        <v>24</v>
      </c>
      <c r="G60" s="173" t="s">
        <v>29</v>
      </c>
      <c r="H60" s="54" t="s">
        <v>66</v>
      </c>
      <c r="I60" s="174">
        <v>6482</v>
      </c>
      <c r="J60" s="174">
        <v>6397</v>
      </c>
      <c r="L60" s="113"/>
      <c r="M60" s="113"/>
    </row>
    <row r="61" spans="3:13" ht="29.4" thickBot="1">
      <c r="C61" s="118">
        <v>46163</v>
      </c>
      <c r="D61" s="205"/>
      <c r="E61" s="205"/>
      <c r="F61" s="173" t="s">
        <v>36</v>
      </c>
      <c r="G61" s="173" t="s">
        <v>29</v>
      </c>
      <c r="H61" s="54" t="s">
        <v>66</v>
      </c>
      <c r="I61" s="174">
        <v>24013</v>
      </c>
      <c r="J61" s="174">
        <v>23928</v>
      </c>
      <c r="L61" s="113"/>
      <c r="M61" s="113"/>
    </row>
    <row r="62" spans="3:13" ht="28.8">
      <c r="C62" s="118">
        <v>46163</v>
      </c>
      <c r="D62" s="205"/>
      <c r="E62" s="205"/>
      <c r="F62" s="173" t="s">
        <v>59</v>
      </c>
      <c r="G62" s="173" t="s">
        <v>29</v>
      </c>
      <c r="H62" s="54" t="s">
        <v>66</v>
      </c>
      <c r="I62" s="174">
        <v>5050</v>
      </c>
      <c r="J62" s="174">
        <v>4925</v>
      </c>
      <c r="L62" s="113"/>
      <c r="M62" s="113"/>
    </row>
    <row r="63" spans="3:13" ht="28.8">
      <c r="C63" s="173"/>
      <c r="D63" s="205"/>
      <c r="E63" s="205"/>
      <c r="F63" s="173"/>
      <c r="G63" s="173"/>
      <c r="H63" s="173"/>
      <c r="I63" s="174"/>
      <c r="J63" s="174"/>
      <c r="L63" s="113"/>
      <c r="M63" s="113"/>
    </row>
    <row r="64" spans="3:13" ht="28.8">
      <c r="C64" s="173"/>
      <c r="D64" s="205"/>
      <c r="E64" s="205"/>
      <c r="F64" s="173"/>
      <c r="G64" s="173"/>
      <c r="H64" s="173"/>
      <c r="I64" s="174"/>
      <c r="J64" s="174"/>
      <c r="L64" s="113"/>
      <c r="M64" s="113"/>
    </row>
    <row r="65" spans="3:13" ht="28.8">
      <c r="C65" s="173"/>
      <c r="D65" s="205"/>
      <c r="E65" s="205"/>
      <c r="F65" s="173"/>
      <c r="G65" s="173"/>
      <c r="H65" s="173"/>
      <c r="I65" s="174"/>
      <c r="J65" s="174"/>
      <c r="L65" s="113"/>
      <c r="M65" s="113"/>
    </row>
    <row r="66" spans="3:13" ht="28.8">
      <c r="C66" s="173"/>
      <c r="D66" s="205"/>
      <c r="E66" s="205"/>
      <c r="F66" s="173"/>
      <c r="G66" s="173"/>
      <c r="H66" s="173"/>
      <c r="I66" s="174"/>
      <c r="J66" s="174"/>
      <c r="L66" s="113"/>
      <c r="M66" s="113"/>
    </row>
    <row r="67" spans="3:13" ht="28.8">
      <c r="C67" s="173"/>
      <c r="D67" s="205"/>
      <c r="E67" s="205"/>
      <c r="F67" s="173"/>
      <c r="G67" s="173"/>
      <c r="H67" s="173"/>
      <c r="I67" s="174"/>
      <c r="J67" s="174"/>
      <c r="L67" s="113"/>
      <c r="M67" s="113"/>
    </row>
    <row r="68" spans="3:13" ht="28.8">
      <c r="C68" s="173"/>
      <c r="D68" s="205"/>
      <c r="E68" s="205"/>
      <c r="F68" s="173"/>
      <c r="G68" s="173"/>
      <c r="H68" s="173"/>
      <c r="I68" s="174"/>
      <c r="J68" s="174"/>
      <c r="L68" s="113"/>
      <c r="M68" s="113"/>
    </row>
    <row r="69" spans="3:13" ht="28.8">
      <c r="C69" s="173"/>
      <c r="D69" s="205"/>
      <c r="E69" s="205"/>
      <c r="F69" s="173"/>
      <c r="G69" s="173"/>
      <c r="H69" s="173"/>
      <c r="I69" s="174"/>
      <c r="J69" s="174"/>
      <c r="L69" s="113"/>
      <c r="M69" s="113"/>
    </row>
    <row r="70" spans="3:13" ht="28.8">
      <c r="C70" s="173"/>
      <c r="D70" s="205"/>
      <c r="E70" s="205"/>
      <c r="F70" s="173"/>
      <c r="G70" s="173"/>
      <c r="H70" s="173"/>
      <c r="I70" s="174"/>
      <c r="J70" s="174"/>
      <c r="L70" s="113"/>
      <c r="M70" s="113"/>
    </row>
    <row r="71" spans="3:13" ht="28.8">
      <c r="C71" s="173"/>
      <c r="D71" s="206"/>
      <c r="E71" s="206"/>
      <c r="F71" s="173"/>
      <c r="G71" s="173"/>
      <c r="H71" s="173"/>
      <c r="I71" s="174"/>
      <c r="J71" s="174"/>
      <c r="L71" s="113"/>
      <c r="M71" s="113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72" priority="1" operator="containsText" text="White">
      <formula>NOT(ISERROR(SEARCH("White",F1)))</formula>
    </cfRule>
    <cfRule type="containsText" dxfId="71" priority="2" operator="containsText" text="Brown">
      <formula>NOT(ISERROR(SEARCH("Brown",F1)))</formula>
    </cfRule>
    <cfRule type="containsText" dxfId="70" priority="3" operator="containsText" text="Red">
      <formula>NOT(ISERROR(SEARCH("Red",F1)))</formula>
    </cfRule>
    <cfRule type="containsText" dxfId="69" priority="4" operator="containsText" text="Green">
      <formula>NOT(ISERROR(SEARCH("Green",F1)))</formula>
    </cfRule>
    <cfRule type="containsText" dxfId="68" priority="5" operator="containsText" text="Orange (10)">
      <formula>NOT(ISERROR(SEARCH("Orange (10)",F1)))</formula>
    </cfRule>
    <cfRule type="containsText" dxfId="67" priority="6" operator="containsText" text="Blue">
      <formula>NOT(ISERROR(SEARCH("Blue",F1)))</formula>
    </cfRule>
    <cfRule type="containsText" dxfId="66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9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6" t="s">
        <v>7</v>
      </c>
      <c r="D2" s="217"/>
      <c r="E2" s="217"/>
      <c r="F2" s="217"/>
      <c r="G2" s="217"/>
      <c r="H2" s="217"/>
      <c r="I2" s="217"/>
      <c r="J2" s="218"/>
      <c r="K2" s="1"/>
    </row>
    <row r="3" spans="3:13" ht="27.75" customHeight="1" thickBot="1">
      <c r="C3" s="219"/>
      <c r="D3" s="220"/>
      <c r="E3" s="220"/>
      <c r="F3" s="220"/>
      <c r="G3" s="220"/>
      <c r="H3" s="220"/>
      <c r="I3" s="220"/>
      <c r="J3" s="221"/>
      <c r="K3" s="1"/>
      <c r="L3" s="185" t="s">
        <v>16</v>
      </c>
      <c r="M3" s="186"/>
    </row>
    <row r="4" spans="3:13" ht="27.75" customHeight="1" thickTop="1" thickBot="1">
      <c r="C4" s="222"/>
      <c r="D4" s="223"/>
      <c r="E4" s="223"/>
      <c r="F4" s="223"/>
      <c r="G4" s="223"/>
      <c r="H4" s="223"/>
      <c r="I4" s="223"/>
      <c r="J4" s="224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5" t="s">
        <v>18</v>
      </c>
      <c r="E7" s="225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26"/>
      <c r="E8" s="226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26"/>
      <c r="E9" s="226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26"/>
      <c r="E10" s="226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26"/>
      <c r="E11" s="226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26"/>
      <c r="E12" s="226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26"/>
      <c r="E13" s="226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26"/>
      <c r="E14" s="226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26"/>
      <c r="E15" s="226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26"/>
      <c r="E16" s="226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26"/>
      <c r="E17" s="226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26"/>
      <c r="E18" s="226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26"/>
      <c r="E19" s="226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26"/>
      <c r="E20" s="226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26"/>
      <c r="E21" s="226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26"/>
      <c r="E22" s="226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26"/>
      <c r="E23" s="226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26"/>
      <c r="E24" s="226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26"/>
      <c r="E25" s="226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26"/>
      <c r="E26" s="226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26"/>
      <c r="E27" s="226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26"/>
      <c r="E28" s="226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26"/>
      <c r="E29" s="226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26"/>
      <c r="E30" s="226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26"/>
      <c r="E31" s="226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26"/>
      <c r="E32" s="226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26"/>
      <c r="E33" s="226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26"/>
      <c r="E34" s="226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26"/>
      <c r="E35" s="226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26"/>
      <c r="E36" s="226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26"/>
      <c r="E37" s="226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26"/>
      <c r="E38" s="226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26"/>
      <c r="E39" s="226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26"/>
      <c r="E40" s="226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26"/>
      <c r="E41" s="226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26"/>
      <c r="E42" s="226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26"/>
      <c r="E43" s="226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26"/>
      <c r="E44" s="226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26"/>
      <c r="E45" s="226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26"/>
      <c r="E46" s="226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26"/>
      <c r="E47" s="226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26"/>
      <c r="E48" s="226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26"/>
      <c r="E49" s="226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26"/>
      <c r="E50" s="226"/>
      <c r="F50" s="81"/>
      <c r="G50" s="81"/>
      <c r="H50" s="81"/>
      <c r="I50" s="81"/>
      <c r="J50" s="82"/>
    </row>
    <row r="51" spans="3:13" ht="26.25" customHeight="1" thickBot="1">
      <c r="C51" s="80"/>
      <c r="D51" s="226"/>
      <c r="E51" s="226"/>
      <c r="F51" s="81"/>
      <c r="G51" s="81"/>
      <c r="H51" s="81"/>
      <c r="I51" s="81"/>
      <c r="J51" s="82"/>
    </row>
    <row r="52" spans="3:13" ht="26.25" customHeight="1" thickBot="1">
      <c r="C52" s="80"/>
      <c r="D52" s="226"/>
      <c r="E52" s="226"/>
      <c r="F52" s="81"/>
      <c r="G52" s="81"/>
      <c r="H52" s="81"/>
      <c r="I52" s="81"/>
      <c r="J52" s="82"/>
    </row>
    <row r="53" spans="3:13" ht="26.25" customHeight="1" thickBot="1">
      <c r="C53" s="80"/>
      <c r="D53" s="226"/>
      <c r="E53" s="226"/>
      <c r="F53" s="81"/>
      <c r="G53" s="81"/>
      <c r="H53" s="81"/>
      <c r="I53" s="81"/>
      <c r="J53" s="82"/>
    </row>
    <row r="54" spans="3:13" ht="26.25" customHeight="1" thickBot="1">
      <c r="C54" s="80"/>
      <c r="D54" s="226"/>
      <c r="E54" s="226"/>
      <c r="F54" s="81"/>
      <c r="G54" s="81"/>
      <c r="H54" s="81"/>
      <c r="I54" s="81"/>
      <c r="J54" s="82"/>
    </row>
    <row r="55" spans="3:13" ht="26.25" customHeight="1" thickBot="1">
      <c r="C55" s="80"/>
      <c r="D55" s="226"/>
      <c r="E55" s="226"/>
      <c r="F55" s="81"/>
      <c r="G55" s="81"/>
      <c r="H55" s="81"/>
      <c r="I55" s="81"/>
      <c r="J55" s="82"/>
    </row>
    <row r="56" spans="3:13" ht="26.25" customHeight="1" thickBot="1">
      <c r="C56" s="80"/>
      <c r="D56" s="226"/>
      <c r="E56" s="226"/>
      <c r="F56" s="81"/>
      <c r="G56" s="81"/>
      <c r="H56" s="81"/>
      <c r="I56" s="81"/>
      <c r="J56" s="82"/>
    </row>
    <row r="57" spans="3:13" ht="26.25" customHeight="1" thickBot="1">
      <c r="C57" s="80"/>
      <c r="D57" s="226"/>
      <c r="E57" s="226"/>
      <c r="F57" s="81"/>
      <c r="G57" s="81"/>
      <c r="H57" s="81"/>
      <c r="I57" s="81"/>
      <c r="J57" s="82"/>
    </row>
    <row r="58" spans="3:13" ht="26.25" customHeight="1" thickBot="1">
      <c r="C58" s="80"/>
      <c r="D58" s="227"/>
      <c r="E58" s="227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65" priority="1" operator="containsText" text="Red Popp">
      <formula>NOT(ISERROR(SEARCH("Red Popp",F1)))</formula>
    </cfRule>
    <cfRule type="containsText" dxfId="64" priority="2" operator="containsText" text="Purple Popp">
      <formula>NOT(ISERROR(SEARCH("Purple Popp",F1)))</formula>
    </cfRule>
    <cfRule type="containsText" dxfId="63" priority="3" operator="containsText" text="Purple (Fish)">
      <formula>NOT(ISERROR(SEARCH("Purple (Fish)",F1)))</formula>
    </cfRule>
    <cfRule type="containsText" dxfId="62" priority="4" operator="containsText" text="Blue Purple(1C)">
      <formula>NOT(ISERROR(SEARCH("Blue Purple(1C)",F1)))</formula>
    </cfRule>
    <cfRule type="containsText" dxfId="61" priority="5" operator="containsText" text="Purple Dark Blue(1B)">
      <formula>NOT(ISERROR(SEARCH("Purple Dark Blue(1B)",F1)))</formula>
    </cfRule>
    <cfRule type="containsText" dxfId="60" priority="6" operator="containsText" text="Blue Gray(1A)">
      <formula>NOT(ISERROR(SEARCH("Blue Gray(1A)",F1)))</formula>
    </cfRule>
    <cfRule type="containsText" dxfId="59" priority="7" operator="containsText" text="Blue Black(1H)">
      <formula>NOT(ISERROR(SEARCH("Blue Black(1H)",F1)))</formula>
    </cfRule>
    <cfRule type="containsText" dxfId="58" priority="8" operator="containsText" text="Red Dark Blue(1E)">
      <formula>NOT(ISERROR(SEARCH("Red Dark Blue(1E)",F1)))</formula>
    </cfRule>
    <cfRule type="containsText" dxfId="57" priority="9" operator="containsText" text="Blue Green(1J)">
      <formula>NOT(ISERROR(SEARCH("Blue Green(1J)",F1)))</formula>
    </cfRule>
    <cfRule type="containsText" dxfId="56" priority="10" operator="containsText" text="Red Black(1i)">
      <formula>NOT(ISERROR(SEARCH("Red Black(1i)",F1)))</formula>
    </cfRule>
    <cfRule type="containsText" dxfId="55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59"/>
  <sheetViews>
    <sheetView topLeftCell="A41" zoomScale="70" zoomScaleNormal="70" workbookViewId="0">
      <selection activeCell="H48" sqref="H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28" t="s">
        <v>93</v>
      </c>
      <c r="D2" s="229"/>
      <c r="E2" s="229"/>
      <c r="F2" s="229"/>
      <c r="G2" s="229"/>
      <c r="H2" s="229"/>
      <c r="I2" s="229"/>
      <c r="J2" s="230"/>
      <c r="K2" s="1"/>
    </row>
    <row r="3" spans="3:13" ht="27.75" customHeight="1" thickBot="1">
      <c r="C3" s="231"/>
      <c r="D3" s="232"/>
      <c r="E3" s="232"/>
      <c r="F3" s="232"/>
      <c r="G3" s="232"/>
      <c r="H3" s="232"/>
      <c r="I3" s="232"/>
      <c r="J3" s="233"/>
      <c r="K3" s="1"/>
      <c r="L3" s="185" t="s">
        <v>16</v>
      </c>
      <c r="M3" s="186"/>
    </row>
    <row r="4" spans="3:13" ht="27.75" customHeight="1" thickTop="1" thickBot="1">
      <c r="C4" s="234"/>
      <c r="D4" s="235"/>
      <c r="E4" s="235"/>
      <c r="F4" s="235"/>
      <c r="G4" s="235"/>
      <c r="H4" s="235"/>
      <c r="I4" s="235"/>
      <c r="J4" s="236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305" t="s">
        <v>18</v>
      </c>
      <c r="E7" s="192" t="s">
        <v>60</v>
      </c>
      <c r="F7" s="120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306"/>
      <c r="E8" s="193"/>
      <c r="F8" s="120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306"/>
      <c r="E9" s="193"/>
      <c r="F9" s="120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306"/>
      <c r="E10" s="193"/>
      <c r="F10" s="120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306"/>
      <c r="E11" s="193"/>
      <c r="F11" s="120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306"/>
      <c r="E12" s="193"/>
      <c r="F12" s="120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306"/>
      <c r="E13" s="193"/>
      <c r="F13" s="120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306"/>
      <c r="E14" s="193"/>
      <c r="F14" s="120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306"/>
      <c r="E15" s="193"/>
      <c r="F15" s="120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306"/>
      <c r="E16" s="193"/>
      <c r="F16" s="301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306"/>
      <c r="E17" s="193"/>
      <c r="F17" s="123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306"/>
      <c r="E18" s="193"/>
      <c r="F18" s="121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306"/>
      <c r="E19" s="193"/>
      <c r="F19" s="123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306"/>
      <c r="E20" s="193"/>
      <c r="F20" s="12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306"/>
      <c r="E21" s="193"/>
      <c r="F21" s="123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306"/>
      <c r="E22" s="193"/>
      <c r="F22" s="12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306"/>
      <c r="E23" s="193"/>
      <c r="F23" s="123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306"/>
      <c r="E24" s="193"/>
      <c r="F24" s="121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306"/>
      <c r="E25" s="193"/>
      <c r="F25" s="121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306"/>
      <c r="E26" s="193"/>
      <c r="F26" s="121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306"/>
      <c r="E27" s="193"/>
      <c r="F27" s="121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306"/>
      <c r="E28" s="193"/>
      <c r="F28" s="121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306"/>
      <c r="E29" s="193"/>
      <c r="F29" s="12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306"/>
      <c r="E30" s="193"/>
      <c r="F30" s="12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306"/>
      <c r="E31" s="193"/>
      <c r="F31" s="121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306"/>
      <c r="E32" s="193"/>
      <c r="F32" s="121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306"/>
      <c r="E33" s="193"/>
      <c r="F33" s="121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306"/>
      <c r="E34" s="193"/>
      <c r="F34" s="121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306"/>
      <c r="E35" s="193"/>
      <c r="F35" s="121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306"/>
      <c r="E36" s="193"/>
      <c r="F36" s="121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306"/>
      <c r="E37" s="193"/>
      <c r="F37" s="302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306"/>
      <c r="E38" s="193"/>
      <c r="F38" s="30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306"/>
      <c r="E39" s="193"/>
      <c r="F39" s="30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306"/>
      <c r="E40" s="193"/>
      <c r="F40" s="30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306"/>
      <c r="E41" s="193"/>
      <c r="F41" s="304"/>
      <c r="G41" s="160"/>
      <c r="H41" s="161"/>
      <c r="I41" s="161"/>
      <c r="J41" s="161"/>
      <c r="L41" s="160"/>
      <c r="M41" s="160"/>
    </row>
    <row r="42" spans="3:13" ht="26.4" thickBot="1">
      <c r="C42" s="12">
        <v>46158</v>
      </c>
      <c r="D42" s="306"/>
      <c r="E42" s="193"/>
      <c r="F42" s="30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306"/>
      <c r="E43" s="193"/>
      <c r="F43" s="30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6.4" thickBot="1">
      <c r="C44" s="12">
        <v>46160</v>
      </c>
      <c r="D44" s="306"/>
      <c r="E44" s="193"/>
      <c r="F44" s="303"/>
      <c r="G44" s="113"/>
      <c r="H44" s="115"/>
      <c r="I44" s="115"/>
      <c r="J44" s="115"/>
      <c r="L44" s="113"/>
      <c r="M44" s="113"/>
    </row>
    <row r="45" spans="3:13" ht="26.4" thickBot="1">
      <c r="C45" s="12">
        <v>46161</v>
      </c>
      <c r="D45" s="306"/>
      <c r="E45" s="193"/>
      <c r="F45" s="303"/>
      <c r="G45" s="113"/>
      <c r="H45" s="115"/>
      <c r="I45" s="115"/>
      <c r="J45" s="115"/>
      <c r="L45" s="113"/>
      <c r="M45" s="113"/>
    </row>
    <row r="46" spans="3:13" ht="26.4" thickBot="1">
      <c r="C46" s="12">
        <v>46162</v>
      </c>
      <c r="D46" s="306"/>
      <c r="E46" s="193"/>
      <c r="F46" s="303" t="s">
        <v>67</v>
      </c>
      <c r="G46" s="113"/>
      <c r="H46" s="22" t="s">
        <v>66</v>
      </c>
      <c r="I46" s="115">
        <v>1000</v>
      </c>
      <c r="J46" s="115">
        <v>998</v>
      </c>
      <c r="L46" s="113"/>
      <c r="M46" s="113"/>
    </row>
    <row r="47" spans="3:13" ht="26.4" thickBot="1">
      <c r="C47" s="12">
        <v>46162</v>
      </c>
      <c r="D47" s="306"/>
      <c r="E47" s="193"/>
      <c r="F47" s="303" t="s">
        <v>68</v>
      </c>
      <c r="G47" s="113"/>
      <c r="H47" s="22" t="s">
        <v>66</v>
      </c>
      <c r="I47" s="115">
        <v>1701</v>
      </c>
      <c r="J47" s="115">
        <v>1700</v>
      </c>
      <c r="L47" s="113"/>
      <c r="M47" s="113"/>
    </row>
    <row r="48" spans="3:13" ht="26.4" thickBot="1">
      <c r="C48" s="12">
        <v>46163</v>
      </c>
      <c r="D48" s="306"/>
      <c r="E48" s="193"/>
      <c r="F48" s="303" t="s">
        <v>68</v>
      </c>
      <c r="G48" s="113"/>
      <c r="H48" s="22" t="s">
        <v>66</v>
      </c>
      <c r="I48" s="115">
        <v>1700</v>
      </c>
      <c r="J48" s="115">
        <v>1680</v>
      </c>
      <c r="L48" s="113"/>
      <c r="M48" s="113"/>
    </row>
    <row r="49" spans="3:13" ht="25.8">
      <c r="C49" s="113"/>
      <c r="D49" s="306"/>
      <c r="E49" s="193"/>
      <c r="F49" s="113"/>
      <c r="G49" s="113"/>
      <c r="H49" s="113"/>
      <c r="I49" s="113"/>
      <c r="J49" s="115"/>
      <c r="L49" s="113"/>
      <c r="M49" s="113"/>
    </row>
    <row r="50" spans="3:13" ht="25.8">
      <c r="C50" s="113"/>
      <c r="D50" s="306"/>
      <c r="E50" s="193"/>
      <c r="F50" s="113"/>
      <c r="G50" s="113"/>
      <c r="H50" s="113"/>
      <c r="I50" s="113"/>
      <c r="J50" s="115"/>
      <c r="L50" s="113"/>
      <c r="M50" s="113"/>
    </row>
    <row r="51" spans="3:13" ht="25.8">
      <c r="C51" s="113"/>
      <c r="D51" s="306"/>
      <c r="E51" s="193"/>
      <c r="F51" s="113"/>
      <c r="G51" s="113"/>
      <c r="H51" s="113"/>
      <c r="I51" s="113"/>
      <c r="J51" s="115"/>
      <c r="L51" s="113"/>
      <c r="M51" s="113"/>
    </row>
    <row r="52" spans="3:13" ht="25.8">
      <c r="C52" s="113"/>
      <c r="D52" s="306"/>
      <c r="E52" s="193"/>
      <c r="F52" s="113"/>
      <c r="G52" s="113"/>
      <c r="H52" s="113"/>
      <c r="I52" s="113"/>
      <c r="J52" s="115"/>
      <c r="L52" s="113"/>
      <c r="M52" s="113"/>
    </row>
    <row r="53" spans="3:13" ht="25.8">
      <c r="C53" s="113"/>
      <c r="D53" s="306"/>
      <c r="E53" s="193"/>
      <c r="F53" s="113"/>
      <c r="G53" s="113"/>
      <c r="H53" s="113"/>
      <c r="I53" s="113"/>
      <c r="J53" s="115"/>
      <c r="L53" s="113"/>
      <c r="M53" s="113"/>
    </row>
    <row r="54" spans="3:13" ht="25.8">
      <c r="C54" s="113"/>
      <c r="D54" s="306"/>
      <c r="E54" s="193"/>
      <c r="F54" s="113"/>
      <c r="G54" s="113"/>
      <c r="H54" s="113"/>
      <c r="I54" s="113"/>
      <c r="J54" s="115"/>
      <c r="L54" s="113"/>
      <c r="M54" s="113"/>
    </row>
    <row r="55" spans="3:13" ht="25.8">
      <c r="C55" s="113"/>
      <c r="D55" s="306"/>
      <c r="E55" s="193"/>
      <c r="F55" s="113"/>
      <c r="G55" s="113"/>
      <c r="H55" s="113"/>
      <c r="I55" s="113"/>
      <c r="J55" s="115"/>
      <c r="L55" s="113"/>
      <c r="M55" s="113"/>
    </row>
    <row r="56" spans="3:13" ht="25.8">
      <c r="C56" s="113"/>
      <c r="D56" s="306"/>
      <c r="E56" s="193"/>
      <c r="F56" s="113"/>
      <c r="G56" s="113"/>
      <c r="H56" s="113"/>
      <c r="I56" s="113"/>
      <c r="J56" s="115"/>
      <c r="L56" s="113"/>
      <c r="M56" s="113"/>
    </row>
    <row r="57" spans="3:13" ht="25.8">
      <c r="C57" s="113"/>
      <c r="D57" s="306"/>
      <c r="E57" s="193"/>
      <c r="F57" s="113"/>
      <c r="G57" s="113"/>
      <c r="H57" s="113"/>
      <c r="I57" s="113"/>
      <c r="J57" s="115"/>
      <c r="L57" s="113"/>
      <c r="M57" s="113"/>
    </row>
    <row r="58" spans="3:13" ht="25.8">
      <c r="C58" s="113"/>
      <c r="D58" s="306"/>
      <c r="E58" s="193"/>
      <c r="F58" s="113"/>
      <c r="G58" s="113"/>
      <c r="H58" s="113"/>
      <c r="I58" s="113"/>
      <c r="J58" s="115"/>
      <c r="L58" s="113"/>
      <c r="M58" s="113"/>
    </row>
    <row r="59" spans="3:13" ht="25.8">
      <c r="C59" s="113"/>
      <c r="D59" s="307"/>
      <c r="E59" s="194"/>
      <c r="F59" s="113"/>
      <c r="G59" s="113"/>
      <c r="H59" s="113"/>
      <c r="I59" s="113"/>
      <c r="J59" s="115"/>
      <c r="L59" s="113"/>
      <c r="M59" s="113"/>
    </row>
  </sheetData>
  <mergeCells count="5">
    <mergeCell ref="C2:J4"/>
    <mergeCell ref="L3:M4"/>
    <mergeCell ref="C5:J5"/>
    <mergeCell ref="D7:D59"/>
    <mergeCell ref="E7:E59"/>
  </mergeCells>
  <conditionalFormatting sqref="F1:F1048576">
    <cfRule type="containsText" dxfId="54" priority="1" operator="containsText" text="Red KOP">
      <formula>NOT(ISERROR(SEARCH("Red KOP",F1)))</formula>
    </cfRule>
    <cfRule type="containsText" dxfId="53" priority="2" operator="containsText" text="Blue KOP">
      <formula>NOT(ISERROR(SEARCH("Blue KOP",F1)))</formula>
    </cfRule>
    <cfRule type="containsText" dxfId="52" priority="3" operator="containsText" text="Purple">
      <formula>NOT(ISERROR(SEARCH("Purple",F1)))</formula>
    </cfRule>
    <cfRule type="containsText" dxfId="51" priority="4" operator="containsText" text="Green">
      <formula>NOT(ISERROR(SEARCH("Green",F1)))</formula>
    </cfRule>
    <cfRule type="containsText" dxfId="50" priority="5" operator="containsText" text="Red">
      <formula>NOT(ISERROR(SEARCH("Red",F1)))</formula>
    </cfRule>
    <cfRule type="containsText" dxfId="49" priority="6" operator="containsText" text="White 50G">
      <formula>NOT(ISERROR(SEARCH("White 50G",F1)))</formula>
    </cfRule>
    <cfRule type="containsText" dxfId="48" priority="7" operator="containsText" text="White 25G">
      <formula>NOT(ISERROR(SEARCH("White 25G",F1)))</formula>
    </cfRule>
    <cfRule type="containsText" dxfId="47" priority="8" operator="containsText" text="Green Popp">
      <formula>NOT(ISERROR(SEARCH("Green Popp",F1)))</formula>
    </cfRule>
    <cfRule type="containsText" dxfId="46" priority="9" operator="containsText" text="Blue Popp">
      <formula>NOT(ISERROR(SEARCH("Blue Popp",F1)))</formula>
    </cfRule>
    <cfRule type="containsText" dxfId="45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37" t="s">
        <v>7</v>
      </c>
      <c r="D2" s="238"/>
      <c r="E2" s="238"/>
      <c r="F2" s="238"/>
      <c r="G2" s="238"/>
      <c r="H2" s="238"/>
      <c r="I2" s="238"/>
      <c r="J2" s="239"/>
      <c r="K2" s="1"/>
    </row>
    <row r="3" spans="3:13" ht="27.75" customHeight="1" thickBot="1">
      <c r="C3" s="240"/>
      <c r="D3" s="241"/>
      <c r="E3" s="241"/>
      <c r="F3" s="241"/>
      <c r="G3" s="241"/>
      <c r="H3" s="241"/>
      <c r="I3" s="241"/>
      <c r="J3" s="242"/>
      <c r="K3" s="1"/>
      <c r="L3" s="185" t="s">
        <v>16</v>
      </c>
      <c r="M3" s="186"/>
    </row>
    <row r="4" spans="3:13" ht="27.75" customHeight="1" thickTop="1" thickBot="1">
      <c r="C4" s="243"/>
      <c r="D4" s="244"/>
      <c r="E4" s="244"/>
      <c r="F4" s="244"/>
      <c r="G4" s="244"/>
      <c r="H4" s="244"/>
      <c r="I4" s="244"/>
      <c r="J4" s="245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5" t="s">
        <v>23</v>
      </c>
      <c r="E7" s="246" t="s">
        <v>4</v>
      </c>
      <c r="F7" s="8" t="s">
        <v>24</v>
      </c>
      <c r="G7" s="225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26"/>
      <c r="E8" s="247"/>
      <c r="F8" s="8" t="s">
        <v>31</v>
      </c>
      <c r="G8" s="226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26"/>
      <c r="E9" s="247"/>
      <c r="F9" s="8" t="s">
        <v>40</v>
      </c>
      <c r="G9" s="226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26"/>
      <c r="E10" s="247"/>
      <c r="F10" s="8" t="s">
        <v>74</v>
      </c>
      <c r="G10" s="226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26"/>
      <c r="E11" s="247"/>
      <c r="F11" s="8" t="s">
        <v>28</v>
      </c>
      <c r="G11" s="226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26"/>
      <c r="E12" s="247"/>
      <c r="F12" s="8" t="s">
        <v>37</v>
      </c>
      <c r="G12" s="226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26"/>
      <c r="E13" s="247"/>
      <c r="F13" s="8" t="s">
        <v>36</v>
      </c>
      <c r="G13" s="226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26"/>
      <c r="E14" s="247"/>
      <c r="F14" s="8" t="s">
        <v>75</v>
      </c>
      <c r="G14" s="226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26"/>
      <c r="E15" s="247"/>
      <c r="F15" s="55"/>
      <c r="G15" s="226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26"/>
      <c r="E16" s="247"/>
      <c r="F16" s="8" t="s">
        <v>37</v>
      </c>
      <c r="G16" s="226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26"/>
      <c r="E17" s="247"/>
      <c r="F17" s="55"/>
      <c r="G17" s="226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26"/>
      <c r="E18" s="247"/>
      <c r="F18" s="64"/>
      <c r="G18" s="226"/>
      <c r="H18" s="63"/>
      <c r="I18" s="63"/>
      <c r="J18" s="63"/>
      <c r="K18" s="1"/>
      <c r="L18" s="63"/>
      <c r="M18" s="63"/>
    </row>
    <row r="19" spans="3:13" ht="26.4" thickBot="1">
      <c r="C19" s="46"/>
      <c r="D19" s="226"/>
      <c r="E19" s="247"/>
      <c r="F19" s="55"/>
      <c r="G19" s="226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26"/>
      <c r="E20" s="247"/>
      <c r="F20" s="64"/>
      <c r="G20" s="226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26"/>
      <c r="E21" s="247"/>
      <c r="F21" s="64"/>
      <c r="G21" s="226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26"/>
      <c r="E22" s="247"/>
      <c r="F22" s="64"/>
      <c r="G22" s="226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26"/>
      <c r="E23" s="247"/>
      <c r="F23" s="64"/>
      <c r="G23" s="226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26"/>
      <c r="E24" s="247"/>
      <c r="F24" s="64"/>
      <c r="G24" s="226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26"/>
      <c r="E25" s="247"/>
      <c r="F25" s="64"/>
      <c r="G25" s="226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26"/>
      <c r="E26" s="247"/>
      <c r="F26" s="64"/>
      <c r="G26" s="226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26"/>
      <c r="E27" s="247"/>
      <c r="F27" s="8"/>
      <c r="G27" s="22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6"/>
      <c r="E28" s="247"/>
      <c r="F28" s="8"/>
      <c r="G28" s="22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6"/>
      <c r="E29" s="247"/>
      <c r="F29" s="8"/>
      <c r="G29" s="22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6"/>
      <c r="E30" s="247"/>
      <c r="F30" s="8"/>
      <c r="G30" s="22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6"/>
      <c r="E31" s="247"/>
      <c r="F31" s="8"/>
      <c r="G31" s="22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6"/>
      <c r="E32" s="247"/>
      <c r="F32" s="8"/>
      <c r="G32" s="22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6"/>
      <c r="E33" s="247"/>
      <c r="F33" s="8"/>
      <c r="G33" s="22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6"/>
      <c r="E34" s="247"/>
      <c r="F34" s="8"/>
      <c r="G34" s="22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6"/>
      <c r="E35" s="247"/>
      <c r="F35" s="8"/>
      <c r="G35" s="22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6"/>
      <c r="E36" s="247"/>
      <c r="F36" s="8"/>
      <c r="G36" s="22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7"/>
      <c r="E37" s="248"/>
      <c r="F37" s="9"/>
      <c r="G37" s="227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4" priority="1" operator="containsText" text="Blue +">
      <formula>NOT(ISERROR(SEARCH("Blue +",F1)))</formula>
    </cfRule>
    <cfRule type="containsText" dxfId="43" priority="2" operator="containsText" text="Purple">
      <formula>NOT(ISERROR(SEARCH("Purple",F1)))</formula>
    </cfRule>
    <cfRule type="containsText" dxfId="42" priority="3" operator="containsText" text="Black">
      <formula>NOT(ISERROR(SEARCH("Black",F1)))</formula>
    </cfRule>
    <cfRule type="containsText" dxfId="41" priority="4" operator="containsText" text="Dark Blue">
      <formula>NOT(ISERROR(SEARCH("Dark Blue",F1)))</formula>
    </cfRule>
    <cfRule type="containsText" dxfId="40" priority="5" operator="containsText" text="Gray">
      <formula>NOT(ISERROR(SEARCH("Gray",F1)))</formula>
    </cfRule>
    <cfRule type="containsText" dxfId="39" priority="6" operator="containsText" text="Red">
      <formula>NOT(ISERROR(SEARCH("Red",F1)))</formula>
    </cfRule>
    <cfRule type="containsText" dxfId="38" priority="7" operator="containsText" text="Green">
      <formula>NOT(ISERROR(SEARCH("Green",F1)))</formula>
    </cfRule>
    <cfRule type="containsText" dxfId="37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9" t="s">
        <v>73</v>
      </c>
      <c r="D2" s="250"/>
      <c r="E2" s="250"/>
      <c r="F2" s="250"/>
      <c r="G2" s="250"/>
      <c r="H2" s="250"/>
      <c r="I2" s="250"/>
      <c r="J2" s="251"/>
      <c r="K2" s="1"/>
    </row>
    <row r="3" spans="3:13" ht="27.75" customHeight="1" thickBot="1">
      <c r="C3" s="252"/>
      <c r="D3" s="253"/>
      <c r="E3" s="253"/>
      <c r="F3" s="253"/>
      <c r="G3" s="253"/>
      <c r="H3" s="253"/>
      <c r="I3" s="253"/>
      <c r="J3" s="254"/>
      <c r="K3" s="1"/>
      <c r="L3" s="185" t="s">
        <v>16</v>
      </c>
      <c r="M3" s="186"/>
    </row>
    <row r="4" spans="3:13" ht="27.75" customHeight="1" thickTop="1" thickBot="1">
      <c r="C4" s="255"/>
      <c r="D4" s="256"/>
      <c r="E4" s="256"/>
      <c r="F4" s="256"/>
      <c r="G4" s="256"/>
      <c r="H4" s="256"/>
      <c r="I4" s="256"/>
      <c r="J4" s="257"/>
      <c r="K4" s="1"/>
      <c r="L4" s="187"/>
      <c r="M4" s="188"/>
    </row>
    <row r="5" spans="3:13" ht="26.4" thickBot="1">
      <c r="C5" s="189"/>
      <c r="D5" s="190"/>
      <c r="E5" s="190"/>
      <c r="F5" s="190"/>
      <c r="G5" s="190"/>
      <c r="H5" s="190"/>
      <c r="I5" s="190"/>
      <c r="J5" s="19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25" t="s">
        <v>23</v>
      </c>
      <c r="E7" s="246" t="s">
        <v>72</v>
      </c>
      <c r="F7" s="8" t="s">
        <v>37</v>
      </c>
      <c r="G7" s="225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26"/>
      <c r="E8" s="247"/>
      <c r="F8" s="55"/>
      <c r="G8" s="226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26"/>
      <c r="E9" s="247"/>
      <c r="F9" s="64"/>
      <c r="G9" s="226"/>
      <c r="H9" s="63"/>
      <c r="I9" s="63"/>
      <c r="J9" s="63"/>
      <c r="K9" s="1"/>
      <c r="L9" s="63"/>
      <c r="M9" s="70"/>
    </row>
    <row r="10" spans="3:13" ht="26.4" thickBot="1">
      <c r="C10" s="46"/>
      <c r="D10" s="226"/>
      <c r="E10" s="247"/>
      <c r="F10" s="55"/>
      <c r="G10" s="226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26"/>
      <c r="E11" s="247"/>
      <c r="F11" s="64"/>
      <c r="G11" s="226"/>
      <c r="H11" s="63"/>
      <c r="I11" s="63"/>
      <c r="J11" s="63"/>
      <c r="K11" s="1"/>
      <c r="L11" s="63"/>
      <c r="M11" s="63"/>
    </row>
    <row r="12" spans="3:13" ht="26.4" thickBot="1">
      <c r="C12" s="46"/>
      <c r="D12" s="226"/>
      <c r="E12" s="247"/>
      <c r="F12" s="55"/>
      <c r="G12" s="226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26"/>
      <c r="E13" s="247"/>
      <c r="F13" s="64"/>
      <c r="G13" s="226"/>
      <c r="H13" s="63"/>
      <c r="I13" s="63"/>
      <c r="J13" s="63"/>
      <c r="K13" s="1"/>
      <c r="L13" s="63"/>
      <c r="M13" s="63"/>
    </row>
    <row r="14" spans="3:13" ht="26.4" thickBot="1">
      <c r="C14" s="46"/>
      <c r="D14" s="226"/>
      <c r="E14" s="247"/>
      <c r="F14" s="55"/>
      <c r="G14" s="226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26"/>
      <c r="E15" s="247"/>
      <c r="F15" s="143"/>
      <c r="G15" s="226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26"/>
      <c r="E16" s="247"/>
      <c r="F16" s="143"/>
      <c r="G16" s="226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26"/>
      <c r="E17" s="247"/>
      <c r="F17" s="143"/>
      <c r="G17" s="226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26"/>
      <c r="E18" s="247"/>
      <c r="F18" s="143"/>
      <c r="G18" s="226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26"/>
      <c r="E19" s="247"/>
      <c r="F19" s="143"/>
      <c r="G19" s="226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26"/>
      <c r="E20" s="247"/>
      <c r="F20" s="143"/>
      <c r="G20" s="226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26"/>
      <c r="E21" s="247"/>
      <c r="F21" s="8"/>
      <c r="G21" s="226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26"/>
      <c r="E22" s="247"/>
      <c r="F22" s="8"/>
      <c r="G22" s="226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26"/>
      <c r="E23" s="247"/>
      <c r="F23" s="8"/>
      <c r="G23" s="226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26"/>
      <c r="E24" s="247"/>
      <c r="F24" s="8"/>
      <c r="G24" s="226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26"/>
      <c r="E25" s="247"/>
      <c r="F25" s="8"/>
      <c r="G25" s="226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26"/>
      <c r="E26" s="247"/>
      <c r="F26" s="8"/>
      <c r="G26" s="226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26"/>
      <c r="E27" s="247"/>
      <c r="F27" s="8"/>
      <c r="G27" s="22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6"/>
      <c r="E28" s="247"/>
      <c r="F28" s="8"/>
      <c r="G28" s="22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6"/>
      <c r="E29" s="247"/>
      <c r="F29" s="8"/>
      <c r="G29" s="22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6"/>
      <c r="E30" s="247"/>
      <c r="F30" s="8"/>
      <c r="G30" s="22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6"/>
      <c r="E31" s="247"/>
      <c r="F31" s="8"/>
      <c r="G31" s="22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6"/>
      <c r="E32" s="247"/>
      <c r="F32" s="8"/>
      <c r="G32" s="22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6"/>
      <c r="E33" s="247"/>
      <c r="F33" s="8"/>
      <c r="G33" s="22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6"/>
      <c r="E34" s="247"/>
      <c r="F34" s="8"/>
      <c r="G34" s="22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6"/>
      <c r="E35" s="247"/>
      <c r="F35" s="8"/>
      <c r="G35" s="22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6"/>
      <c r="E36" s="247"/>
      <c r="F36" s="8"/>
      <c r="G36" s="22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7"/>
      <c r="E37" s="248"/>
      <c r="F37" s="9"/>
      <c r="G37" s="227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36" priority="6" operator="containsText" text="Light Blue">
      <formula>NOT(ISERROR(SEARCH("Light Blue",F7)))</formula>
    </cfRule>
    <cfRule type="containsText" dxfId="35" priority="16" operator="containsText" text="Orange">
      <formula>NOT(ISERROR(SEARCH("Orange",F7)))</formula>
    </cfRule>
    <cfRule type="containsText" dxfId="34" priority="17" operator="containsText" text="Purple">
      <formula>NOT(ISERROR(SEARCH("Purple",F7)))</formula>
    </cfRule>
  </conditionalFormatting>
  <conditionalFormatting sqref="F7:F37">
    <cfRule type="containsText" dxfId="33" priority="4" operator="containsText" text="Light Blue">
      <formula>NOT(ISERROR(SEARCH("Light Blue",F7)))</formula>
    </cfRule>
    <cfRule type="containsText" dxfId="32" priority="7" operator="containsText" text="Dark Blue">
      <formula>NOT(ISERROR(SEARCH("Dark Blue",F7)))</formula>
    </cfRule>
    <cfRule type="containsText" dxfId="31" priority="8" operator="containsText" text="Blue">
      <formula>NOT(ISERROR(SEARCH("Blue",F7)))</formula>
    </cfRule>
    <cfRule type="containsText" dxfId="30" priority="9" operator="containsText" text="Yellow">
      <formula>NOT(ISERROR(SEARCH("Yellow",F7)))</formula>
    </cfRule>
    <cfRule type="containsText" dxfId="29" priority="10" operator="containsText" text="Light Blue">
      <formula>NOT(ISERROR(SEARCH("Light Blue",F7)))</formula>
    </cfRule>
    <cfRule type="containsText" dxfId="28" priority="11" operator="containsText" text="Dark Green">
      <formula>NOT(ISERROR(SEARCH("Dark Green",F7)))</formula>
    </cfRule>
    <cfRule type="containsText" dxfId="27" priority="12" operator="containsText" text="Brown">
      <formula>NOT(ISERROR(SEARCH("Brown",F7)))</formula>
    </cfRule>
    <cfRule type="containsText" dxfId="26" priority="13" operator="containsText" text="Green">
      <formula>NOT(ISERROR(SEARCH("Green",F7)))</formula>
    </cfRule>
    <cfRule type="containsText" dxfId="25" priority="14" operator="containsText" text="Red">
      <formula>NOT(ISERROR(SEARCH("Red",F7)))</formula>
    </cfRule>
    <cfRule type="containsText" dxfId="24" priority="15" operator="containsText" text="Gray">
      <formula>NOT(ISERROR(SEARCH("Gray",F7)))</formula>
    </cfRule>
  </conditionalFormatting>
  <conditionalFormatting sqref="F8">
    <cfRule type="containsText" dxfId="23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2" priority="3" operator="containsText" text="wHITE">
      <formula>NOT(ISERROR(SEARCH("wHITE",F19)))</formula>
    </cfRule>
  </conditionalFormatting>
  <conditionalFormatting sqref="F7:F37">
    <cfRule type="containsText" dxfId="21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opLeftCell="A48" zoomScale="70" zoomScaleNormal="70" workbookViewId="0">
      <selection activeCell="M61" sqref="M6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49" t="s">
        <v>77</v>
      </c>
      <c r="D2" s="250"/>
      <c r="E2" s="250"/>
      <c r="F2" s="250"/>
      <c r="G2" s="250"/>
      <c r="H2" s="250"/>
      <c r="I2" s="250"/>
      <c r="J2" s="251"/>
      <c r="K2" s="1"/>
    </row>
    <row r="3" spans="3:13" ht="27.75" customHeight="1" thickBot="1">
      <c r="C3" s="252"/>
      <c r="D3" s="253"/>
      <c r="E3" s="253"/>
      <c r="F3" s="253"/>
      <c r="G3" s="253"/>
      <c r="H3" s="253"/>
      <c r="I3" s="253"/>
      <c r="J3" s="254"/>
      <c r="K3" s="1"/>
      <c r="L3" s="185" t="s">
        <v>16</v>
      </c>
      <c r="M3" s="186"/>
    </row>
    <row r="4" spans="3:13" ht="27.75" customHeight="1" thickTop="1" thickBot="1">
      <c r="C4" s="255"/>
      <c r="D4" s="256"/>
      <c r="E4" s="256"/>
      <c r="F4" s="256"/>
      <c r="G4" s="256"/>
      <c r="H4" s="256"/>
      <c r="I4" s="256"/>
      <c r="J4" s="257"/>
      <c r="K4" s="1"/>
      <c r="L4" s="187"/>
      <c r="M4" s="188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4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205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205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205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205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205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205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205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205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205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205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205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205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205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205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205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205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205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205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205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205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205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205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205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205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205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205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205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205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205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205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205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205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205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205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205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205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205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205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205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205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205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205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205"/>
      <c r="E50" s="113" t="s">
        <v>72</v>
      </c>
      <c r="F50" s="113" t="s">
        <v>86</v>
      </c>
      <c r="G50" s="113" t="s">
        <v>83</v>
      </c>
      <c r="H50" s="54" t="s">
        <v>66</v>
      </c>
      <c r="I50" s="113">
        <v>1417</v>
      </c>
      <c r="J50" s="113">
        <v>1416</v>
      </c>
      <c r="L50" s="113"/>
      <c r="M50" s="113"/>
    </row>
    <row r="51" spans="3:13" ht="26.4" thickBot="1">
      <c r="C51" s="67">
        <v>46159</v>
      </c>
      <c r="D51" s="205"/>
      <c r="E51" s="113" t="s">
        <v>72</v>
      </c>
      <c r="F51" s="113" t="s">
        <v>86</v>
      </c>
      <c r="G51" s="113" t="s">
        <v>83</v>
      </c>
      <c r="H51" s="54" t="s">
        <v>66</v>
      </c>
      <c r="I51" s="113">
        <v>1416</v>
      </c>
      <c r="J51" s="113">
        <v>1414</v>
      </c>
      <c r="L51" s="113"/>
      <c r="M51" s="113"/>
    </row>
    <row r="52" spans="3:13" ht="26.4" thickBot="1">
      <c r="C52" s="67">
        <v>46159</v>
      </c>
      <c r="D52" s="205"/>
      <c r="E52" s="113" t="s">
        <v>78</v>
      </c>
      <c r="F52" s="113" t="s">
        <v>87</v>
      </c>
      <c r="G52" s="113" t="s">
        <v>76</v>
      </c>
      <c r="H52" s="54" t="s">
        <v>66</v>
      </c>
      <c r="I52" s="113">
        <v>1962</v>
      </c>
      <c r="J52" s="113">
        <v>1961</v>
      </c>
      <c r="L52" s="113"/>
      <c r="M52" s="113"/>
    </row>
    <row r="53" spans="3:13" ht="26.4" thickBot="1">
      <c r="C53" s="67">
        <v>46160</v>
      </c>
      <c r="D53" s="205"/>
      <c r="E53" s="113" t="s">
        <v>72</v>
      </c>
      <c r="F53" s="113" t="s">
        <v>86</v>
      </c>
      <c r="G53" s="113" t="s">
        <v>83</v>
      </c>
      <c r="H53" s="54" t="s">
        <v>66</v>
      </c>
      <c r="I53" s="113">
        <v>1414</v>
      </c>
      <c r="J53" s="113">
        <v>1407</v>
      </c>
      <c r="L53" s="113"/>
      <c r="M53" s="113"/>
    </row>
    <row r="54" spans="3:13" ht="26.4" thickBot="1">
      <c r="C54" s="67">
        <v>46160</v>
      </c>
      <c r="D54" s="205"/>
      <c r="E54" s="113" t="s">
        <v>78</v>
      </c>
      <c r="F54" s="113" t="s">
        <v>87</v>
      </c>
      <c r="G54" s="113" t="s">
        <v>76</v>
      </c>
      <c r="H54" s="54" t="s">
        <v>66</v>
      </c>
      <c r="I54" s="113">
        <v>1961</v>
      </c>
      <c r="J54" s="113">
        <v>1958</v>
      </c>
      <c r="L54" s="113"/>
      <c r="M54" s="113"/>
    </row>
    <row r="55" spans="3:13" ht="26.4" thickBot="1">
      <c r="C55" s="67">
        <v>46161</v>
      </c>
      <c r="D55" s="205"/>
      <c r="E55" s="113" t="s">
        <v>72</v>
      </c>
      <c r="F55" s="113" t="s">
        <v>86</v>
      </c>
      <c r="G55" s="113" t="s">
        <v>76</v>
      </c>
      <c r="H55" s="54" t="s">
        <v>66</v>
      </c>
      <c r="I55" s="113">
        <v>1407</v>
      </c>
      <c r="J55" s="113">
        <v>1404</v>
      </c>
      <c r="L55" s="113"/>
      <c r="M55" s="113"/>
    </row>
    <row r="56" spans="3:13" ht="26.4" thickBot="1">
      <c r="C56" s="67">
        <v>46161</v>
      </c>
      <c r="D56" s="205"/>
      <c r="E56" s="113" t="s">
        <v>78</v>
      </c>
      <c r="F56" s="113" t="s">
        <v>87</v>
      </c>
      <c r="G56" s="113" t="s">
        <v>76</v>
      </c>
      <c r="H56" s="54" t="s">
        <v>66</v>
      </c>
      <c r="I56" s="113">
        <v>1958</v>
      </c>
      <c r="J56" s="113">
        <v>1957</v>
      </c>
      <c r="L56" s="113"/>
      <c r="M56" s="113"/>
    </row>
    <row r="57" spans="3:13" ht="26.4" thickBot="1">
      <c r="C57" s="67">
        <v>46162</v>
      </c>
      <c r="D57" s="205"/>
      <c r="E57" s="113" t="s">
        <v>78</v>
      </c>
      <c r="F57" s="113" t="s">
        <v>87</v>
      </c>
      <c r="G57" s="113" t="s">
        <v>76</v>
      </c>
      <c r="H57" s="54" t="s">
        <v>66</v>
      </c>
      <c r="I57" s="113">
        <v>1957</v>
      </c>
      <c r="J57" s="113">
        <v>1955</v>
      </c>
      <c r="L57" s="113"/>
      <c r="M57" s="113"/>
    </row>
    <row r="58" spans="3:13" ht="26.4" thickBot="1">
      <c r="C58" s="67">
        <v>46162</v>
      </c>
      <c r="D58" s="205"/>
      <c r="E58" s="113" t="s">
        <v>72</v>
      </c>
      <c r="F58" s="113" t="s">
        <v>86</v>
      </c>
      <c r="G58" s="113" t="s">
        <v>83</v>
      </c>
      <c r="H58" s="54" t="s">
        <v>66</v>
      </c>
      <c r="I58" s="113">
        <v>1404</v>
      </c>
      <c r="J58" s="113">
        <v>1398</v>
      </c>
      <c r="L58" s="113"/>
      <c r="M58" s="113"/>
    </row>
    <row r="59" spans="3:13" ht="26.4" thickBot="1">
      <c r="C59" s="67">
        <v>46163</v>
      </c>
      <c r="D59" s="205"/>
      <c r="E59" s="113" t="s">
        <v>72</v>
      </c>
      <c r="F59" s="113" t="s">
        <v>86</v>
      </c>
      <c r="G59" s="113" t="s">
        <v>83</v>
      </c>
      <c r="H59" s="54" t="s">
        <v>66</v>
      </c>
      <c r="I59" s="113">
        <v>1398</v>
      </c>
      <c r="J59" s="113">
        <v>1396</v>
      </c>
      <c r="L59" s="113"/>
      <c r="M59" s="113"/>
    </row>
    <row r="60" spans="3:13" ht="26.4" thickBot="1">
      <c r="C60" s="67">
        <v>46163</v>
      </c>
      <c r="D60" s="205"/>
      <c r="E60" s="113" t="s">
        <v>78</v>
      </c>
      <c r="F60" s="113" t="s">
        <v>87</v>
      </c>
      <c r="G60" s="113" t="s">
        <v>83</v>
      </c>
      <c r="H60" s="54" t="s">
        <v>66</v>
      </c>
      <c r="I60" s="113">
        <v>1955</v>
      </c>
      <c r="J60" s="113">
        <v>1954</v>
      </c>
      <c r="L60" s="113"/>
      <c r="M60" s="113"/>
    </row>
    <row r="61" spans="3:13" ht="25.8">
      <c r="C61" s="113"/>
      <c r="D61" s="205"/>
      <c r="E61" s="113"/>
      <c r="F61" s="113"/>
      <c r="G61" s="113"/>
      <c r="H61" s="113"/>
      <c r="I61" s="113"/>
      <c r="J61" s="113"/>
      <c r="L61" s="113"/>
      <c r="M61" s="113"/>
    </row>
    <row r="62" spans="3:13" ht="25.8">
      <c r="C62" s="113"/>
      <c r="D62" s="205"/>
      <c r="E62" s="113"/>
      <c r="F62" s="113"/>
      <c r="G62" s="113"/>
      <c r="H62" s="113"/>
      <c r="I62" s="113"/>
      <c r="J62" s="113"/>
      <c r="L62" s="113"/>
      <c r="M62" s="113"/>
    </row>
    <row r="63" spans="3:13" ht="25.8">
      <c r="C63" s="113"/>
      <c r="D63" s="205"/>
      <c r="E63" s="113"/>
      <c r="F63" s="113"/>
      <c r="G63" s="113"/>
      <c r="H63" s="113"/>
      <c r="I63" s="113"/>
      <c r="J63" s="113"/>
      <c r="L63" s="113"/>
      <c r="M63" s="113"/>
    </row>
    <row r="64" spans="3:13" ht="25.8">
      <c r="C64" s="113"/>
      <c r="D64" s="205"/>
      <c r="E64" s="113"/>
      <c r="F64" s="113"/>
      <c r="G64" s="113"/>
      <c r="H64" s="113"/>
      <c r="I64" s="113"/>
      <c r="J64" s="113"/>
      <c r="L64" s="113"/>
      <c r="M64" s="113"/>
    </row>
    <row r="65" spans="3:13" ht="25.8">
      <c r="C65" s="113"/>
      <c r="D65" s="205"/>
      <c r="E65" s="113"/>
      <c r="F65" s="113"/>
      <c r="G65" s="113"/>
      <c r="H65" s="113"/>
      <c r="I65" s="113"/>
      <c r="J65" s="113"/>
      <c r="L65" s="113"/>
      <c r="M65" s="113"/>
    </row>
    <row r="66" spans="3:13" ht="25.8">
      <c r="C66" s="113"/>
      <c r="D66" s="205"/>
      <c r="E66" s="113"/>
      <c r="F66" s="113"/>
      <c r="G66" s="113"/>
      <c r="H66" s="113"/>
      <c r="I66" s="113"/>
      <c r="J66" s="113"/>
      <c r="L66" s="113"/>
      <c r="M66" s="113"/>
    </row>
    <row r="67" spans="3:13" ht="25.8">
      <c r="C67" s="113"/>
      <c r="D67" s="205"/>
      <c r="E67" s="113"/>
      <c r="F67" s="113"/>
      <c r="G67" s="113"/>
      <c r="H67" s="113"/>
      <c r="I67" s="113"/>
      <c r="J67" s="113"/>
      <c r="L67" s="113"/>
      <c r="M67" s="113"/>
    </row>
    <row r="68" spans="3:13" ht="25.8">
      <c r="C68" s="113"/>
      <c r="D68" s="205"/>
      <c r="E68" s="113"/>
      <c r="F68" s="113"/>
      <c r="G68" s="113"/>
      <c r="H68" s="113"/>
      <c r="I68" s="113"/>
      <c r="J68" s="113"/>
      <c r="L68" s="113"/>
      <c r="M68" s="113"/>
    </row>
    <row r="69" spans="3:13" ht="25.8">
      <c r="C69" s="113"/>
      <c r="D69" s="205"/>
      <c r="E69" s="113"/>
      <c r="F69" s="113"/>
      <c r="G69" s="113"/>
      <c r="H69" s="113"/>
      <c r="I69" s="113"/>
      <c r="J69" s="113"/>
      <c r="L69" s="113"/>
      <c r="M69" s="113"/>
    </row>
    <row r="70" spans="3:13" ht="25.8">
      <c r="C70" s="113"/>
      <c r="D70" s="205"/>
      <c r="E70" s="113"/>
      <c r="F70" s="113"/>
      <c r="G70" s="113"/>
      <c r="H70" s="113"/>
      <c r="I70" s="113"/>
      <c r="J70" s="113"/>
      <c r="L70" s="113"/>
      <c r="M70" s="113"/>
    </row>
    <row r="71" spans="3:13" ht="25.8">
      <c r="C71" s="113"/>
      <c r="D71" s="205"/>
      <c r="E71" s="113"/>
      <c r="F71" s="113"/>
      <c r="G71" s="113"/>
      <c r="H71" s="113"/>
      <c r="I71" s="113"/>
      <c r="J71" s="113"/>
      <c r="L71" s="113"/>
      <c r="M71" s="113"/>
    </row>
    <row r="72" spans="3:13" ht="25.8">
      <c r="C72" s="113"/>
      <c r="D72" s="205"/>
      <c r="E72" s="113"/>
      <c r="F72" s="113"/>
      <c r="G72" s="113"/>
      <c r="H72" s="113"/>
      <c r="I72" s="113"/>
      <c r="J72" s="113"/>
      <c r="L72" s="113"/>
      <c r="M72" s="113"/>
    </row>
    <row r="73" spans="3:13" ht="25.8">
      <c r="C73" s="113"/>
      <c r="D73" s="206"/>
      <c r="E73" s="113"/>
      <c r="F73" s="113"/>
      <c r="G73" s="113"/>
      <c r="H73" s="113"/>
      <c r="I73" s="113"/>
      <c r="J73" s="113"/>
      <c r="L73" s="113"/>
      <c r="M73" s="113"/>
    </row>
  </sheetData>
  <mergeCells count="3">
    <mergeCell ref="C2:J4"/>
    <mergeCell ref="L3:M4"/>
    <mergeCell ref="D7:D73"/>
  </mergeCells>
  <conditionalFormatting sqref="F7:F37">
    <cfRule type="containsText" dxfId="20" priority="11" operator="containsText" text="Light Blue">
      <formula>NOT(ISERROR(SEARCH("Light Blue",F7)))</formula>
    </cfRule>
    <cfRule type="containsText" dxfId="19" priority="21" operator="containsText" text="Orange">
      <formula>NOT(ISERROR(SEARCH("Orange",F7)))</formula>
    </cfRule>
    <cfRule type="containsText" dxfId="18" priority="22" operator="containsText" text="Purple">
      <formula>NOT(ISERROR(SEARCH("Purple",F7)))</formula>
    </cfRule>
  </conditionalFormatting>
  <conditionalFormatting sqref="F7:F37">
    <cfRule type="containsText" dxfId="17" priority="9" operator="containsText" text="Light Blue">
      <formula>NOT(ISERROR(SEARCH("Light Blue",F7)))</formula>
    </cfRule>
    <cfRule type="containsText" dxfId="16" priority="12" operator="containsText" text="Dark Blue">
      <formula>NOT(ISERROR(SEARCH("Dark Blue",F7)))</formula>
    </cfRule>
    <cfRule type="containsText" dxfId="15" priority="13" operator="containsText" text="Blue">
      <formula>NOT(ISERROR(SEARCH("Blue",F7)))</formula>
    </cfRule>
    <cfRule type="containsText" dxfId="14" priority="14" operator="containsText" text="Yellow">
      <formula>NOT(ISERROR(SEARCH("Yellow",F7)))</formula>
    </cfRule>
    <cfRule type="containsText" dxfId="13" priority="15" operator="containsText" text="Light Blue">
      <formula>NOT(ISERROR(SEARCH("Light Blue",F7)))</formula>
    </cfRule>
    <cfRule type="containsText" dxfId="12" priority="16" operator="containsText" text="Dark Green">
      <formula>NOT(ISERROR(SEARCH("Dark Green",F7)))</formula>
    </cfRule>
    <cfRule type="containsText" dxfId="11" priority="17" operator="containsText" text="Brown">
      <formula>NOT(ISERROR(SEARCH("Brown",F7)))</formula>
    </cfRule>
    <cfRule type="containsText" dxfId="10" priority="18" operator="containsText" text="Green">
      <formula>NOT(ISERROR(SEARCH("Green",F7)))</formula>
    </cfRule>
    <cfRule type="containsText" dxfId="9" priority="19" operator="containsText" text="Red">
      <formula>NOT(ISERROR(SEARCH("Red",F7)))</formula>
    </cfRule>
    <cfRule type="containsText" dxfId="8" priority="20" operator="containsText" text="Gray">
      <formula>NOT(ISERROR(SEARCH("Gray",F7)))</formula>
    </cfRule>
  </conditionalFormatting>
  <conditionalFormatting sqref="F8">
    <cfRule type="containsText" dxfId="7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6" priority="8" operator="containsText" text="wHITE">
      <formula>NOT(ISERROR(SEARCH("wHITE",F19)))</formula>
    </cfRule>
  </conditionalFormatting>
  <conditionalFormatting sqref="F7:F37">
    <cfRule type="containsText" dxfId="5" priority="6" operator="containsText" text="White">
      <formula>NOT(ISERROR(SEARCH("White",F7)))</formula>
    </cfRule>
  </conditionalFormatting>
  <conditionalFormatting sqref="F1:F1048576">
    <cfRule type="containsText" dxfId="4" priority="1" operator="containsText" text="CW641">
      <formula>NOT(ISERROR(SEARCH("CW641",F1)))</formula>
    </cfRule>
    <cfRule type="containsText" dxfId="3" priority="2" operator="containsText" text="QC">
      <formula>NOT(ISERROR(SEARCH("QC",F1)))</formula>
    </cfRule>
    <cfRule type="containsText" dxfId="2" priority="3" operator="containsText" text="White">
      <formula>NOT(ISERROR(SEARCH("White",F1)))</formula>
    </cfRule>
    <cfRule type="containsText" dxfId="1" priority="4" operator="containsText" text="QC">
      <formula>NOT(ISERROR(SEARCH("QC",F1)))</formula>
    </cfRule>
    <cfRule type="containsText" dxfId="0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76" t="s">
        <v>3</v>
      </c>
      <c r="H1" s="276"/>
      <c r="I1" s="276" t="s">
        <v>2</v>
      </c>
      <c r="J1" s="276"/>
      <c r="K1" s="276" t="s">
        <v>5</v>
      </c>
      <c r="L1" s="276"/>
      <c r="M1" s="276" t="s">
        <v>60</v>
      </c>
      <c r="N1" s="277"/>
      <c r="O1" s="276" t="s">
        <v>4</v>
      </c>
      <c r="P1" s="276"/>
      <c r="Q1" s="285" t="s">
        <v>79</v>
      </c>
      <c r="R1" s="276"/>
      <c r="S1" s="97"/>
      <c r="T1" s="98"/>
      <c r="U1" s="98"/>
    </row>
    <row r="2" spans="4:21" ht="15" customHeight="1">
      <c r="D2" s="93"/>
      <c r="E2" s="93"/>
      <c r="F2" s="93"/>
      <c r="G2" s="276"/>
      <c r="H2" s="276"/>
      <c r="I2" s="276"/>
      <c r="J2" s="276"/>
      <c r="K2" s="276"/>
      <c r="L2" s="276"/>
      <c r="M2" s="276"/>
      <c r="N2" s="277"/>
      <c r="O2" s="276"/>
      <c r="P2" s="276"/>
      <c r="Q2" s="285"/>
      <c r="R2" s="276"/>
      <c r="S2" s="97"/>
      <c r="T2" s="98"/>
      <c r="U2" s="98"/>
    </row>
    <row r="3" spans="4:21" ht="15" customHeight="1">
      <c r="D3" s="93"/>
      <c r="E3" s="93"/>
      <c r="F3" s="93"/>
      <c r="G3" s="276" t="s">
        <v>28</v>
      </c>
      <c r="H3" s="276"/>
      <c r="I3" s="277" t="s">
        <v>28</v>
      </c>
      <c r="J3" s="285"/>
      <c r="K3" s="277" t="s">
        <v>28</v>
      </c>
      <c r="L3" s="285"/>
      <c r="M3" s="276" t="s">
        <v>61</v>
      </c>
      <c r="N3" s="277"/>
      <c r="O3" s="276" t="s">
        <v>46</v>
      </c>
      <c r="P3" s="276"/>
      <c r="Q3" s="285" t="s">
        <v>78</v>
      </c>
      <c r="R3" s="276"/>
      <c r="S3" s="97"/>
      <c r="T3" s="98"/>
      <c r="U3" s="98"/>
    </row>
    <row r="4" spans="4:21" ht="15" customHeight="1">
      <c r="D4" s="93"/>
      <c r="E4" s="93"/>
      <c r="F4" s="93"/>
      <c r="G4" s="262" cm="1">
        <f t="array" ref="G4">LOOKUP(2,1/(Chicken!F:F="Purple"),Chicken!J:J)</f>
        <v>41312</v>
      </c>
      <c r="H4" s="262"/>
      <c r="I4" s="262" cm="1">
        <f t="array" ref="I4">LOOKUP(2,1/(COW!F:F="Purple"),COW!J:J)</f>
        <v>32066</v>
      </c>
      <c r="J4" s="262"/>
      <c r="K4" s="262" cm="1">
        <f t="array" ref="K4">LOOKUP(2,1/(WithOut!F:F="Purple (10)"),WithOut!J:J)</f>
        <v>7466</v>
      </c>
      <c r="L4" s="262"/>
      <c r="M4" s="262">
        <f>LOOKUP(2,1/(Plastic!F:F="Purple Popp"),Plastic!J:J)</f>
        <v>6208</v>
      </c>
      <c r="N4" s="263"/>
      <c r="O4" s="300">
        <f>LOOKUP(2,1/(Koptimix!F:F="Red Black(1i)"),Koptimix!J:J)</f>
        <v>27016</v>
      </c>
      <c r="P4" s="300"/>
      <c r="Q4" s="293">
        <f>LOOKUP(2,1/(Roll!F:F="CW641"),Roll!J:J)</f>
        <v>1954</v>
      </c>
      <c r="R4" s="262"/>
      <c r="S4" s="97"/>
      <c r="T4" s="97"/>
      <c r="U4" s="97"/>
    </row>
    <row r="5" spans="4:21" ht="15" customHeight="1">
      <c r="D5" s="93"/>
      <c r="E5" s="93"/>
      <c r="F5" s="93"/>
      <c r="G5" s="262"/>
      <c r="H5" s="262"/>
      <c r="I5" s="262"/>
      <c r="J5" s="262"/>
      <c r="K5" s="262"/>
      <c r="L5" s="262"/>
      <c r="M5" s="262"/>
      <c r="N5" s="263"/>
      <c r="O5" s="300"/>
      <c r="P5" s="300"/>
      <c r="Q5" s="293"/>
      <c r="R5" s="262"/>
      <c r="S5" s="97"/>
      <c r="T5" s="97"/>
      <c r="U5" s="97"/>
    </row>
    <row r="6" spans="4:21" ht="15" customHeight="1">
      <c r="D6" s="93"/>
      <c r="E6" s="93"/>
      <c r="F6" s="93"/>
      <c r="G6" s="278" t="s">
        <v>30</v>
      </c>
      <c r="H6" s="278"/>
      <c r="I6" s="279" t="s">
        <v>36</v>
      </c>
      <c r="J6" s="286"/>
      <c r="K6" s="279" t="s">
        <v>36</v>
      </c>
      <c r="L6" s="286"/>
      <c r="M6" s="278" t="s">
        <v>64</v>
      </c>
      <c r="N6" s="279"/>
      <c r="O6" s="278" t="s">
        <v>47</v>
      </c>
      <c r="P6" s="278"/>
      <c r="Q6" s="286" t="s">
        <v>72</v>
      </c>
      <c r="R6" s="278"/>
      <c r="S6" s="97"/>
      <c r="T6" s="97"/>
      <c r="U6" s="97"/>
    </row>
    <row r="7" spans="4:21" ht="15" customHeight="1">
      <c r="D7" s="93"/>
      <c r="E7" s="93"/>
      <c r="F7" s="93"/>
      <c r="G7" s="274" cm="1">
        <f t="array" ref="G7">LOOKUP(2,1/(Chicken!F:F="Orange"),Chicken!J:J)</f>
        <v>59</v>
      </c>
      <c r="H7" s="274"/>
      <c r="I7" s="268" cm="1">
        <f t="array" ref="I7">LOOKUP(2,1/(COW!F:F="Red"),COW!J:J)</f>
        <v>4542</v>
      </c>
      <c r="J7" s="268"/>
      <c r="K7" s="268" cm="1">
        <f t="array" ref="K7">LOOKUP(2,1/(WithOut!F:F="Red"),WithOut!J:J)</f>
        <v>23928</v>
      </c>
      <c r="L7" s="268"/>
      <c r="M7" s="264">
        <f>LOOKUP(2,1/(Plastic!F:F="Blue Popp"),Plastic!J:J)</f>
        <v>7150</v>
      </c>
      <c r="N7" s="265"/>
      <c r="O7" s="300">
        <f>LOOKUP(2,1/(Koptimix!F:F="Blue Green(1J)"),Koptimix!J:J)</f>
        <v>25695</v>
      </c>
      <c r="P7" s="300"/>
      <c r="Q7" s="294">
        <f>LOOKUP(2,1/(Roll!F:F="Green+"),Roll!J:J)</f>
        <v>1396</v>
      </c>
      <c r="R7" s="272"/>
      <c r="S7" s="94"/>
      <c r="T7" s="94"/>
      <c r="U7" s="94"/>
    </row>
    <row r="8" spans="4:21" ht="15" customHeight="1">
      <c r="D8" s="93"/>
      <c r="E8" s="93"/>
      <c r="F8" s="93"/>
      <c r="G8" s="274"/>
      <c r="H8" s="274"/>
      <c r="I8" s="268"/>
      <c r="J8" s="268"/>
      <c r="K8" s="268"/>
      <c r="L8" s="268"/>
      <c r="M8" s="264"/>
      <c r="N8" s="265"/>
      <c r="O8" s="300"/>
      <c r="P8" s="300"/>
      <c r="Q8" s="294"/>
      <c r="R8" s="272"/>
      <c r="S8" s="95"/>
      <c r="T8" s="100"/>
      <c r="U8" s="100"/>
    </row>
    <row r="9" spans="4:21" s="40" customFormat="1" ht="15" customHeight="1">
      <c r="G9" s="260" t="s">
        <v>88</v>
      </c>
      <c r="H9" s="260"/>
      <c r="I9" s="260" t="s">
        <v>30</v>
      </c>
      <c r="J9" s="260"/>
      <c r="K9" s="260" t="s">
        <v>30</v>
      </c>
      <c r="L9" s="260"/>
      <c r="M9" s="260" t="s">
        <v>65</v>
      </c>
      <c r="N9" s="261"/>
      <c r="O9" s="260" t="s">
        <v>48</v>
      </c>
      <c r="P9" s="260"/>
      <c r="Q9" s="296" t="s">
        <v>80</v>
      </c>
      <c r="R9" s="260"/>
      <c r="S9" s="95"/>
      <c r="T9" s="100"/>
      <c r="U9" s="100"/>
    </row>
    <row r="10" spans="4:21" ht="15" customHeight="1">
      <c r="D10" s="93"/>
      <c r="E10" s="93"/>
      <c r="F10" s="93"/>
      <c r="G10" s="287" cm="1">
        <f t="array" ref="G10">LOOKUP(2,1/(Chicken!F:F="Orange (13)"),Chicken!J:J)</f>
        <v>0</v>
      </c>
      <c r="H10" s="287"/>
      <c r="I10" s="274" cm="1">
        <f t="array" ref="I10">LOOKUP(2,1/(COW!F:F="Orange"),COW!J:J)</f>
        <v>3626</v>
      </c>
      <c r="J10" s="274"/>
      <c r="K10" s="274" cm="1">
        <f t="array" ref="K10">LOOKUP(2,1/(WithOut!F:F="Orange (10)"),WithOut!J:J)</f>
        <v>7450</v>
      </c>
      <c r="L10" s="274"/>
      <c r="M10" s="272">
        <f>LOOKUP(2,1/(Plastic!F:F="Green Popp"),Plastic!J:J)</f>
        <v>7092</v>
      </c>
      <c r="N10" s="273"/>
      <c r="O10" s="300" cm="1">
        <f t="array" ref="O10">LOOKUP(2,1/(Koptimix!F:F="Blue Black(1H)"),Koptimix!J:J)</f>
        <v>9176</v>
      </c>
      <c r="P10" s="300"/>
      <c r="Q10" s="298">
        <f>LOOKUP(2,1/(Roll!F:F="Green"),Roll!J:J)</f>
        <v>370</v>
      </c>
      <c r="R10" s="270"/>
      <c r="S10" s="102"/>
      <c r="T10" s="103"/>
      <c r="U10" s="103"/>
    </row>
    <row r="11" spans="4:21" ht="15" customHeight="1">
      <c r="D11" s="93"/>
      <c r="E11" s="93"/>
      <c r="F11" s="93"/>
      <c r="G11" s="287"/>
      <c r="H11" s="287"/>
      <c r="I11" s="274"/>
      <c r="J11" s="274"/>
      <c r="K11" s="274"/>
      <c r="L11" s="274"/>
      <c r="M11" s="272"/>
      <c r="N11" s="273"/>
      <c r="O11" s="300"/>
      <c r="P11" s="300"/>
      <c r="Q11" s="298"/>
      <c r="R11" s="270"/>
      <c r="S11" s="102"/>
      <c r="T11" s="103"/>
      <c r="U11" s="103"/>
    </row>
    <row r="12" spans="4:21" s="40" customFormat="1" ht="15" customHeight="1">
      <c r="G12" s="260" t="s">
        <v>34</v>
      </c>
      <c r="H12" s="260"/>
      <c r="I12" s="260" t="s">
        <v>24</v>
      </c>
      <c r="J12" s="260"/>
      <c r="K12" s="260" t="s">
        <v>24</v>
      </c>
      <c r="L12" s="260"/>
      <c r="M12" s="260" t="s">
        <v>90</v>
      </c>
      <c r="N12" s="261"/>
      <c r="O12" s="260" t="s">
        <v>50</v>
      </c>
      <c r="P12" s="260"/>
      <c r="Q12" s="296" t="s">
        <v>80</v>
      </c>
      <c r="R12" s="260"/>
      <c r="S12" s="102"/>
      <c r="T12" s="103"/>
      <c r="U12" s="103"/>
    </row>
    <row r="13" spans="4:21" ht="15" customHeight="1">
      <c r="D13" s="93"/>
      <c r="E13" s="93"/>
      <c r="F13" s="93"/>
      <c r="G13" s="274" cm="1">
        <f t="array" ref="G13">LOOKUP(2,1/(Chicken!F:F="Orange (70*45)"),Chicken!J:J)</f>
        <v>210</v>
      </c>
      <c r="H13" s="274"/>
      <c r="I13" s="258" cm="1">
        <f t="array" ref="I13">LOOKUP(2,1/(COW!F:F="Blue"),COW!J:J)</f>
        <v>47153</v>
      </c>
      <c r="J13" s="258"/>
      <c r="K13" s="258" cm="1">
        <f t="array" ref="K13">LOOKUP(2,1/(WithOut!F:F="Blue"),WithOut!J:J)</f>
        <v>6397</v>
      </c>
      <c r="L13" s="258"/>
      <c r="M13" s="274">
        <f>LOOKUP(2,1/(Plastic!F:F="White 25G"),Plastic!J:J)</f>
        <v>998</v>
      </c>
      <c r="N13" s="275"/>
      <c r="O13" s="300" cm="1">
        <f t="array" ref="O13">LOOKUP(2,1/(Koptimix!F:F="Red Dark Blue(1E)"),Koptimix!J:J)</f>
        <v>41655</v>
      </c>
      <c r="P13" s="300"/>
      <c r="Q13" s="299">
        <f>LOOKUP(2,1/(Roll!F:F="Blue"),Roll!J:J)</f>
        <v>393</v>
      </c>
      <c r="R13" s="258"/>
      <c r="S13" s="102"/>
      <c r="T13" s="103"/>
      <c r="U13" s="103"/>
    </row>
    <row r="14" spans="4:21" ht="15" customHeight="1">
      <c r="D14" s="93"/>
      <c r="E14" s="93"/>
      <c r="F14" s="93"/>
      <c r="G14" s="274"/>
      <c r="H14" s="274"/>
      <c r="I14" s="258"/>
      <c r="J14" s="258"/>
      <c r="K14" s="258"/>
      <c r="L14" s="258"/>
      <c r="M14" s="274"/>
      <c r="N14" s="275"/>
      <c r="O14" s="300"/>
      <c r="P14" s="300"/>
      <c r="Q14" s="299"/>
      <c r="R14" s="258"/>
      <c r="S14" s="94"/>
      <c r="T14" s="94"/>
      <c r="U14" s="94"/>
    </row>
    <row r="15" spans="4:21" s="40" customFormat="1" ht="15" customHeight="1">
      <c r="G15" s="260" t="s">
        <v>31</v>
      </c>
      <c r="H15" s="260"/>
      <c r="I15" s="260" t="s">
        <v>38</v>
      </c>
      <c r="J15" s="260"/>
      <c r="K15" s="260" t="s">
        <v>42</v>
      </c>
      <c r="L15" s="260"/>
      <c r="M15" s="260" t="s">
        <v>91</v>
      </c>
      <c r="N15" s="261"/>
      <c r="O15" s="260" t="s">
        <v>49</v>
      </c>
      <c r="P15" s="260"/>
      <c r="Q15" s="296" t="s">
        <v>81</v>
      </c>
      <c r="R15" s="260"/>
      <c r="S15" s="94"/>
      <c r="T15" s="94"/>
      <c r="U15" s="94"/>
    </row>
    <row r="16" spans="4:21" ht="15" customHeight="1">
      <c r="D16" s="93"/>
      <c r="E16" s="93"/>
      <c r="F16" s="93"/>
      <c r="G16" s="266" cm="1">
        <f t="array" ref="G16">LOOKUP(2,1/(Chicken!F:F="Gray"),Chicken!J:J)</f>
        <v>6887</v>
      </c>
      <c r="H16" s="266"/>
      <c r="I16" s="272" cm="1">
        <f t="array" ref="I16">LOOKUP(2,1/(COW!F:F="Dark Green"),COW!J:J)</f>
        <v>38033</v>
      </c>
      <c r="J16" s="272"/>
      <c r="K16" s="284" cm="1">
        <f t="array" ref="K16">LOOKUP(2,1/(WithOut!F:F="Brown"),WithOut!J:J)</f>
        <v>5223</v>
      </c>
      <c r="L16" s="284"/>
      <c r="M16" s="266">
        <f>LOOKUP(2,1/(Plastic!F:F="White 50G"),Plastic!J:J)</f>
        <v>1680</v>
      </c>
      <c r="N16" s="267"/>
      <c r="O16" s="300" cm="1">
        <f t="array" ref="O16">LOOKUP(2,1/(Koptimix!F:F="Blue Gray(1A)"),Koptimix!J:J)</f>
        <v>8004</v>
      </c>
      <c r="P16" s="300"/>
      <c r="Q16" s="295">
        <f>LOOKUP(2,1/(Roll!F:F="QC"),Roll!J:J)</f>
        <v>105</v>
      </c>
      <c r="R16" s="266"/>
      <c r="S16" s="94"/>
      <c r="T16" s="94"/>
      <c r="U16" s="94"/>
    </row>
    <row r="17" spans="4:21" ht="15" customHeight="1">
      <c r="D17" s="93"/>
      <c r="E17" s="93"/>
      <c r="F17" s="93"/>
      <c r="G17" s="266"/>
      <c r="H17" s="266"/>
      <c r="I17" s="272"/>
      <c r="J17" s="272"/>
      <c r="K17" s="284"/>
      <c r="L17" s="284"/>
      <c r="M17" s="266"/>
      <c r="N17" s="267"/>
      <c r="O17" s="300"/>
      <c r="P17" s="300"/>
      <c r="Q17" s="295"/>
      <c r="R17" s="266"/>
      <c r="S17" s="94"/>
      <c r="T17" s="94"/>
      <c r="U17" s="94"/>
    </row>
    <row r="18" spans="4:21" s="40" customFormat="1" ht="15" customHeight="1">
      <c r="G18" s="260" t="s">
        <v>36</v>
      </c>
      <c r="H18" s="260"/>
      <c r="I18" s="260" t="s">
        <v>45</v>
      </c>
      <c r="J18" s="260"/>
      <c r="K18" s="260" t="s">
        <v>59</v>
      </c>
      <c r="L18" s="260"/>
      <c r="M18" s="260" t="s">
        <v>36</v>
      </c>
      <c r="N18" s="261"/>
      <c r="O18" s="260" t="s">
        <v>51</v>
      </c>
      <c r="P18" s="260"/>
      <c r="Q18" s="296" t="s">
        <v>84</v>
      </c>
      <c r="R18" s="260"/>
      <c r="S18" s="94"/>
      <c r="T18" s="94"/>
      <c r="U18" s="94"/>
    </row>
    <row r="19" spans="4:21" ht="15" customHeight="1">
      <c r="D19" s="93"/>
      <c r="E19" s="93"/>
      <c r="F19" s="93"/>
      <c r="G19" s="268" cm="1">
        <f t="array" ref="G19">LOOKUP(2,1/(Chicken!F:F="Red"),Chicken!J:J)</f>
        <v>1099</v>
      </c>
      <c r="H19" s="268"/>
      <c r="I19" s="272" cm="1">
        <f t="array" ref="I19">LOOKUP(2,1/(COW!F:F="Dark Green(75*50*13)"),COW!J:J)</f>
        <v>905</v>
      </c>
      <c r="J19" s="272"/>
      <c r="K19" s="280" cm="1">
        <f t="array" ref="K19">LOOKUP(2,1/(WithOut!F:F="White"),WithOut!J:J)</f>
        <v>4925</v>
      </c>
      <c r="L19" s="280"/>
      <c r="M19" s="268">
        <f>LOOKUP(2,1/(Plastic!F:F="Red"),Plastic!J:J)</f>
        <v>10000</v>
      </c>
      <c r="N19" s="269"/>
      <c r="O19" s="300" cm="1">
        <f t="array" ref="O19">LOOKUP(2,1/(Koptimix!F:F="Purple Dark Blue(1B)"),Koptimix!J:J)</f>
        <v>10090</v>
      </c>
      <c r="P19" s="300"/>
      <c r="Q19" s="297">
        <f>LOOKUP(2,1/(Roll!F:F="Plain White"),Roll!J:J)</f>
        <v>200</v>
      </c>
      <c r="R19" s="280"/>
      <c r="S19" s="95"/>
      <c r="T19" s="94"/>
      <c r="U19" s="94"/>
    </row>
    <row r="20" spans="4:21" ht="15" customHeight="1">
      <c r="D20" s="93"/>
      <c r="E20" s="93"/>
      <c r="F20" s="93"/>
      <c r="G20" s="268"/>
      <c r="H20" s="268"/>
      <c r="I20" s="272"/>
      <c r="J20" s="272"/>
      <c r="K20" s="280"/>
      <c r="L20" s="280"/>
      <c r="M20" s="268"/>
      <c r="N20" s="269"/>
      <c r="O20" s="300"/>
      <c r="P20" s="300"/>
      <c r="Q20" s="297"/>
      <c r="R20" s="280"/>
      <c r="S20" s="102"/>
      <c r="T20" s="94"/>
      <c r="U20" s="94"/>
    </row>
    <row r="21" spans="4:21" ht="15" customHeight="1">
      <c r="D21" s="93"/>
      <c r="E21" s="93"/>
      <c r="F21" s="93"/>
      <c r="G21" s="260" t="s">
        <v>37</v>
      </c>
      <c r="H21" s="260"/>
      <c r="I21" s="260" t="s">
        <v>37</v>
      </c>
      <c r="J21" s="260"/>
      <c r="K21" s="260" t="s">
        <v>37</v>
      </c>
      <c r="L21" s="260"/>
      <c r="M21" s="260" t="s">
        <v>37</v>
      </c>
      <c r="N21" s="261"/>
      <c r="O21" s="260" t="s">
        <v>52</v>
      </c>
      <c r="P21" s="260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0" cm="1">
        <f t="array" ref="G22">LOOKUP(2,1/(Chicken!F:F="Green"),Chicken!J:J)</f>
        <v>54366</v>
      </c>
      <c r="H22" s="270"/>
      <c r="I22" s="270" cm="1">
        <f t="array" ref="I22">LOOKUP(2,1/(COW!F:F="Green"),COW!J:J)</f>
        <v>5904</v>
      </c>
      <c r="J22" s="270"/>
      <c r="K22" s="272" cm="1">
        <f t="array" ref="K22">LOOKUP(2,1/(WithOut!F:F="Green"),WithOut!J:J)</f>
        <v>20251</v>
      </c>
      <c r="L22" s="272"/>
      <c r="M22" s="270">
        <f>LOOKUP(2,1/(Plastic!F:F="Green"),Plastic!J:J)</f>
        <v>10000</v>
      </c>
      <c r="N22" s="271"/>
      <c r="O22" s="300" cm="1">
        <f t="array" ref="O22">LOOKUP(2,1/(Koptimix!F:F="Blue Purple(1C)"),Koptimix!J:J)</f>
        <v>21187</v>
      </c>
      <c r="P22" s="300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0"/>
      <c r="H23" s="270"/>
      <c r="I23" s="270"/>
      <c r="J23" s="270"/>
      <c r="K23" s="272"/>
      <c r="L23" s="272"/>
      <c r="M23" s="270"/>
      <c r="N23" s="271"/>
      <c r="O23" s="300"/>
      <c r="P23" s="300"/>
      <c r="Q23" s="102"/>
      <c r="R23" s="102"/>
      <c r="S23" s="102"/>
      <c r="T23" s="94"/>
      <c r="U23" s="94"/>
    </row>
    <row r="24" spans="4:21" s="40" customFormat="1" ht="15" customHeight="1">
      <c r="G24" s="260" t="s">
        <v>38</v>
      </c>
      <c r="H24" s="260"/>
      <c r="I24" s="282"/>
      <c r="J24" s="282"/>
      <c r="K24" s="101"/>
      <c r="L24" s="101"/>
      <c r="M24" s="260" t="s">
        <v>28</v>
      </c>
      <c r="N24" s="261"/>
      <c r="O24" s="260" t="s">
        <v>54</v>
      </c>
      <c r="P24" s="260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72" cm="1">
        <f t="array" ref="G25">LOOKUP(2,1/(Chicken!F:F="Dark Green"),Chicken!J:J)</f>
        <v>5201</v>
      </c>
      <c r="H25" s="272"/>
      <c r="I25" s="283"/>
      <c r="J25" s="283"/>
      <c r="K25" s="94"/>
      <c r="L25" s="94"/>
      <c r="M25" s="262">
        <f>LOOKUP(2,1/(Plastic!F:F="Purple"),Plastic!J:J)</f>
        <v>7710</v>
      </c>
      <c r="N25" s="263"/>
      <c r="O25" s="300" cm="1">
        <f t="array" ref="O25">LOOKUP(2,1/(Koptimix!F:F="Green Black(GB)"),Koptimix!J:J)</f>
        <v>7194</v>
      </c>
      <c r="P25" s="300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72"/>
      <c r="H26" s="272"/>
      <c r="I26" s="283"/>
      <c r="J26" s="283"/>
      <c r="K26" s="94"/>
      <c r="L26" s="94"/>
      <c r="M26" s="262"/>
      <c r="N26" s="263"/>
      <c r="O26" s="300"/>
      <c r="P26" s="300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60" t="s">
        <v>39</v>
      </c>
      <c r="H27" s="260"/>
      <c r="I27" s="282"/>
      <c r="J27" s="282"/>
      <c r="K27" s="94"/>
      <c r="L27" s="94"/>
      <c r="M27" s="260" t="s">
        <v>70</v>
      </c>
      <c r="N27" s="261"/>
      <c r="O27" s="260" t="s">
        <v>55</v>
      </c>
      <c r="P27" s="260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1" cm="1">
        <f t="array" ref="G28">LOOKUP(2,1/(Chicken!F:F="Light Blue"),Chicken!J:J)</f>
        <v>249</v>
      </c>
      <c r="H28" s="281"/>
      <c r="I28" s="283"/>
      <c r="J28" s="283"/>
      <c r="K28" s="94"/>
      <c r="L28" s="94"/>
      <c r="M28" s="264">
        <f>LOOKUP(2,1/(Plastic!F:F="Blue KOP"),Plastic!J:J)</f>
        <v>10745</v>
      </c>
      <c r="N28" s="265"/>
      <c r="O28" s="300" cm="1">
        <f t="array" ref="O28">LOOKUP(2,1/(Koptimix!F:F="Purple (Fish)"),Koptimix!J:J)</f>
        <v>2918</v>
      </c>
      <c r="P28" s="300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1"/>
      <c r="H29" s="281"/>
      <c r="I29" s="283"/>
      <c r="J29" s="283"/>
      <c r="K29" s="99"/>
      <c r="L29" s="99"/>
      <c r="M29" s="264"/>
      <c r="N29" s="265"/>
      <c r="O29" s="300"/>
      <c r="P29" s="300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60" t="s">
        <v>24</v>
      </c>
      <c r="H30" s="260"/>
      <c r="I30" s="282"/>
      <c r="J30" s="282"/>
      <c r="K30" s="99"/>
      <c r="L30" s="99"/>
      <c r="M30" s="260" t="s">
        <v>71</v>
      </c>
      <c r="N30" s="261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58" cm="1">
        <f t="array" ref="G31">LOOKUP(2,1/(Chicken!F:F="Blue"),Chicken!J:J)</f>
        <v>1104</v>
      </c>
      <c r="H31" s="258"/>
      <c r="I31" s="283"/>
      <c r="J31" s="283"/>
      <c r="K31" s="101"/>
      <c r="L31" s="101"/>
      <c r="M31" s="258">
        <f>LOOKUP(2,1/(Plastic!F:F="Red KOP"),Plastic!J:J)</f>
        <v>3010</v>
      </c>
      <c r="N31" s="259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58"/>
      <c r="H32" s="258"/>
      <c r="I32" s="283"/>
      <c r="J32" s="283"/>
      <c r="K32" s="101"/>
      <c r="L32" s="101"/>
      <c r="M32" s="258"/>
      <c r="N32" s="259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60" t="s">
        <v>40</v>
      </c>
      <c r="H33" s="260"/>
      <c r="I33" s="282"/>
      <c r="J33" s="282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91" cm="1">
        <f t="array" ref="G34">LOOKUP(2,1/(Chicken!F:F="Dark Blue"),Chicken!J:J)</f>
        <v>60632</v>
      </c>
      <c r="H34" s="291"/>
      <c r="I34" s="283"/>
      <c r="J34" s="283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91"/>
      <c r="H35" s="291"/>
      <c r="I35" s="283"/>
      <c r="J35" s="283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60" t="s">
        <v>41</v>
      </c>
      <c r="H36" s="260"/>
      <c r="I36" s="282"/>
      <c r="J36" s="282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8" cm="1">
        <f t="array" ref="G37">LOOKUP(2,1/(Chicken!F:F="Yellow"),Chicken!J:J)</f>
        <v>7812</v>
      </c>
      <c r="H37" s="288"/>
      <c r="I37" s="292"/>
      <c r="J37" s="292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8"/>
      <c r="H38" s="288"/>
      <c r="I38" s="292"/>
      <c r="J38" s="292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60" t="s">
        <v>42</v>
      </c>
      <c r="H39" s="260"/>
      <c r="I39" s="282"/>
      <c r="J39" s="282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9" cm="1">
        <f t="array" ref="G40">LOOKUP(2,1/(Chicken!F:F="Brown"),Chicken!J:J)</f>
        <v>30</v>
      </c>
      <c r="H40" s="289"/>
      <c r="I40" s="283"/>
      <c r="J40" s="283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9"/>
      <c r="H41" s="289"/>
      <c r="I41" s="283"/>
      <c r="J41" s="283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60" t="s">
        <v>89</v>
      </c>
      <c r="H42" s="260"/>
      <c r="I42" s="282"/>
      <c r="J42" s="282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9" cm="1">
        <f t="array" ref="G43">LOOKUP(2,1/(Chicken!F:F="Brown(13)"),Chicken!J:J)</f>
        <v>0</v>
      </c>
      <c r="H43" s="289"/>
      <c r="I43" s="283"/>
      <c r="J43" s="283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90"/>
      <c r="H44" s="290"/>
      <c r="I44" s="283"/>
      <c r="J44" s="283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34"/>
  <sheetViews>
    <sheetView topLeftCell="A211" zoomScale="80" zoomScaleNormal="80" workbookViewId="0">
      <selection activeCell="G223" sqref="G223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9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9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9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9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9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9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9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9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9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9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9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9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9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9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9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9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9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9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9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9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9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9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9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9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9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9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9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9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9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9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9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9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9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9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9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9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9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9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9">
        <v>46165.347442129627</v>
      </c>
      <c r="B219" s="31" t="s">
        <v>0</v>
      </c>
      <c r="C219" s="72">
        <v>20</v>
      </c>
      <c r="D219" s="72">
        <v>1680</v>
      </c>
      <c r="E219" t="s">
        <v>68</v>
      </c>
      <c r="G219" t="s">
        <v>60</v>
      </c>
      <c r="H219" s="29" t="s">
        <v>18</v>
      </c>
    </row>
    <row r="220" spans="1:8">
      <c r="A220" s="149">
        <v>46165.348229166666</v>
      </c>
      <c r="B220" s="31" t="s">
        <v>0</v>
      </c>
      <c r="C220" s="72">
        <v>2</v>
      </c>
      <c r="D220" s="72">
        <v>1396</v>
      </c>
      <c r="E220" t="s">
        <v>86</v>
      </c>
      <c r="F220" t="s">
        <v>83</v>
      </c>
      <c r="G220" t="s">
        <v>72</v>
      </c>
      <c r="H220" s="29" t="s">
        <v>79</v>
      </c>
    </row>
    <row r="221" spans="1:8">
      <c r="A221" s="149">
        <v>46165.348449074074</v>
      </c>
      <c r="B221" s="31" t="s">
        <v>0</v>
      </c>
      <c r="C221" s="72">
        <v>1</v>
      </c>
      <c r="D221" s="72">
        <v>1954</v>
      </c>
      <c r="E221" t="s">
        <v>87</v>
      </c>
      <c r="F221" t="s">
        <v>83</v>
      </c>
      <c r="G221" t="s">
        <v>78</v>
      </c>
      <c r="H221" s="29" t="s">
        <v>79</v>
      </c>
    </row>
    <row r="222" spans="1:8">
      <c r="A222" s="149">
        <v>46165.349374999998</v>
      </c>
      <c r="B222" s="31" t="s">
        <v>0</v>
      </c>
      <c r="C222" s="72">
        <v>125</v>
      </c>
      <c r="D222" s="72">
        <v>20251</v>
      </c>
      <c r="E222" t="s">
        <v>37</v>
      </c>
      <c r="F222" t="s">
        <v>29</v>
      </c>
      <c r="G222" t="s">
        <v>5</v>
      </c>
      <c r="H222" s="29" t="s">
        <v>18</v>
      </c>
    </row>
    <row r="223" spans="1:8">
      <c r="A223" s="149">
        <v>46165.34951388889</v>
      </c>
      <c r="B223" s="31" t="s">
        <v>0</v>
      </c>
      <c r="C223" s="72">
        <v>85</v>
      </c>
      <c r="D223" s="72">
        <v>6397</v>
      </c>
      <c r="E223" t="s">
        <v>24</v>
      </c>
      <c r="F223" t="s">
        <v>29</v>
      </c>
      <c r="G223" t="s">
        <v>5</v>
      </c>
      <c r="H223" s="29" t="s">
        <v>18</v>
      </c>
    </row>
    <row r="224" spans="1:8">
      <c r="A224" s="149">
        <v>46165.349629629629</v>
      </c>
      <c r="B224" s="31" t="s">
        <v>0</v>
      </c>
      <c r="C224" s="72">
        <v>85</v>
      </c>
      <c r="D224" s="72">
        <v>23928</v>
      </c>
      <c r="E224" t="s">
        <v>36</v>
      </c>
      <c r="F224" t="s">
        <v>29</v>
      </c>
      <c r="G224" t="s">
        <v>5</v>
      </c>
      <c r="H224" s="29" t="s">
        <v>18</v>
      </c>
    </row>
    <row r="225" spans="1:8">
      <c r="A225" s="149">
        <v>46165.35</v>
      </c>
      <c r="B225" s="31" t="s">
        <v>0</v>
      </c>
      <c r="C225" s="72">
        <v>45</v>
      </c>
      <c r="D225" s="72">
        <v>6887</v>
      </c>
      <c r="E225" t="s">
        <v>31</v>
      </c>
      <c r="F225" t="s">
        <v>29</v>
      </c>
      <c r="G225" t="s">
        <v>3</v>
      </c>
      <c r="H225" s="29" t="s">
        <v>18</v>
      </c>
    </row>
    <row r="226" spans="1:8">
      <c r="A226" s="149">
        <v>46165.350208333337</v>
      </c>
      <c r="B226" s="31" t="s">
        <v>0</v>
      </c>
      <c r="C226" s="72">
        <v>125</v>
      </c>
      <c r="D226" s="72">
        <v>5201</v>
      </c>
      <c r="E226" t="s">
        <v>38</v>
      </c>
      <c r="F226" t="s">
        <v>29</v>
      </c>
      <c r="G226" t="s">
        <v>3</v>
      </c>
      <c r="H226" s="29" t="s">
        <v>18</v>
      </c>
    </row>
    <row r="227" spans="1:8">
      <c r="A227" s="149">
        <v>46165.350439814814</v>
      </c>
      <c r="B227" s="31" t="s">
        <v>0</v>
      </c>
      <c r="C227" s="72">
        <v>205</v>
      </c>
      <c r="D227" s="72">
        <v>60632</v>
      </c>
      <c r="E227" t="s">
        <v>40</v>
      </c>
      <c r="F227" t="s">
        <v>29</v>
      </c>
      <c r="G227" t="s">
        <v>3</v>
      </c>
      <c r="H227" s="29" t="s">
        <v>18</v>
      </c>
    </row>
    <row r="228" spans="1:8">
      <c r="A228" s="149">
        <v>46165.350972222222</v>
      </c>
      <c r="B228" s="31" t="s">
        <v>0</v>
      </c>
      <c r="C228" s="72">
        <v>125</v>
      </c>
      <c r="D228" s="72">
        <v>4925</v>
      </c>
      <c r="E228" t="s">
        <v>59</v>
      </c>
      <c r="F228" t="s">
        <v>29</v>
      </c>
      <c r="G228" t="s">
        <v>5</v>
      </c>
      <c r="H228" s="29" t="s">
        <v>18</v>
      </c>
    </row>
    <row r="229" spans="1:8">
      <c r="A229" s="149">
        <v>46165.351956018516</v>
      </c>
      <c r="B229" s="31" t="s">
        <v>0</v>
      </c>
      <c r="C229" s="72">
        <v>45</v>
      </c>
      <c r="D229" s="72">
        <v>3626</v>
      </c>
      <c r="E229" t="s">
        <v>30</v>
      </c>
      <c r="F229" t="s">
        <v>29</v>
      </c>
      <c r="G229" t="s">
        <v>2</v>
      </c>
      <c r="H229" s="29" t="s">
        <v>18</v>
      </c>
    </row>
    <row r="230" spans="1:8">
      <c r="A230" s="149">
        <v>46165.352071759262</v>
      </c>
      <c r="B230" s="31" t="s">
        <v>0</v>
      </c>
      <c r="C230" s="72">
        <v>125</v>
      </c>
      <c r="D230" s="72">
        <v>4542</v>
      </c>
      <c r="E230" t="s">
        <v>36</v>
      </c>
      <c r="F230" t="s">
        <v>29</v>
      </c>
      <c r="G230" t="s">
        <v>2</v>
      </c>
      <c r="H230" s="29" t="s">
        <v>18</v>
      </c>
    </row>
    <row r="231" spans="1:8">
      <c r="A231" s="149">
        <v>46165.352337962962</v>
      </c>
      <c r="B231" s="31" t="s">
        <v>0</v>
      </c>
      <c r="C231" s="72">
        <v>125</v>
      </c>
      <c r="D231" s="72">
        <v>38033</v>
      </c>
      <c r="E231" t="s">
        <v>38</v>
      </c>
      <c r="F231" t="s">
        <v>35</v>
      </c>
      <c r="G231" t="s">
        <v>2</v>
      </c>
      <c r="H231" s="29" t="s">
        <v>18</v>
      </c>
    </row>
    <row r="232" spans="1:8">
      <c r="A232" s="149">
        <v>46165.352511574078</v>
      </c>
      <c r="B232" s="31" t="s">
        <v>0</v>
      </c>
      <c r="C232" s="72">
        <v>85</v>
      </c>
      <c r="D232" s="72">
        <v>905</v>
      </c>
      <c r="E232" t="s">
        <v>45</v>
      </c>
      <c r="F232" t="s">
        <v>32</v>
      </c>
      <c r="G232" t="s">
        <v>2</v>
      </c>
      <c r="H232" s="29" t="s">
        <v>18</v>
      </c>
    </row>
    <row r="233" spans="1:8">
      <c r="A233" s="149">
        <v>46165.35260416667</v>
      </c>
      <c r="B233" s="31" t="s">
        <v>0</v>
      </c>
      <c r="C233" s="72">
        <v>45</v>
      </c>
      <c r="D233" s="72">
        <v>32066</v>
      </c>
      <c r="E233" t="s">
        <v>28</v>
      </c>
      <c r="F233" t="s">
        <v>29</v>
      </c>
      <c r="G233" t="s">
        <v>2</v>
      </c>
      <c r="H233" s="29" t="s">
        <v>18</v>
      </c>
    </row>
    <row r="234" spans="1:8">
      <c r="A234" s="149">
        <v>46165.352835648147</v>
      </c>
      <c r="B234" s="31" t="s">
        <v>0</v>
      </c>
      <c r="C234" s="72">
        <v>205</v>
      </c>
      <c r="D234" s="72">
        <v>47153</v>
      </c>
      <c r="E234" t="s">
        <v>24</v>
      </c>
      <c r="F234" t="s">
        <v>29</v>
      </c>
      <c r="G234" t="s">
        <v>2</v>
      </c>
      <c r="H234" s="29" t="s">
        <v>18</v>
      </c>
    </row>
  </sheetData>
  <autoFilter ref="A1:H217" xr:uid="{00000000-0009-0000-0000-000009000000}"/>
  <conditionalFormatting sqref="H1:H1048576">
    <cfRule type="containsText" dxfId="122" priority="1" operator="containsText" text="Roll">
      <formula>NOT(ISERROR(SEARCH("Roll",H1)))</formula>
    </cfRule>
    <cfRule type="containsText" dxfId="121" priority="6" operator="containsText" text="Lable">
      <formula>NOT(ISERROR(SEARCH("Lable",H1)))</formula>
    </cfRule>
    <cfRule type="containsText" dxfId="120" priority="7" stopIfTrue="1" operator="containsText" text="Sacks">
      <formula>NOT(ISERROR(SEARCH("Sacks",H1)))</formula>
    </cfRule>
  </conditionalFormatting>
  <conditionalFormatting sqref="B1:B1048576">
    <cfRule type="containsText" dxfId="119" priority="2" operator="containsText" text="OUT">
      <formula>NOT(ISERROR(SEARCH("OUT",B1)))</formula>
    </cfRule>
    <cfRule type="containsText" dxfId="118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2026-05-01T18:39:31Z</cp:lastPrinted>
  <dcterms:created xsi:type="dcterms:W3CDTF">2026-04-22T15:27:50Z</dcterms:created>
  <dcterms:modified xsi:type="dcterms:W3CDTF">2026-05-23T05:30:53Z</dcterms:modified>
</cp:coreProperties>
</file>