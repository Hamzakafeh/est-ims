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E4D6852F-E86F-4843-B1C8-A3B72DF1290F}" xr6:coauthVersionLast="47" xr6:coauthVersionMax="47" xr10:uidLastSave="{00000000-0000-0000-0000-000000000000}"/>
  <bookViews>
    <workbookView xWindow="-108" yWindow="-108" windowWidth="23256" windowHeight="12576" tabRatio="636" activeTab="4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<sst xmlns="http://schemas.openxmlformats.org/spreadsheetml/2006/main" count="2120" uniqueCount="94">
  <si>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</si>
  <si>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</si>
  <si>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</si>
  <si>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</si>
  <si>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</si>
  <si>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</si>
  <si>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</si>
  <si>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</si>
  <si>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</si>
  <si>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</si>
  <si>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</si>
  <si>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</si>
  <si>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</si>
  <si>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</si>
  <si>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</si>
  <si>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</si>
  <si>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</si>
  <si>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</si>
  <si>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</si>
  <si>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</si>
  <si>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</si>
  <si>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</si>
  <si>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</si>
  <si>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</si>
  <si>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</si>
  <si>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</si>
  <si>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</si>
  <si>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</si>
  <si>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</si>
  <si>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</si>
  <si>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</si>
  <si>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</si>
  <si>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</si>
  <si>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</si>
  <si>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</si>
  <si>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</si>
  <si>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</si>
  <si>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</si>
  <si>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</si>
  <si>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</si>
  <si>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</si>
  <si>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</si>
  <si>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</si>
  <si>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</si>
  <si>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</si>
  <si>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</si>
  <si>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</si>
  <si>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</si>
  <si>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</si>
  <si>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</si>
  <si>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</si>
  <si>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</si>
  <si>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</si>
  <si>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</si>
  <si>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</si>
  <si>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</si>
  <si>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</si>
  <si>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</si>
  <si>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</si>
  <si>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</si>
  <si>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</si>
  <si>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</si>
  <si>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</si>
  <si>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</si>
  <si>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</si>
  <si>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</si>
  <si>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</si>
  <si>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</si>
  <si>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</si>
  <si>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</si>
  <si>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</si>
  <si>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</si>
  <si>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</si>
  <si>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</si>
  <si>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</si>
  <si>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</si>
  <si>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</si>
  <si>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</si>
  <si>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</si>
  <si>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</si>
  <si>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</si>
  <si>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</si>
  <si>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</si>
  <si>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</si>
  <si>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</si>
  <si>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</si>
  <si>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</si>
  <si>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</si>
  <si>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</si>
  <si>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</si>
  <si>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</si>
  <si>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</si>
  <si>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</si>
  <si>
    <t>PLASTIC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</si>
</sst>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4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308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8" borderId="2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5" borderId="24" xfId="0" applyFont="1" applyFill="1" applyBorder="1" applyAlignment="1">
      <alignment horizontal="center" vertical="center"/>
    </xf>
    <xf numFmtId="164" fontId="13" fillId="13" borderId="4" xfId="7" applyNumberFormat="1" applyFont="1" applyFill="1" applyBorder="1" applyAlignment="1">
      <alignment horizontal="center" vertical="center"/>
    </xf>
    <xf numFmtId="164" fontId="13" fillId="15" borderId="4" xfId="7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15" xfId="1" applyFont="1" applyBorder="1" applyAlignment="1">
      <alignment horizontal="center" vertical="center"/>
    </xf>
    <xf numFmtId="15" fontId="5" fillId="0" borderId="14" xfId="0" applyNumberFormat="1" applyFont="1" applyBorder="1" applyAlignment="1">
      <alignment horizontal="center" vertical="center"/>
    </xf>
    <xf numFmtId="15" fontId="5" fillId="16" borderId="39" xfId="0" applyNumberFormat="1" applyFont="1" applyFill="1" applyBorder="1" applyAlignment="1">
      <alignment horizontal="center" vertical="center"/>
    </xf>
    <xf numFmtId="15" fontId="5" fillId="0" borderId="3" xfId="0" applyNumberFormat="1" applyFont="1" applyBorder="1" applyAlignment="1">
      <alignment horizontal="center" vertical="center"/>
    </xf>
    <xf numFmtId="0" fontId="8" fillId="2" borderId="28" xfId="1" applyFont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5" fillId="15" borderId="7" xfId="0" applyFont="1" applyFill="1" applyBorder="1"/>
    <xf numFmtId="164" fontId="5" fillId="15" borderId="7" xfId="7" applyNumberFormat="1" applyFont="1" applyFill="1" applyBorder="1"/>
    <xf numFmtId="0" fontId="0" fillId="15" borderId="7" xfId="0" applyFill="1" applyBorder="1"/>
    <xf numFmtId="15" fontId="28" fillId="15" borderId="39" xfId="0" applyNumberFormat="1" applyFont="1" applyFill="1" applyBorder="1" applyAlignment="1">
      <alignment horizontal="center" vertical="center"/>
    </xf>
    <xf numFmtId="15" fontId="28" fillId="15" borderId="14" xfId="0" applyNumberFormat="1" applyFont="1" applyFill="1" applyBorder="1" applyAlignment="1">
      <alignment horizontal="center" vertical="center"/>
    </xf>
    <xf numFmtId="15" fontId="28" fillId="15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center" vertical="center"/>
    </xf>
    <xf numFmtId="0" fontId="28" fillId="15" borderId="18" xfId="0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vertical="center"/>
    </xf>
    <xf numFmtId="0" fontId="28" fillId="15" borderId="24" xfId="0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22" fontId="0" fillId="0" borderId="17" xfId="0" applyNumberFormat="1" applyBorder="1"/>
    <xf numFmtId="0" fontId="8" fillId="0" borderId="28" xfId="0" applyFont="1" applyBorder="1" applyAlignment="1">
      <alignment horizontal="center" vertical="center"/>
    </xf>
    <xf numFmtId="164" fontId="5" fillId="0" borderId="28" xfId="7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8" fillId="15" borderId="7" xfId="0" applyFont="1" applyFill="1" applyBorder="1"/>
    <xf numFmtId="164" fontId="28" fillId="15" borderId="7" xfId="7" applyNumberFormat="1" applyFont="1" applyFill="1" applyBorder="1"/>
    <xf numFmtId="0" fontId="16" fillId="15" borderId="7" xfId="0" applyFont="1" applyFill="1" applyBorder="1"/>
    <xf numFmtId="15" fontId="8" fillId="0" borderId="2" xfId="0" applyNumberFormat="1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164" fontId="8" fillId="0" borderId="7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28" fillId="15" borderId="2" xfId="0" applyFont="1" applyFill="1" applyBorder="1" applyAlignment="1">
      <alignment horizontal="center" vertical="center"/>
    </xf>
    <xf numFmtId="164" fontId="28" fillId="15" borderId="2" xfId="7" applyNumberFormat="1" applyFont="1" applyFill="1" applyBorder="1" applyAlignment="1">
      <alignment horizontal="center" vertical="center"/>
    </xf>
    <xf numFmtId="15" fontId="28" fillId="15" borderId="2" xfId="0" applyNumberFormat="1" applyFont="1" applyFill="1" applyBorder="1" applyAlignment="1">
      <alignment horizontal="center" vertical="center"/>
    </xf>
    <xf numFmtId="0" fontId="28" fillId="15" borderId="2" xfId="0" applyFont="1" applyFill="1" applyBorder="1" applyAlignment="1">
      <alignment vertical="center"/>
    </xf>
    <xf numFmtId="164" fontId="28" fillId="15" borderId="2" xfId="7" applyNumberFormat="1" applyFont="1" applyFill="1" applyBorder="1" applyAlignment="1">
      <alignment vertical="center"/>
    </xf>
    <xf numFmtId="15" fontId="28" fillId="15" borderId="28" xfId="0" applyNumberFormat="1" applyFont="1" applyFill="1" applyBorder="1" applyAlignment="1">
      <alignment horizontal="center" vertical="center"/>
    </xf>
    <xf numFmtId="0" fontId="28" fillId="15" borderId="37" xfId="0" applyFont="1" applyFill="1" applyBorder="1" applyAlignment="1">
      <alignment horizontal="center" vertical="center"/>
    </xf>
    <xf numFmtId="164" fontId="28" fillId="15" borderId="37" xfId="7" applyNumberFormat="1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center" vertical="center"/>
    </xf>
    <xf numFmtId="0" fontId="28" fillId="15" borderId="28" xfId="0" applyFont="1" applyFill="1" applyBorder="1" applyAlignment="1">
      <alignment horizontal="center" vertical="center"/>
    </xf>
    <xf numFmtId="164" fontId="28" fillId="15" borderId="28" xfId="7" applyNumberFormat="1" applyFont="1" applyFill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164" fontId="5" fillId="0" borderId="37" xfId="7" applyNumberFormat="1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164" fontId="29" fillId="0" borderId="2" xfId="7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13" fillId="13" borderId="24" xfId="0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8" fillId="15" borderId="4" xfId="0" applyFont="1" applyFill="1" applyBorder="1" applyAlignment="1">
      <alignment horizontal="center" vertic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  <xf numFmtId="0" fontId="0" fillId="13" borderId="0" xfId="0" applyFill="1" applyBorder="1"/>
    <xf numFmtId="0" fontId="0" fillId="18" borderId="0" xfId="0" applyFill="1" applyBorder="1"/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</dxfs>
  <tableStyles count="0" defaultTableStyle="TableStyleMedium9" defaultPivotStyle="PivotStyleLight16"/>
  <colors>
    <mruColors>
      <color rgb="FF00B0F0"/>
      <color rgb="FF79F4F7"/>
      <color rgb="FFFE0000"/>
      <color rgb="FF2200F0"/>
      <color rgb="FF00B050"/>
      <color rgb="FF92D05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113"/>
  <sheetViews>
    <sheetView topLeftCell="A92" zoomScale="70" zoomScaleNormal="70" workbookViewId="0">
      <selection activeCell="C106" sqref="C106"/>
    </sheetView>
  </sheetViews>
  <sheetFormatPr defaultRowHeight="14.4"/>
  <cols>
    <col min="3" max="3" width="41.44140625" style="146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97" t="s">
        <v>8</v>
      </c>
      <c r="D2" s="198"/>
      <c r="E2" s="198"/>
      <c r="F2" s="198"/>
      <c r="G2" s="198"/>
      <c r="H2" s="198"/>
      <c r="I2" s="198"/>
      <c r="J2" s="199"/>
      <c r="K2" s="1"/>
    </row>
    <row r="3" spans="3:13" ht="27" customHeight="1" thickBot="1">
      <c r="C3" s="200"/>
      <c r="D3" s="201"/>
      <c r="E3" s="201"/>
      <c r="F3" s="201"/>
      <c r="G3" s="201"/>
      <c r="H3" s="201"/>
      <c r="I3" s="201"/>
      <c r="J3" s="202"/>
      <c r="K3" s="1"/>
      <c r="L3" s="187" t="s">
        <v>16</v>
      </c>
      <c r="M3" s="188"/>
    </row>
    <row r="4" spans="3:13" ht="27.75" customHeight="1" thickTop="1" thickBot="1">
      <c r="C4" s="203"/>
      <c r="D4" s="204"/>
      <c r="E4" s="204"/>
      <c r="F4" s="204"/>
      <c r="G4" s="204"/>
      <c r="H4" s="204"/>
      <c r="I4" s="204"/>
      <c r="J4" s="205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131" t="s">
        <v>10</v>
      </c>
      <c r="E6" s="127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8">
        <v>46143</v>
      </c>
      <c r="D7" s="206" t="s">
        <v>18</v>
      </c>
      <c r="E7" s="206" t="s">
        <v>3</v>
      </c>
      <c r="F7" s="118" t="s">
        <v>28</v>
      </c>
      <c r="G7" s="54" t="s">
        <v>29</v>
      </c>
      <c r="H7" s="15"/>
      <c r="I7" s="14">
        <v>47598</v>
      </c>
      <c r="J7" s="20">
        <v>47598</v>
      </c>
      <c r="K7" s="1"/>
      <c r="L7" s="11"/>
      <c r="M7" s="11"/>
    </row>
    <row r="8" spans="3:13" ht="26.4" thickBot="1">
      <c r="C8" s="128">
        <v>46143</v>
      </c>
      <c r="D8" s="207"/>
      <c r="E8" s="207"/>
      <c r="F8" s="119" t="s">
        <v>30</v>
      </c>
      <c r="G8" s="54" t="s">
        <v>29</v>
      </c>
      <c r="H8" s="15"/>
      <c r="I8" s="16">
        <v>59</v>
      </c>
      <c r="J8" s="20">
        <v>59</v>
      </c>
      <c r="K8" s="1"/>
      <c r="L8" s="11"/>
      <c r="M8" s="11"/>
    </row>
    <row r="9" spans="3:13" ht="26.4" thickBot="1">
      <c r="C9" s="128">
        <v>46143</v>
      </c>
      <c r="D9" s="207"/>
      <c r="E9" s="207"/>
      <c r="F9" s="119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28">
        <v>46143</v>
      </c>
      <c r="D10" s="207"/>
      <c r="E10" s="207"/>
      <c r="F10" s="119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28">
        <v>46143</v>
      </c>
      <c r="D11" s="207"/>
      <c r="E11" s="207"/>
      <c r="F11" s="119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28">
        <v>46143</v>
      </c>
      <c r="D12" s="207"/>
      <c r="E12" s="207"/>
      <c r="F12" s="118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28">
        <v>46143</v>
      </c>
      <c r="D13" s="207"/>
      <c r="E13" s="207"/>
      <c r="F13" s="118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0" customFormat="1" ht="26.4" thickBot="1">
      <c r="C14" s="128">
        <v>46143</v>
      </c>
      <c r="D14" s="207"/>
      <c r="E14" s="207"/>
      <c r="F14" s="120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28">
        <v>46143</v>
      </c>
      <c r="D15" s="207"/>
      <c r="E15" s="207"/>
      <c r="F15" s="119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28">
        <v>46143</v>
      </c>
      <c r="D16" s="207"/>
      <c r="E16" s="207"/>
      <c r="F16" s="118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28">
        <v>46143</v>
      </c>
      <c r="D17" s="207"/>
      <c r="E17" s="207"/>
      <c r="F17" s="118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28">
        <v>46143</v>
      </c>
      <c r="D18" s="207"/>
      <c r="E18" s="207"/>
      <c r="F18" s="119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28">
        <v>46143</v>
      </c>
      <c r="D19" s="207"/>
      <c r="E19" s="207"/>
      <c r="F19" s="118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28">
        <v>46143</v>
      </c>
      <c r="D20" s="207"/>
      <c r="E20" s="207"/>
      <c r="F20" s="118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129"/>
      <c r="D21" s="207"/>
      <c r="E21" s="207"/>
      <c r="F21" s="121"/>
      <c r="G21" s="47"/>
      <c r="H21" s="47"/>
      <c r="I21" s="57"/>
      <c r="J21" s="57"/>
      <c r="K21" s="36"/>
      <c r="L21" s="47"/>
      <c r="M21" s="47"/>
    </row>
    <row r="22" spans="3:13" ht="26.25" customHeight="1" thickBot="1">
      <c r="C22" s="138">
        <v>46144</v>
      </c>
      <c r="D22" s="207"/>
      <c r="E22" s="207"/>
      <c r="F22" s="122"/>
      <c r="G22" s="63"/>
      <c r="H22" s="63"/>
      <c r="I22" s="69"/>
      <c r="J22" s="69"/>
      <c r="K22" s="1"/>
      <c r="L22" s="63"/>
      <c r="M22" s="63"/>
    </row>
    <row r="23" spans="3:13" ht="26.25" customHeight="1" thickBot="1">
      <c r="C23" s="68"/>
      <c r="D23" s="207"/>
      <c r="E23" s="207"/>
      <c r="F23" s="121"/>
      <c r="G23" s="47"/>
      <c r="H23" s="47"/>
      <c r="I23" s="57"/>
      <c r="J23" s="57"/>
      <c r="K23" s="1"/>
      <c r="L23" s="47"/>
      <c r="M23" s="47"/>
    </row>
    <row r="24" spans="3:13" ht="26.25" customHeight="1" thickBot="1">
      <c r="C24" s="138">
        <v>46145</v>
      </c>
      <c r="D24" s="207"/>
      <c r="E24" s="207"/>
      <c r="F24" s="122"/>
      <c r="G24" s="63"/>
      <c r="H24" s="63"/>
      <c r="I24" s="69"/>
      <c r="J24" s="69"/>
      <c r="K24" s="1"/>
      <c r="L24" s="63"/>
      <c r="M24" s="63"/>
    </row>
    <row r="25" spans="3:13" ht="26.25" customHeight="1" thickBot="1">
      <c r="C25" s="129"/>
      <c r="D25" s="207"/>
      <c r="E25" s="207"/>
      <c r="F25" s="121"/>
      <c r="G25" s="47"/>
      <c r="H25" s="47"/>
      <c r="I25" s="57"/>
      <c r="J25" s="57"/>
      <c r="K25" s="1"/>
      <c r="L25" s="47"/>
      <c r="M25" s="47"/>
    </row>
    <row r="26" spans="3:13" ht="26.25" customHeight="1" thickBot="1">
      <c r="C26" s="138">
        <v>46146</v>
      </c>
      <c r="D26" s="207"/>
      <c r="E26" s="207"/>
      <c r="F26" s="122"/>
      <c r="G26" s="63"/>
      <c r="H26" s="63"/>
      <c r="I26" s="69"/>
      <c r="J26" s="69"/>
      <c r="K26" s="1"/>
      <c r="L26" s="63"/>
      <c r="M26" s="70"/>
    </row>
    <row r="27" spans="3:13" ht="26.25" customHeight="1" thickBot="1">
      <c r="C27" s="129">
        <v>46147</v>
      </c>
      <c r="D27" s="207"/>
      <c r="E27" s="207"/>
      <c r="F27" s="121"/>
      <c r="G27" s="47"/>
      <c r="H27" s="47"/>
      <c r="I27" s="57"/>
      <c r="J27" s="57"/>
      <c r="K27" s="1"/>
      <c r="L27" s="84"/>
      <c r="M27" s="47"/>
    </row>
    <row r="28" spans="3:13" ht="26.25" customHeight="1" thickBot="1">
      <c r="C28" s="138">
        <v>46147</v>
      </c>
      <c r="D28" s="207"/>
      <c r="E28" s="207"/>
      <c r="F28" s="144"/>
      <c r="G28" s="141"/>
      <c r="H28" s="141"/>
      <c r="I28" s="145"/>
      <c r="J28" s="145"/>
      <c r="K28" s="1"/>
      <c r="L28" s="141"/>
      <c r="M28" s="141"/>
    </row>
    <row r="29" spans="3:13" ht="26.25" customHeight="1" thickBot="1">
      <c r="C29" s="139">
        <v>46148</v>
      </c>
      <c r="D29" s="207"/>
      <c r="E29" s="207"/>
      <c r="F29" s="144"/>
      <c r="G29" s="141"/>
      <c r="H29" s="141"/>
      <c r="I29" s="145"/>
      <c r="J29" s="145"/>
      <c r="K29" s="1"/>
      <c r="L29" s="141"/>
      <c r="M29" s="141"/>
    </row>
    <row r="30" spans="3:13" ht="26.25" customHeight="1" thickBot="1">
      <c r="C30" s="130">
        <v>46149</v>
      </c>
      <c r="D30" s="207"/>
      <c r="E30" s="207"/>
      <c r="F30" s="119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30">
        <v>46149</v>
      </c>
      <c r="D31" s="207"/>
      <c r="E31" s="207"/>
      <c r="F31" s="120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30">
        <v>46149</v>
      </c>
      <c r="D32" s="207"/>
      <c r="E32" s="207"/>
      <c r="F32" s="118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30">
        <v>46149</v>
      </c>
      <c r="D33" s="207"/>
      <c r="E33" s="207"/>
      <c r="F33" s="118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30">
        <v>46149</v>
      </c>
      <c r="D34" s="207"/>
      <c r="E34" s="207"/>
      <c r="F34" s="118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30">
        <v>46149</v>
      </c>
      <c r="D35" s="207"/>
      <c r="E35" s="207"/>
      <c r="F35" s="118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30">
        <v>46149</v>
      </c>
      <c r="D36" s="207"/>
      <c r="E36" s="207"/>
      <c r="F36" s="118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30">
        <v>46149</v>
      </c>
      <c r="D37" s="207"/>
      <c r="E37" s="207"/>
      <c r="F37" s="118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30">
        <v>46149</v>
      </c>
      <c r="D38" s="207"/>
      <c r="E38" s="207"/>
      <c r="F38" s="120" t="s">
        <v>37</v>
      </c>
      <c r="G38" s="54" t="s">
        <v>29</v>
      </c>
      <c r="H38" s="54" t="s">
        <v>66</v>
      </c>
      <c r="I38" s="88">
        <v>66373</v>
      </c>
      <c r="J38" s="88">
        <v>66343</v>
      </c>
      <c r="K38" s="1"/>
      <c r="L38" s="54"/>
      <c r="M38" s="54"/>
    </row>
    <row r="39" spans="3:13" ht="26.25" customHeight="1" thickBot="1">
      <c r="C39" s="130">
        <v>46149</v>
      </c>
      <c r="D39" s="207"/>
      <c r="E39" s="207"/>
      <c r="F39" s="118" t="s">
        <v>28</v>
      </c>
      <c r="G39" s="54" t="s">
        <v>29</v>
      </c>
      <c r="H39" s="54" t="s">
        <v>66</v>
      </c>
      <c r="I39" s="89">
        <v>47393</v>
      </c>
      <c r="J39" s="89">
        <v>46983</v>
      </c>
      <c r="L39" s="91"/>
      <c r="M39" s="91"/>
    </row>
    <row r="40" spans="3:13" ht="26.25" customHeight="1" thickBot="1">
      <c r="C40" s="130">
        <v>46149</v>
      </c>
      <c r="D40" s="207"/>
      <c r="E40" s="207"/>
      <c r="F40" s="123" t="s">
        <v>24</v>
      </c>
      <c r="G40" s="89" t="s">
        <v>29</v>
      </c>
      <c r="H40" s="54" t="s">
        <v>66</v>
      </c>
      <c r="I40" s="89">
        <v>2581</v>
      </c>
      <c r="J40" s="89">
        <v>2496</v>
      </c>
      <c r="L40" s="91"/>
      <c r="M40" s="91"/>
    </row>
    <row r="41" spans="3:13" ht="26.25" customHeight="1" thickBot="1">
      <c r="C41" s="130">
        <v>46149</v>
      </c>
      <c r="D41" s="207"/>
      <c r="E41" s="207"/>
      <c r="F41" s="123" t="s">
        <v>38</v>
      </c>
      <c r="G41" s="89" t="s">
        <v>29</v>
      </c>
      <c r="H41" s="54" t="s">
        <v>66</v>
      </c>
      <c r="I41" s="89">
        <v>6276</v>
      </c>
      <c r="J41" s="89">
        <v>6191</v>
      </c>
      <c r="L41" s="91"/>
      <c r="M41" s="91"/>
    </row>
    <row r="42" spans="3:13" ht="26.25" customHeight="1" thickBot="1">
      <c r="C42" s="130">
        <v>46149</v>
      </c>
      <c r="D42" s="207"/>
      <c r="E42" s="207"/>
      <c r="F42" s="123" t="s">
        <v>42</v>
      </c>
      <c r="G42" s="89" t="s">
        <v>29</v>
      </c>
      <c r="H42" s="54" t="s">
        <v>1</v>
      </c>
      <c r="I42" s="89">
        <v>41</v>
      </c>
      <c r="J42" s="89">
        <v>75</v>
      </c>
      <c r="L42" s="91"/>
      <c r="M42" s="91"/>
    </row>
    <row r="43" spans="3:13" ht="26.25" customHeight="1" thickBot="1">
      <c r="C43" s="130">
        <v>46149</v>
      </c>
      <c r="D43" s="207"/>
      <c r="E43" s="207"/>
      <c r="F43" s="123" t="s">
        <v>42</v>
      </c>
      <c r="G43" s="89" t="s">
        <v>29</v>
      </c>
      <c r="H43" s="54" t="s">
        <v>66</v>
      </c>
      <c r="I43" s="89">
        <v>75</v>
      </c>
      <c r="J43" s="89">
        <v>30</v>
      </c>
      <c r="L43" s="91"/>
      <c r="M43" s="91"/>
    </row>
    <row r="44" spans="3:13" ht="26.25" customHeight="1" thickBot="1">
      <c r="C44" s="130">
        <v>46149</v>
      </c>
      <c r="D44" s="207"/>
      <c r="E44" s="207"/>
      <c r="F44" s="123" t="s">
        <v>40</v>
      </c>
      <c r="G44" s="89" t="s">
        <v>29</v>
      </c>
      <c r="H44" s="54" t="s">
        <v>66</v>
      </c>
      <c r="I44" s="89">
        <v>64282</v>
      </c>
      <c r="J44" s="89">
        <v>64157</v>
      </c>
      <c r="L44" s="91"/>
      <c r="M44" s="91"/>
    </row>
    <row r="45" spans="3:13" ht="26.25" customHeight="1" thickBot="1">
      <c r="C45" s="130">
        <v>46149</v>
      </c>
      <c r="D45" s="207"/>
      <c r="E45" s="207"/>
      <c r="F45" s="123" t="s">
        <v>37</v>
      </c>
      <c r="G45" s="89" t="s">
        <v>29</v>
      </c>
      <c r="H45" s="54" t="s">
        <v>66</v>
      </c>
      <c r="I45" s="89">
        <v>66343</v>
      </c>
      <c r="J45" s="89">
        <v>66138</v>
      </c>
      <c r="L45" s="91"/>
      <c r="M45" s="91"/>
    </row>
    <row r="46" spans="3:13" ht="26.25" customHeight="1" thickBot="1">
      <c r="C46" s="130">
        <v>46149</v>
      </c>
      <c r="D46" s="207"/>
      <c r="E46" s="207"/>
      <c r="F46" s="123" t="s">
        <v>40</v>
      </c>
      <c r="G46" s="89" t="s">
        <v>29</v>
      </c>
      <c r="H46" s="54" t="s">
        <v>66</v>
      </c>
      <c r="I46" s="89">
        <v>64157</v>
      </c>
      <c r="J46" s="89">
        <v>63952</v>
      </c>
      <c r="L46" s="91"/>
      <c r="M46" s="91"/>
    </row>
    <row r="47" spans="3:13" ht="26.25" customHeight="1" thickBot="1">
      <c r="C47" s="130">
        <v>46149</v>
      </c>
      <c r="D47" s="207"/>
      <c r="E47" s="207"/>
      <c r="F47" s="123" t="s">
        <v>31</v>
      </c>
      <c r="G47" s="89" t="s">
        <v>29</v>
      </c>
      <c r="H47" s="54" t="s">
        <v>66</v>
      </c>
      <c r="I47" s="89">
        <v>7731</v>
      </c>
      <c r="J47" s="89">
        <v>7723</v>
      </c>
      <c r="L47" s="91"/>
      <c r="M47" s="91"/>
    </row>
    <row r="48" spans="3:13" ht="26.25" customHeight="1" thickBot="1">
      <c r="C48" s="130">
        <v>46149</v>
      </c>
      <c r="D48" s="207"/>
      <c r="E48" s="207"/>
      <c r="F48" s="123" t="s">
        <v>24</v>
      </c>
      <c r="G48" s="89" t="s">
        <v>29</v>
      </c>
      <c r="H48" s="54" t="s">
        <v>66</v>
      </c>
      <c r="I48" s="89">
        <v>2496</v>
      </c>
      <c r="J48" s="89">
        <v>2494</v>
      </c>
      <c r="L48" s="91"/>
      <c r="M48" s="91"/>
    </row>
    <row r="49" spans="3:13" ht="26.25" customHeight="1" thickBot="1">
      <c r="C49" s="138">
        <v>46150</v>
      </c>
      <c r="D49" s="207"/>
      <c r="E49" s="207"/>
      <c r="F49" s="124"/>
      <c r="G49" s="112"/>
      <c r="H49" s="112"/>
      <c r="I49" s="112"/>
      <c r="J49" s="112"/>
      <c r="L49" s="91"/>
      <c r="M49" s="91"/>
    </row>
    <row r="50" spans="3:13" ht="26.25" customHeight="1">
      <c r="C50" s="139">
        <v>46151</v>
      </c>
      <c r="D50" s="207"/>
      <c r="E50" s="207"/>
      <c r="F50" s="124"/>
      <c r="G50" s="112"/>
      <c r="H50" s="112"/>
      <c r="I50" s="112"/>
      <c r="J50" s="112"/>
      <c r="L50" s="91"/>
      <c r="M50" s="91"/>
    </row>
    <row r="51" spans="3:13" ht="26.25" customHeight="1">
      <c r="C51" s="114">
        <v>46152</v>
      </c>
      <c r="D51" s="207"/>
      <c r="E51" s="207"/>
      <c r="F51" s="123" t="s">
        <v>28</v>
      </c>
      <c r="G51" s="89" t="s">
        <v>29</v>
      </c>
      <c r="H51" s="89" t="s">
        <v>66</v>
      </c>
      <c r="I51" s="90">
        <v>46983</v>
      </c>
      <c r="J51" s="90">
        <v>44158</v>
      </c>
      <c r="L51" s="91"/>
      <c r="M51" s="91"/>
    </row>
    <row r="52" spans="3:13" ht="25.8">
      <c r="C52" s="114">
        <v>46152</v>
      </c>
      <c r="D52" s="207"/>
      <c r="E52" s="207"/>
      <c r="F52" s="125" t="s">
        <v>36</v>
      </c>
      <c r="G52" s="111" t="s">
        <v>29</v>
      </c>
      <c r="H52" s="111" t="s">
        <v>66</v>
      </c>
      <c r="I52" s="113">
        <v>8380</v>
      </c>
      <c r="J52" s="113">
        <v>8095</v>
      </c>
      <c r="L52" s="111"/>
      <c r="M52" s="111"/>
    </row>
    <row r="53" spans="3:13" ht="25.8">
      <c r="C53" s="114">
        <v>46152</v>
      </c>
      <c r="D53" s="207"/>
      <c r="E53" s="207"/>
      <c r="F53" s="125" t="s">
        <v>37</v>
      </c>
      <c r="G53" s="111" t="s">
        <v>29</v>
      </c>
      <c r="H53" s="111" t="s">
        <v>66</v>
      </c>
      <c r="I53" s="113">
        <v>66138</v>
      </c>
      <c r="J53" s="113">
        <v>65283</v>
      </c>
      <c r="L53" s="111"/>
      <c r="M53" s="111"/>
    </row>
    <row r="54" spans="3:13" ht="25.8">
      <c r="C54" s="114">
        <v>46152</v>
      </c>
      <c r="D54" s="207"/>
      <c r="E54" s="207"/>
      <c r="F54" s="126" t="s">
        <v>39</v>
      </c>
      <c r="G54" s="111" t="s">
        <v>29</v>
      </c>
      <c r="H54" s="111" t="s">
        <v>66</v>
      </c>
      <c r="I54" s="113">
        <v>489</v>
      </c>
      <c r="J54" s="113">
        <v>384</v>
      </c>
      <c r="L54" s="111"/>
      <c r="M54" s="111"/>
    </row>
    <row r="55" spans="3:13" ht="25.8">
      <c r="C55" s="114">
        <v>46152</v>
      </c>
      <c r="D55" s="207"/>
      <c r="E55" s="207"/>
      <c r="F55" s="125" t="s">
        <v>38</v>
      </c>
      <c r="G55" s="111" t="s">
        <v>29</v>
      </c>
      <c r="H55" s="111" t="s">
        <v>66</v>
      </c>
      <c r="I55" s="113">
        <v>6191</v>
      </c>
      <c r="J55" s="113">
        <v>6146</v>
      </c>
      <c r="L55" s="111"/>
      <c r="M55" s="111"/>
    </row>
    <row r="56" spans="3:13" ht="25.8">
      <c r="C56" s="114">
        <v>46153</v>
      </c>
      <c r="D56" s="207"/>
      <c r="E56" s="207"/>
      <c r="F56" s="125" t="s">
        <v>28</v>
      </c>
      <c r="G56" s="111" t="s">
        <v>29</v>
      </c>
      <c r="H56" s="111" t="s">
        <v>66</v>
      </c>
      <c r="I56" s="113">
        <v>44158</v>
      </c>
      <c r="J56" s="113">
        <v>43673</v>
      </c>
      <c r="L56" s="111"/>
      <c r="M56" s="111"/>
    </row>
    <row r="57" spans="3:13" ht="25.8">
      <c r="C57" s="114">
        <v>46153</v>
      </c>
      <c r="D57" s="207"/>
      <c r="E57" s="207"/>
      <c r="F57" s="125" t="s">
        <v>24</v>
      </c>
      <c r="G57" s="111" t="s">
        <v>29</v>
      </c>
      <c r="H57" s="111" t="s">
        <v>66</v>
      </c>
      <c r="I57" s="113">
        <v>2494</v>
      </c>
      <c r="J57" s="113">
        <v>2169</v>
      </c>
      <c r="L57" s="111"/>
      <c r="M57" s="111"/>
    </row>
    <row r="58" spans="3:13" ht="25.8">
      <c r="C58" s="114">
        <v>46153</v>
      </c>
      <c r="D58" s="207"/>
      <c r="E58" s="207"/>
      <c r="F58" s="125" t="s">
        <v>28</v>
      </c>
      <c r="G58" s="111" t="s">
        <v>29</v>
      </c>
      <c r="H58" s="111" t="s">
        <v>66</v>
      </c>
      <c r="I58" s="113">
        <v>43673</v>
      </c>
      <c r="J58" s="113">
        <v>43668</v>
      </c>
      <c r="L58" s="111"/>
      <c r="M58" s="111"/>
    </row>
    <row r="59" spans="3:13" ht="25.8">
      <c r="C59" s="114">
        <v>46154</v>
      </c>
      <c r="D59" s="207"/>
      <c r="E59" s="207"/>
      <c r="F59" s="126" t="s">
        <v>36</v>
      </c>
      <c r="G59" s="111" t="s">
        <v>29</v>
      </c>
      <c r="H59" s="111" t="s">
        <v>66</v>
      </c>
      <c r="I59" s="113">
        <v>8095</v>
      </c>
      <c r="J59" s="113">
        <v>7690</v>
      </c>
      <c r="L59" s="111"/>
      <c r="M59" s="111"/>
    </row>
    <row r="60" spans="3:13" ht="25.8">
      <c r="C60" s="114">
        <v>46154</v>
      </c>
      <c r="D60" s="207"/>
      <c r="E60" s="207"/>
      <c r="F60" s="126" t="s">
        <v>24</v>
      </c>
      <c r="G60" s="111" t="s">
        <v>29</v>
      </c>
      <c r="H60" s="111" t="s">
        <v>66</v>
      </c>
      <c r="I60" s="113">
        <v>2169</v>
      </c>
      <c r="J60" s="113">
        <v>1564</v>
      </c>
      <c r="L60" s="111"/>
      <c r="M60" s="111"/>
    </row>
    <row r="61" spans="3:13" ht="25.8">
      <c r="C61" s="114">
        <v>46154</v>
      </c>
      <c r="D61" s="207"/>
      <c r="E61" s="207"/>
      <c r="F61" s="125" t="s">
        <v>28</v>
      </c>
      <c r="G61" s="111" t="s">
        <v>29</v>
      </c>
      <c r="H61" s="111" t="s">
        <v>66</v>
      </c>
      <c r="I61" s="113">
        <v>43668</v>
      </c>
      <c r="J61" s="113">
        <v>43663</v>
      </c>
      <c r="L61" s="111"/>
      <c r="M61" s="111"/>
    </row>
    <row r="62" spans="3:13" ht="25.8">
      <c r="C62" s="114">
        <v>46154</v>
      </c>
      <c r="D62" s="207"/>
      <c r="E62" s="207"/>
      <c r="F62" s="126" t="s">
        <v>40</v>
      </c>
      <c r="G62" s="111" t="s">
        <v>29</v>
      </c>
      <c r="H62" s="111" t="s">
        <v>66</v>
      </c>
      <c r="I62" s="113">
        <v>63952</v>
      </c>
      <c r="J62" s="113">
        <v>63787</v>
      </c>
      <c r="L62" s="111"/>
      <c r="M62" s="111"/>
    </row>
    <row r="63" spans="3:13" ht="25.8">
      <c r="C63" s="114">
        <v>46154</v>
      </c>
      <c r="D63" s="207"/>
      <c r="E63" s="207"/>
      <c r="F63" s="126" t="s">
        <v>40</v>
      </c>
      <c r="G63" s="111" t="s">
        <v>29</v>
      </c>
      <c r="H63" s="111" t="s">
        <v>66</v>
      </c>
      <c r="I63" s="113">
        <v>63787</v>
      </c>
      <c r="J63" s="113">
        <v>63582</v>
      </c>
      <c r="L63" s="111"/>
      <c r="M63" s="111"/>
    </row>
    <row r="64" spans="3:13" ht="25.8">
      <c r="C64" s="114">
        <v>46154</v>
      </c>
      <c r="D64" s="207"/>
      <c r="E64" s="207"/>
      <c r="F64" s="125" t="s">
        <v>28</v>
      </c>
      <c r="G64" s="111" t="s">
        <v>29</v>
      </c>
      <c r="H64" s="111" t="s">
        <v>66</v>
      </c>
      <c r="I64" s="113">
        <v>43663</v>
      </c>
      <c r="J64" s="113">
        <v>43418</v>
      </c>
      <c r="L64" s="111"/>
      <c r="M64" s="111"/>
    </row>
    <row r="65" spans="3:13" ht="25.8">
      <c r="C65" s="114">
        <v>46154</v>
      </c>
      <c r="D65" s="207"/>
      <c r="E65" s="207"/>
      <c r="F65" s="111" t="s">
        <v>39</v>
      </c>
      <c r="G65" s="111" t="s">
        <v>29</v>
      </c>
      <c r="H65" s="111" t="s">
        <v>66</v>
      </c>
      <c r="I65" s="113">
        <v>384</v>
      </c>
      <c r="J65" s="113">
        <v>339</v>
      </c>
      <c r="L65" s="111"/>
      <c r="M65" s="111"/>
    </row>
    <row r="66" spans="3:13" ht="25.8">
      <c r="C66" s="114">
        <v>46154</v>
      </c>
      <c r="D66" s="207"/>
      <c r="E66" s="207"/>
      <c r="F66" s="111" t="s">
        <v>37</v>
      </c>
      <c r="G66" s="111" t="s">
        <v>29</v>
      </c>
      <c r="H66" s="111" t="s">
        <v>66</v>
      </c>
      <c r="I66" s="113">
        <v>65283</v>
      </c>
      <c r="J66" s="113">
        <v>65078</v>
      </c>
      <c r="L66" s="111"/>
      <c r="M66" s="111"/>
    </row>
    <row r="67" spans="3:13" ht="25.8">
      <c r="C67" s="114">
        <v>46155</v>
      </c>
      <c r="D67" s="207"/>
      <c r="E67" s="207"/>
      <c r="F67" s="111" t="s">
        <v>38</v>
      </c>
      <c r="G67" s="111" t="s">
        <v>29</v>
      </c>
      <c r="H67" s="111" t="s">
        <v>66</v>
      </c>
      <c r="I67" s="113">
        <v>6146</v>
      </c>
      <c r="J67" s="113">
        <v>6061</v>
      </c>
      <c r="L67" s="111"/>
      <c r="M67" s="111"/>
    </row>
    <row r="68" spans="3:13" ht="25.8">
      <c r="C68" s="114">
        <v>46155</v>
      </c>
      <c r="D68" s="207"/>
      <c r="E68" s="207"/>
      <c r="F68" s="111" t="s">
        <v>40</v>
      </c>
      <c r="G68" s="111" t="s">
        <v>29</v>
      </c>
      <c r="H68" s="111" t="s">
        <v>66</v>
      </c>
      <c r="I68" s="113">
        <v>63582</v>
      </c>
      <c r="J68" s="113">
        <v>62617</v>
      </c>
      <c r="L68" s="111"/>
      <c r="M68" s="111"/>
    </row>
    <row r="69" spans="3:13" ht="25.8">
      <c r="C69" s="114">
        <v>46155</v>
      </c>
      <c r="D69" s="207"/>
      <c r="E69" s="207"/>
      <c r="F69" s="111" t="s">
        <v>41</v>
      </c>
      <c r="G69" s="111" t="s">
        <v>29</v>
      </c>
      <c r="H69" s="111" t="s">
        <v>66</v>
      </c>
      <c r="I69" s="113">
        <v>8017</v>
      </c>
      <c r="J69" s="113">
        <v>7812</v>
      </c>
      <c r="L69" s="111"/>
      <c r="M69" s="111"/>
    </row>
    <row r="70" spans="3:13" ht="25.8">
      <c r="C70" s="114">
        <v>46155</v>
      </c>
      <c r="D70" s="207"/>
      <c r="E70" s="207"/>
      <c r="F70" s="111" t="s">
        <v>40</v>
      </c>
      <c r="G70" s="111" t="s">
        <v>29</v>
      </c>
      <c r="H70" s="111" t="s">
        <v>66</v>
      </c>
      <c r="I70" s="113">
        <v>62617</v>
      </c>
      <c r="J70" s="113">
        <v>62412</v>
      </c>
      <c r="L70" s="111"/>
      <c r="M70" s="111"/>
    </row>
    <row r="71" spans="3:13" ht="25.8">
      <c r="C71" s="114">
        <v>46155</v>
      </c>
      <c r="D71" s="207"/>
      <c r="E71" s="207"/>
      <c r="F71" s="111" t="s">
        <v>37</v>
      </c>
      <c r="G71" s="111" t="s">
        <v>29</v>
      </c>
      <c r="H71" s="111" t="s">
        <v>66</v>
      </c>
      <c r="I71" s="113">
        <v>65078</v>
      </c>
      <c r="J71" s="113">
        <v>63473</v>
      </c>
      <c r="L71" s="111"/>
      <c r="M71" s="111"/>
    </row>
    <row r="72" spans="3:13" ht="25.8">
      <c r="C72" s="114">
        <v>46155</v>
      </c>
      <c r="D72" s="207"/>
      <c r="E72" s="207"/>
      <c r="F72" s="111" t="s">
        <v>36</v>
      </c>
      <c r="G72" s="111" t="s">
        <v>29</v>
      </c>
      <c r="H72" s="111" t="s">
        <v>66</v>
      </c>
      <c r="I72" s="113">
        <v>7690</v>
      </c>
      <c r="J72" s="113">
        <v>7485</v>
      </c>
      <c r="L72" s="111"/>
      <c r="M72" s="111"/>
    </row>
    <row r="73" spans="3:13" ht="25.8">
      <c r="C73" s="114">
        <v>46156</v>
      </c>
      <c r="D73" s="207"/>
      <c r="E73" s="207"/>
      <c r="F73" s="111" t="s">
        <v>28</v>
      </c>
      <c r="G73" s="111" t="s">
        <v>29</v>
      </c>
      <c r="H73" s="111" t="s">
        <v>66</v>
      </c>
      <c r="I73" s="113">
        <v>43418</v>
      </c>
      <c r="J73" s="113">
        <v>43342</v>
      </c>
      <c r="L73" s="111"/>
      <c r="M73" s="111"/>
    </row>
    <row r="74" spans="3:13" ht="25.8">
      <c r="C74" s="114">
        <v>46156</v>
      </c>
      <c r="D74" s="207"/>
      <c r="E74" s="207"/>
      <c r="F74" s="111" t="s">
        <v>37</v>
      </c>
      <c r="G74" s="111" t="s">
        <v>29</v>
      </c>
      <c r="H74" s="111" t="s">
        <v>66</v>
      </c>
      <c r="I74" s="113">
        <v>63473</v>
      </c>
      <c r="J74" s="113">
        <v>61468</v>
      </c>
      <c r="L74" s="111"/>
      <c r="M74" s="111"/>
    </row>
    <row r="75" spans="3:13" ht="25.8">
      <c r="C75" s="114">
        <v>46156</v>
      </c>
      <c r="D75" s="207"/>
      <c r="E75" s="207"/>
      <c r="F75" s="111" t="s">
        <v>37</v>
      </c>
      <c r="G75" s="111" t="s">
        <v>29</v>
      </c>
      <c r="H75" s="111" t="s">
        <v>66</v>
      </c>
      <c r="I75" s="113">
        <v>61468</v>
      </c>
      <c r="J75" s="113">
        <v>57063</v>
      </c>
      <c r="L75" s="111"/>
      <c r="M75" s="111"/>
    </row>
    <row r="76" spans="3:13" ht="25.8">
      <c r="C76" s="114">
        <v>46156</v>
      </c>
      <c r="D76" s="207"/>
      <c r="E76" s="207"/>
      <c r="F76" s="111" t="s">
        <v>28</v>
      </c>
      <c r="G76" s="111" t="s">
        <v>29</v>
      </c>
      <c r="H76" s="111" t="s">
        <v>66</v>
      </c>
      <c r="I76" s="113">
        <v>43342</v>
      </c>
      <c r="J76" s="113">
        <v>42457</v>
      </c>
      <c r="L76" s="111"/>
      <c r="M76" s="111"/>
    </row>
    <row r="77" spans="3:13" ht="25.8">
      <c r="C77" s="114">
        <v>46156</v>
      </c>
      <c r="D77" s="207"/>
      <c r="E77" s="207"/>
      <c r="F77" s="111" t="s">
        <v>37</v>
      </c>
      <c r="G77" s="111" t="s">
        <v>29</v>
      </c>
      <c r="H77" s="111" t="s">
        <v>66</v>
      </c>
      <c r="I77" s="113">
        <v>57063</v>
      </c>
      <c r="J77" s="113">
        <v>57016</v>
      </c>
      <c r="L77" s="111"/>
      <c r="M77" s="111"/>
    </row>
    <row r="78" spans="3:13" ht="25.8">
      <c r="C78" s="160">
        <v>46157</v>
      </c>
      <c r="D78" s="207"/>
      <c r="E78" s="207"/>
      <c r="F78" s="161"/>
      <c r="G78" s="161"/>
      <c r="H78" s="161"/>
      <c r="I78" s="162"/>
      <c r="J78" s="162"/>
      <c r="L78" s="158"/>
      <c r="M78" s="158"/>
    </row>
    <row r="79" spans="3:13" ht="25.8">
      <c r="C79" s="114">
        <v>46158</v>
      </c>
      <c r="D79" s="207"/>
      <c r="E79" s="207"/>
      <c r="F79" s="111" t="s">
        <v>38</v>
      </c>
      <c r="G79" s="111" t="s">
        <v>29</v>
      </c>
      <c r="H79" s="111" t="s">
        <v>66</v>
      </c>
      <c r="I79" s="113">
        <v>6061</v>
      </c>
      <c r="J79" s="113">
        <v>5936</v>
      </c>
      <c r="L79" s="111"/>
      <c r="M79" s="111"/>
    </row>
    <row r="80" spans="3:13" ht="25.8">
      <c r="C80" s="114">
        <v>46158</v>
      </c>
      <c r="D80" s="207"/>
      <c r="E80" s="207"/>
      <c r="F80" s="111" t="s">
        <v>31</v>
      </c>
      <c r="G80" s="111" t="s">
        <v>29</v>
      </c>
      <c r="H80" s="111" t="s">
        <v>66</v>
      </c>
      <c r="I80" s="113">
        <v>7723</v>
      </c>
      <c r="J80" s="113">
        <v>7662</v>
      </c>
      <c r="L80" s="111"/>
      <c r="M80" s="111"/>
    </row>
    <row r="81" spans="3:13" ht="25.8">
      <c r="C81" s="114">
        <v>46159</v>
      </c>
      <c r="D81" s="207"/>
      <c r="E81" s="207"/>
      <c r="F81" s="111" t="s">
        <v>24</v>
      </c>
      <c r="G81" s="111" t="s">
        <v>29</v>
      </c>
      <c r="H81" s="111" t="s">
        <v>66</v>
      </c>
      <c r="I81" s="157">
        <v>1564</v>
      </c>
      <c r="J81" s="157">
        <v>1509</v>
      </c>
      <c r="L81" s="111"/>
      <c r="M81" s="111"/>
    </row>
    <row r="82" spans="3:13" ht="25.8">
      <c r="C82" s="114">
        <v>46159</v>
      </c>
      <c r="D82" s="207"/>
      <c r="E82" s="207"/>
      <c r="F82" s="111" t="s">
        <v>38</v>
      </c>
      <c r="G82" s="111" t="s">
        <v>29</v>
      </c>
      <c r="H82" s="111" t="s">
        <v>66</v>
      </c>
      <c r="I82" s="157">
        <v>5936</v>
      </c>
      <c r="J82" s="157">
        <v>5731</v>
      </c>
      <c r="L82" s="111"/>
      <c r="M82" s="111"/>
    </row>
    <row r="83" spans="3:13" ht="25.8">
      <c r="C83" s="114">
        <v>46159</v>
      </c>
      <c r="D83" s="207"/>
      <c r="E83" s="207"/>
      <c r="F83" s="111" t="s">
        <v>31</v>
      </c>
      <c r="G83" s="111" t="s">
        <v>29</v>
      </c>
      <c r="H83" s="111" t="s">
        <v>66</v>
      </c>
      <c r="I83" s="157">
        <v>7662</v>
      </c>
      <c r="J83" s="157">
        <v>7537</v>
      </c>
      <c r="L83" s="111"/>
      <c r="M83" s="111"/>
    </row>
    <row r="84" spans="3:13" ht="25.8">
      <c r="C84" s="114">
        <v>46159</v>
      </c>
      <c r="D84" s="207"/>
      <c r="E84" s="207"/>
      <c r="F84" s="111" t="s">
        <v>28</v>
      </c>
      <c r="G84" s="111" t="s">
        <v>29</v>
      </c>
      <c r="H84" s="111" t="s">
        <v>66</v>
      </c>
      <c r="I84" s="157">
        <v>42457</v>
      </c>
      <c r="J84" s="157">
        <v>41452</v>
      </c>
      <c r="L84" s="111"/>
      <c r="M84" s="111"/>
    </row>
    <row r="85" spans="3:13" ht="25.8">
      <c r="C85" s="114">
        <v>46160</v>
      </c>
      <c r="D85" s="207"/>
      <c r="E85" s="207"/>
      <c r="F85" s="111" t="s">
        <v>39</v>
      </c>
      <c r="G85" s="111" t="s">
        <v>29</v>
      </c>
      <c r="H85" s="111" t="s">
        <v>66</v>
      </c>
      <c r="I85" s="113">
        <v>339</v>
      </c>
      <c r="J85" s="113">
        <v>294</v>
      </c>
      <c r="L85" s="111"/>
      <c r="M85" s="111"/>
    </row>
    <row r="86" spans="3:13" ht="25.8">
      <c r="C86" s="114">
        <v>46160</v>
      </c>
      <c r="D86" s="207"/>
      <c r="E86" s="207"/>
      <c r="F86" s="111" t="s">
        <v>28</v>
      </c>
      <c r="G86" s="111" t="s">
        <v>29</v>
      </c>
      <c r="H86" s="111" t="s">
        <v>66</v>
      </c>
      <c r="I86" s="113">
        <v>41452</v>
      </c>
      <c r="J86" s="113">
        <v>41327</v>
      </c>
      <c r="L86" s="111"/>
      <c r="M86" s="111"/>
    </row>
    <row r="87" spans="3:13" ht="25.8">
      <c r="C87" s="114">
        <v>46160</v>
      </c>
      <c r="D87" s="207"/>
      <c r="E87" s="207"/>
      <c r="F87" s="111" t="s">
        <v>36</v>
      </c>
      <c r="G87" s="111" t="s">
        <v>29</v>
      </c>
      <c r="H87" s="111" t="s">
        <v>66</v>
      </c>
      <c r="I87" s="113">
        <v>7485</v>
      </c>
      <c r="J87" s="113">
        <v>7360</v>
      </c>
      <c r="L87" s="111"/>
      <c r="M87" s="111"/>
    </row>
    <row r="88" spans="3:13" ht="25.8">
      <c r="C88" s="114">
        <v>46160</v>
      </c>
      <c r="D88" s="207"/>
      <c r="E88" s="207"/>
      <c r="F88" s="111" t="s">
        <v>37</v>
      </c>
      <c r="G88" s="111" t="s">
        <v>29</v>
      </c>
      <c r="H88" s="111" t="s">
        <v>66</v>
      </c>
      <c r="I88" s="113">
        <v>57016</v>
      </c>
      <c r="J88" s="113">
        <v>56971</v>
      </c>
      <c r="L88" s="111"/>
      <c r="M88" s="111"/>
    </row>
    <row r="89" spans="3:13" ht="25.8">
      <c r="C89" s="114">
        <v>46160</v>
      </c>
      <c r="D89" s="207"/>
      <c r="E89" s="207"/>
      <c r="F89" s="111" t="s">
        <v>28</v>
      </c>
      <c r="G89" s="111" t="s">
        <v>29</v>
      </c>
      <c r="H89" s="111" t="s">
        <v>66</v>
      </c>
      <c r="I89" s="113">
        <v>41327</v>
      </c>
      <c r="J89" s="113">
        <v>41312</v>
      </c>
      <c r="L89" s="111"/>
      <c r="M89" s="111"/>
    </row>
    <row r="90" spans="3:13" ht="25.8">
      <c r="C90" s="114"/>
      <c r="D90" s="207"/>
      <c r="E90" s="207"/>
      <c r="F90" s="111"/>
      <c r="G90" s="111"/>
      <c r="H90" s="111"/>
      <c r="I90" s="113"/>
      <c r="J90" s="113"/>
      <c r="L90" s="111"/>
      <c r="M90" s="111"/>
    </row>
    <row r="91" spans="3:13" ht="25.8">
      <c r="C91" s="114">
        <v>46160</v>
      </c>
      <c r="D91" s="207"/>
      <c r="E91" s="207"/>
      <c r="F91" s="111" t="s">
        <v>40</v>
      </c>
      <c r="G91" s="111" t="s">
        <v>29</v>
      </c>
      <c r="H91" s="111" t="s">
        <v>66</v>
      </c>
      <c r="I91" s="113">
        <v>62412</v>
      </c>
      <c r="J91" s="113">
        <v>61487</v>
      </c>
      <c r="L91" s="111"/>
      <c r="M91" s="111"/>
    </row>
    <row r="92" spans="3:13" ht="25.8">
      <c r="C92" s="114">
        <v>46160</v>
      </c>
      <c r="D92" s="207"/>
      <c r="E92" s="207"/>
      <c r="F92" s="111" t="s">
        <v>40</v>
      </c>
      <c r="G92" s="111" t="s">
        <v>29</v>
      </c>
      <c r="H92" s="111" t="s">
        <v>66</v>
      </c>
      <c r="I92" s="113">
        <v>61487</v>
      </c>
      <c r="J92" s="113">
        <v>61082</v>
      </c>
      <c r="L92" s="111"/>
      <c r="M92" s="111"/>
    </row>
    <row r="93" spans="3:13" ht="25.8">
      <c r="C93" s="114">
        <v>46160</v>
      </c>
      <c r="D93" s="207"/>
      <c r="E93" s="207"/>
      <c r="F93" s="111" t="s">
        <v>37</v>
      </c>
      <c r="G93" s="111" t="s">
        <v>29</v>
      </c>
      <c r="H93" s="111" t="s">
        <v>66</v>
      </c>
      <c r="I93" s="113">
        <v>56971</v>
      </c>
      <c r="J93" s="113">
        <v>54366</v>
      </c>
      <c r="L93" s="111"/>
      <c r="M93" s="111"/>
    </row>
    <row r="94" spans="3:13" ht="25.8">
      <c r="C94" s="114">
        <v>46160</v>
      </c>
      <c r="D94" s="207"/>
      <c r="E94" s="207"/>
      <c r="F94" s="111" t="s">
        <v>36</v>
      </c>
      <c r="G94" s="111" t="s">
        <v>29</v>
      </c>
      <c r="H94" s="111" t="s">
        <v>66</v>
      </c>
      <c r="I94" s="113">
        <v>7360</v>
      </c>
      <c r="J94" s="113">
        <v>1304</v>
      </c>
      <c r="L94" s="111"/>
      <c r="M94" s="111"/>
    </row>
    <row r="95" spans="3:13" ht="25.8">
      <c r="C95" s="114">
        <v>46161</v>
      </c>
      <c r="D95" s="207"/>
      <c r="E95" s="207"/>
      <c r="F95" s="111"/>
      <c r="G95" s="111"/>
      <c r="H95" s="111"/>
      <c r="I95" s="113"/>
      <c r="J95" s="113"/>
      <c r="L95" s="111"/>
      <c r="M95" s="111"/>
    </row>
    <row r="96" spans="3:13" ht="25.8">
      <c r="C96" s="114">
        <v>46162</v>
      </c>
      <c r="D96" s="207"/>
      <c r="E96" s="207"/>
      <c r="F96" s="111" t="s">
        <v>39</v>
      </c>
      <c r="G96" s="111" t="s">
        <v>29</v>
      </c>
      <c r="H96" s="111" t="s">
        <v>66</v>
      </c>
      <c r="I96" s="113">
        <v>294</v>
      </c>
      <c r="J96" s="113">
        <v>249</v>
      </c>
      <c r="L96" s="111"/>
      <c r="M96" s="111"/>
    </row>
    <row r="97" spans="3:13" ht="25.8">
      <c r="C97" s="114">
        <v>46162</v>
      </c>
      <c r="D97" s="207"/>
      <c r="E97" s="207"/>
      <c r="F97" s="111" t="s">
        <v>24</v>
      </c>
      <c r="G97" s="111" t="s">
        <v>29</v>
      </c>
      <c r="H97" s="111" t="s">
        <v>66</v>
      </c>
      <c r="I97" s="113">
        <v>1509</v>
      </c>
      <c r="J97" s="113">
        <v>1104</v>
      </c>
      <c r="L97" s="111"/>
      <c r="M97" s="111"/>
    </row>
    <row r="98" spans="3:13" ht="25.8">
      <c r="C98" s="114">
        <v>46162</v>
      </c>
      <c r="D98" s="207"/>
      <c r="E98" s="207"/>
      <c r="F98" s="111" t="s">
        <v>38</v>
      </c>
      <c r="G98" s="111" t="s">
        <v>29</v>
      </c>
      <c r="H98" s="111" t="s">
        <v>66</v>
      </c>
      <c r="I98" s="113">
        <v>5731</v>
      </c>
      <c r="J98" s="113">
        <v>5326</v>
      </c>
      <c r="L98" s="111"/>
      <c r="M98" s="111"/>
    </row>
    <row r="99" spans="3:13" ht="25.8">
      <c r="C99" s="114">
        <v>46162</v>
      </c>
      <c r="D99" s="207"/>
      <c r="E99" s="207"/>
      <c r="F99" s="111" t="s">
        <v>36</v>
      </c>
      <c r="G99" s="111" t="s">
        <v>29</v>
      </c>
      <c r="H99" s="111" t="s">
        <v>66</v>
      </c>
      <c r="I99" s="113">
        <v>1304</v>
      </c>
      <c r="J99" s="113">
        <v>1099</v>
      </c>
      <c r="L99" s="111"/>
      <c r="M99" s="111"/>
    </row>
    <row r="100" spans="3:13" ht="25.8">
      <c r="C100" s="114">
        <v>46162</v>
      </c>
      <c r="D100" s="207"/>
      <c r="E100" s="207"/>
      <c r="F100" s="111" t="s">
        <v>31</v>
      </c>
      <c r="G100" s="111" t="s">
        <v>29</v>
      </c>
      <c r="H100" s="111" t="s">
        <v>66</v>
      </c>
      <c r="I100" s="113">
        <v>7537</v>
      </c>
      <c r="J100" s="113">
        <v>6932</v>
      </c>
      <c r="L100" s="111"/>
      <c r="M100" s="111"/>
    </row>
    <row r="101" spans="3:13" ht="25.8">
      <c r="C101" s="114">
        <v>46162</v>
      </c>
      <c r="D101" s="207"/>
      <c r="E101" s="207"/>
      <c r="F101" s="111" t="s">
        <v>40</v>
      </c>
      <c r="G101" s="111" t="s">
        <v>29</v>
      </c>
      <c r="H101" s="111" t="s">
        <v>66</v>
      </c>
      <c r="I101" s="113">
        <v>61082</v>
      </c>
      <c r="J101" s="113">
        <v>60837</v>
      </c>
      <c r="L101" s="111"/>
      <c r="M101" s="111"/>
    </row>
    <row r="102" spans="3:13" ht="25.8">
      <c r="C102" s="114">
        <v>46163</v>
      </c>
      <c r="D102" s="207"/>
      <c r="E102" s="207"/>
      <c r="F102" s="111" t="s">
        <v>31</v>
      </c>
      <c r="G102" s="111" t="s">
        <v>29</v>
      </c>
      <c r="H102" s="111" t="s">
        <v>66</v>
      </c>
      <c r="I102" s="113">
        <v>6932</v>
      </c>
      <c r="J102" s="113">
        <v>6887</v>
      </c>
      <c r="L102" s="111"/>
      <c r="M102" s="111"/>
    </row>
    <row r="103" spans="3:13" ht="25.8">
      <c r="C103" s="114">
        <v>46163</v>
      </c>
      <c r="D103" s="207"/>
      <c r="E103" s="207"/>
      <c r="F103" s="111" t="s">
        <v>38</v>
      </c>
      <c r="G103" s="111" t="s">
        <v>29</v>
      </c>
      <c r="H103" s="111" t="s">
        <v>66</v>
      </c>
      <c r="I103" s="113">
        <v>5326</v>
      </c>
      <c r="J103" s="113">
        <v>5201</v>
      </c>
      <c r="L103" s="111"/>
      <c r="M103" s="111"/>
    </row>
    <row r="104" spans="3:13" ht="25.8">
      <c r="C104" s="114">
        <v>46163</v>
      </c>
      <c r="D104" s="207"/>
      <c r="E104" s="207"/>
      <c r="F104" s="111" t="s">
        <v>40</v>
      </c>
      <c r="G104" s="111" t="s">
        <v>29</v>
      </c>
      <c r="H104" s="111" t="s">
        <v>66</v>
      </c>
      <c r="I104" s="113">
        <v>60837</v>
      </c>
      <c r="J104" s="113">
        <v>60632</v>
      </c>
      <c r="L104" s="111"/>
      <c r="M104" s="111"/>
    </row>
    <row r="105" spans="3:13" ht="25.8">
      <c r="C105" s="114">
        <v>46165</v>
      </c>
      <c r="D105" s="207"/>
      <c r="E105" s="207"/>
      <c r="F105" s="111" t="s">
        <v>37</v>
      </c>
      <c r="G105" s="111" t="s">
        <v>29</v>
      </c>
      <c r="H105" s="111" t="s">
        <v>66</v>
      </c>
      <c r="I105" s="113">
        <v>54366</v>
      </c>
      <c r="J105" s="113">
        <v>54216</v>
      </c>
      <c r="L105" s="111"/>
      <c r="M105" s="111"/>
    </row>
    <row r="106" spans="3:13" ht="25.8">
      <c r="C106" s="114">
        <v>46165</v>
      </c>
      <c r="D106" s="207"/>
      <c r="E106" s="207"/>
      <c r="F106" s="111" t="s">
        <v>38</v>
      </c>
      <c r="G106" s="111" t="s">
        <v>29</v>
      </c>
      <c r="H106" s="111" t="s">
        <v>66</v>
      </c>
      <c r="I106" s="113">
        <v>5201</v>
      </c>
      <c r="J106" s="113">
        <v>5136</v>
      </c>
      <c r="L106" s="111"/>
      <c r="M106" s="111"/>
    </row>
    <row r="107" spans="3:13" ht="25.8">
      <c r="C107" s="173"/>
      <c r="D107" s="207"/>
      <c r="E107" s="207"/>
      <c r="F107" s="111"/>
      <c r="G107" s="111"/>
      <c r="H107" s="111"/>
      <c r="I107" s="113"/>
      <c r="J107" s="113"/>
      <c r="L107" s="111"/>
      <c r="M107" s="111"/>
    </row>
    <row r="108" spans="3:13" ht="25.8">
      <c r="C108" s="173"/>
      <c r="D108" s="207"/>
      <c r="E108" s="207"/>
      <c r="F108" s="111"/>
      <c r="G108" s="111"/>
      <c r="H108" s="111"/>
      <c r="I108" s="113"/>
      <c r="J108" s="113"/>
      <c r="L108" s="111"/>
      <c r="M108" s="111"/>
    </row>
    <row r="109" spans="3:13" ht="25.8">
      <c r="C109" s="173"/>
      <c r="D109" s="207"/>
      <c r="E109" s="207"/>
      <c r="F109" s="111"/>
      <c r="G109" s="111"/>
      <c r="H109" s="111"/>
      <c r="I109" s="113"/>
      <c r="J109" s="113"/>
      <c r="L109" s="111"/>
      <c r="M109" s="111"/>
    </row>
    <row r="110" spans="3:13" ht="25.8">
      <c r="C110" s="173"/>
      <c r="D110" s="207"/>
      <c r="E110" s="207"/>
      <c r="F110" s="111"/>
      <c r="G110" s="111"/>
      <c r="H110" s="111"/>
      <c r="I110" s="113"/>
      <c r="J110" s="113"/>
      <c r="L110" s="111"/>
      <c r="M110" s="111"/>
    </row>
    <row r="111" spans="3:13" ht="25.8">
      <c r="C111" s="173"/>
      <c r="D111" s="207"/>
      <c r="E111" s="207"/>
      <c r="F111" s="111"/>
      <c r="G111" s="111"/>
      <c r="H111" s="111"/>
      <c r="I111" s="113"/>
      <c r="J111" s="113"/>
      <c r="L111" s="111"/>
      <c r="M111" s="111"/>
    </row>
    <row r="112" spans="3:13" ht="25.8">
      <c r="C112" s="173"/>
      <c r="D112" s="207"/>
      <c r="E112" s="207"/>
      <c r="F112" s="173"/>
      <c r="G112" s="173"/>
      <c r="H112" s="173"/>
      <c r="I112" s="157"/>
      <c r="J112" s="157"/>
      <c r="L112" s="111"/>
      <c r="M112" s="111"/>
    </row>
    <row r="113" spans="3:13" ht="25.8">
      <c r="C113" s="173"/>
      <c r="D113" s="208"/>
      <c r="E113" s="208"/>
      <c r="F113" s="173"/>
      <c r="G113" s="173"/>
      <c r="H113" s="173"/>
      <c r="I113" s="157"/>
      <c r="J113" s="157"/>
      <c r="L113" s="111"/>
      <c r="M113" s="111"/>
    </row>
  </sheetData>
  <mergeCells count="5">
    <mergeCell ref="C2:J4"/>
    <mergeCell ref="L3:M4"/>
    <mergeCell ref="C5:J5"/>
    <mergeCell ref="D7:D113"/>
    <mergeCell ref="E7:E113"/>
  </mergeCells>
  <conditionalFormatting sqref="F7:F39">
    <cfRule type="containsText" priority="14" operator="containsText" text="Blue">
      <formula>NOT(ISERROR(SEARCH("Blue",F7)))</formula>
    </cfRule>
    <cfRule type="containsText" dxfId="106" priority="20" operator="containsText" text="Light Blue">
      <formula>NOT(ISERROR(SEARCH("Light Blue",F7)))</formula>
    </cfRule>
    <cfRule type="containsText" dxfId="105" priority="30" operator="containsText" text="Orange">
      <formula>NOT(ISERROR(SEARCH("Orange",F7)))</formula>
    </cfRule>
    <cfRule type="containsText" dxfId="104" priority="31" operator="containsText" text="Purple">
      <formula>NOT(ISERROR(SEARCH("Purple",F7)))</formula>
    </cfRule>
  </conditionalFormatting>
  <conditionalFormatting sqref="F7:F39">
    <cfRule type="containsText" dxfId="103" priority="18" operator="containsText" text="Light Blue">
      <formula>NOT(ISERROR(SEARCH("Light Blue",F7)))</formula>
    </cfRule>
    <cfRule type="containsText" dxfId="102" priority="21" operator="containsText" text="Dark Blue">
      <formula>NOT(ISERROR(SEARCH("Dark Blue",F7)))</formula>
    </cfRule>
    <cfRule type="containsText" dxfId="101" priority="22" operator="containsText" text="Blue">
      <formula>NOT(ISERROR(SEARCH("Blue",F7)))</formula>
    </cfRule>
    <cfRule type="containsText" dxfId="100" priority="23" operator="containsText" text="Yellow">
      <formula>NOT(ISERROR(SEARCH("Yellow",F7)))</formula>
    </cfRule>
    <cfRule type="containsText" dxfId="99" priority="24" operator="containsText" text="Light Blue">
      <formula>NOT(ISERROR(SEARCH("Light Blue",F7)))</formula>
    </cfRule>
    <cfRule type="containsText" dxfId="98" priority="25" operator="containsText" text="Dark Green">
      <formula>NOT(ISERROR(SEARCH("Dark Green",F7)))</formula>
    </cfRule>
    <cfRule type="containsText" dxfId="97" priority="26" operator="containsText" text="Brown">
      <formula>NOT(ISERROR(SEARCH("Brown",F7)))</formula>
    </cfRule>
    <cfRule type="containsText" dxfId="96" priority="27" operator="containsText" text="Green">
      <formula>NOT(ISERROR(SEARCH("Green",F7)))</formula>
    </cfRule>
    <cfRule type="containsText" dxfId="95" priority="28" operator="containsText" text="Red">
      <formula>NOT(ISERROR(SEARCH("Red",F7)))</formula>
    </cfRule>
    <cfRule type="containsText" dxfId="94" priority="29" operator="containsText" text="Gray">
      <formula>NOT(ISERROR(SEARCH("Gray",F7)))</formula>
    </cfRule>
  </conditionalFormatting>
  <conditionalFormatting sqref="F9">
    <cfRule type="containsText" dxfId="93" priority="19" operator="containsText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dxfId="92" priority="17" operator="containsText" text="wHITE">
      <formula>NOT(ISERROR(SEARCH("wHITE",F20)))</formula>
    </cfRule>
  </conditionalFormatting>
  <conditionalFormatting sqref="F7:F39">
    <cfRule type="containsText" dxfId="91" priority="15" operator="containsText" text="White">
      <formula>NOT(ISERROR(SEARCH("White",F7)))</formula>
    </cfRule>
  </conditionalFormatting>
  <conditionalFormatting sqref="F40:F51">
    <cfRule type="containsText" dxfId="90" priority="11" operator="containsText" text="Brown">
      <formula>NOT(ISERROR(SEARCH("Brown",F40)))</formula>
    </cfRule>
    <cfRule type="containsText" dxfId="89" priority="12" operator="containsText" text="Dark Green">
      <formula>NOT(ISERROR(SEARCH("Dark Green",F40)))</formula>
    </cfRule>
    <cfRule type="containsText" dxfId="88" priority="13" operator="containsText" text="Blue">
      <formula>NOT(ISERROR(SEARCH("Blue",F40)))</formula>
    </cfRule>
  </conditionalFormatting>
  <conditionalFormatting sqref="F44">
    <cfRule type="containsText" dxfId="87" priority="10" operator="containsText" text="Dark Blue">
      <formula>NOT(ISERROR(SEARCH("Dark Blue",F44)))</formula>
    </cfRule>
  </conditionalFormatting>
  <conditionalFormatting sqref="F45:F51">
    <cfRule type="containsText" dxfId="86" priority="9" operator="containsText" text="Green">
      <formula>NOT(ISERROR(SEARCH("Green",F45)))</formula>
    </cfRule>
  </conditionalFormatting>
  <conditionalFormatting sqref="F46:F51">
    <cfRule type="containsText" dxfId="85" priority="8" operator="containsText" text="Dark Blue">
      <formula>NOT(ISERROR(SEARCH("Dark Blue",F46)))</formula>
    </cfRule>
  </conditionalFormatting>
  <conditionalFormatting sqref="F47:F51">
    <cfRule type="containsText" dxfId="84" priority="7" operator="containsText" text="Gray">
      <formula>NOT(ISERROR(SEARCH("Gray",F47)))</formula>
    </cfRule>
  </conditionalFormatting>
  <conditionalFormatting sqref="F51:F64">
    <cfRule type="containsText" dxfId="83" priority="6" operator="containsText" text="Purple">
      <formula>NOT(ISERROR(SEARCH("Purple",F51)))</formula>
    </cfRule>
  </conditionalFormatting>
  <conditionalFormatting sqref="F52">
    <cfRule type="containsText" dxfId="82" priority="5" operator="containsText" text="Red">
      <formula>NOT(ISERROR(SEARCH("Red",F52)))</formula>
    </cfRule>
  </conditionalFormatting>
  <conditionalFormatting sqref="F53">
    <cfRule type="containsText" dxfId="81" priority="4" operator="containsText" text="Green">
      <formula>NOT(ISERROR(SEARCH("Green",F53)))</formula>
    </cfRule>
  </conditionalFormatting>
  <conditionalFormatting sqref="F54">
    <cfRule type="containsText" dxfId="80" priority="3" operator="containsText" text="Light Blue">
      <formula>NOT(ISERROR(SEARCH("Light Blue",F54)))</formula>
    </cfRule>
  </conditionalFormatting>
  <conditionalFormatting sqref="F55">
    <cfRule type="containsText" dxfId="79" priority="2" operator="containsText" text="Dark Green">
      <formula>NOT(ISERROR(SEARCH("Dark Green",F55)))</formula>
    </cfRule>
  </conditionalFormatting>
  <conditionalFormatting sqref="F57">
    <cfRule type="containsText" dxfId="78" priority="1" operator="containsText" text="Blue">
      <formula>NOT(ISERROR(SEARCH("Blue",F57)))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75"/>
  <sheetViews>
    <sheetView topLeftCell="A46" zoomScale="70" zoomScaleNormal="70" workbookViewId="0">
      <selection activeCell="M57" sqref="M5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78" t="s">
        <v>9</v>
      </c>
      <c r="D2" s="179"/>
      <c r="E2" s="179"/>
      <c r="F2" s="179"/>
      <c r="G2" s="179"/>
      <c r="H2" s="179"/>
      <c r="I2" s="179"/>
      <c r="J2" s="180"/>
      <c r="K2" s="1"/>
    </row>
    <row r="3" spans="3:13" ht="26.4" thickBot="1">
      <c r="C3" s="181"/>
      <c r="D3" s="182"/>
      <c r="E3" s="182"/>
      <c r="F3" s="182"/>
      <c r="G3" s="182"/>
      <c r="H3" s="182"/>
      <c r="I3" s="182"/>
      <c r="J3" s="183"/>
      <c r="K3" s="1"/>
      <c r="L3" s="187" t="s">
        <v>16</v>
      </c>
      <c r="M3" s="188"/>
    </row>
    <row r="4" spans="3:13" ht="27" thickTop="1" thickBot="1">
      <c r="C4" s="184"/>
      <c r="D4" s="185"/>
      <c r="E4" s="185"/>
      <c r="F4" s="185"/>
      <c r="G4" s="185"/>
      <c r="H4" s="185"/>
      <c r="I4" s="185"/>
      <c r="J4" s="186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194" t="s">
        <v>18</v>
      </c>
      <c r="E7" s="194" t="s">
        <v>2</v>
      </c>
      <c r="F7" s="8" t="s">
        <v>24</v>
      </c>
      <c r="G7" s="11" t="s">
        <v>29</v>
      </c>
      <c r="H7" s="11"/>
      <c r="I7" s="22">
        <v>5118</v>
      </c>
      <c r="J7" s="60">
        <v>5118</v>
      </c>
      <c r="K7" s="1"/>
      <c r="L7" s="11"/>
      <c r="M7" s="11"/>
    </row>
    <row r="8" spans="3:13" ht="26.4" thickBot="1">
      <c r="C8" s="116">
        <v>46143</v>
      </c>
      <c r="D8" s="195"/>
      <c r="E8" s="195"/>
      <c r="F8" s="21" t="s">
        <v>36</v>
      </c>
      <c r="G8" s="11" t="s">
        <v>29</v>
      </c>
      <c r="H8" s="11"/>
      <c r="I8" s="22">
        <v>4753</v>
      </c>
      <c r="J8" s="60">
        <v>4753</v>
      </c>
      <c r="K8" s="1"/>
      <c r="L8" s="11"/>
      <c r="M8" s="11"/>
    </row>
    <row r="9" spans="3:13" ht="26.4" thickBot="1">
      <c r="C9" s="116">
        <v>46143</v>
      </c>
      <c r="D9" s="195"/>
      <c r="E9" s="195"/>
      <c r="F9" s="8" t="s">
        <v>30</v>
      </c>
      <c r="G9" s="11" t="s">
        <v>29</v>
      </c>
      <c r="H9" s="11"/>
      <c r="I9" s="22">
        <v>4153</v>
      </c>
      <c r="J9" s="60">
        <v>4153</v>
      </c>
      <c r="K9" s="1"/>
      <c r="L9" s="11"/>
      <c r="M9" s="11"/>
    </row>
    <row r="10" spans="3:13" ht="26.4" thickBot="1">
      <c r="C10" s="116">
        <v>46143</v>
      </c>
      <c r="D10" s="195"/>
      <c r="E10" s="195"/>
      <c r="F10" s="21" t="s">
        <v>28</v>
      </c>
      <c r="G10" s="11" t="s">
        <v>29</v>
      </c>
      <c r="H10" s="11"/>
      <c r="I10" s="22">
        <v>32357</v>
      </c>
      <c r="J10" s="60">
        <v>32357</v>
      </c>
      <c r="K10" s="1"/>
      <c r="L10" s="11"/>
      <c r="M10" s="11"/>
    </row>
    <row r="11" spans="3:13" ht="26.4" thickBot="1">
      <c r="C11" s="116">
        <v>46143</v>
      </c>
      <c r="D11" s="195"/>
      <c r="E11" s="195"/>
      <c r="F11" s="8" t="s">
        <v>37</v>
      </c>
      <c r="G11" s="11" t="s">
        <v>29</v>
      </c>
      <c r="H11" s="11"/>
      <c r="I11" s="22">
        <v>5904</v>
      </c>
      <c r="J11" s="60">
        <v>5904</v>
      </c>
      <c r="K11" s="1"/>
      <c r="L11" s="11"/>
      <c r="M11" s="11"/>
    </row>
    <row r="12" spans="3:13" ht="26.4" thickBot="1">
      <c r="C12" s="116">
        <v>46143</v>
      </c>
      <c r="D12" s="195"/>
      <c r="E12" s="195"/>
      <c r="F12" s="8" t="s">
        <v>38</v>
      </c>
      <c r="G12" s="11" t="s">
        <v>29</v>
      </c>
      <c r="H12" s="11"/>
      <c r="I12" s="22">
        <v>38160</v>
      </c>
      <c r="J12" s="60">
        <v>38160</v>
      </c>
      <c r="K12" s="1"/>
      <c r="L12" s="11"/>
      <c r="M12" s="11"/>
    </row>
    <row r="13" spans="3:13" ht="26.4" thickBot="1">
      <c r="C13" s="116">
        <v>46143</v>
      </c>
      <c r="D13" s="195"/>
      <c r="E13" s="195"/>
      <c r="F13" s="8" t="s">
        <v>45</v>
      </c>
      <c r="G13" s="11" t="s">
        <v>32</v>
      </c>
      <c r="H13" s="11"/>
      <c r="I13" s="22">
        <v>2410</v>
      </c>
      <c r="J13" s="22">
        <v>2410</v>
      </c>
      <c r="K13" s="1"/>
      <c r="L13" s="11"/>
      <c r="M13" s="11"/>
    </row>
    <row r="14" spans="3:13" s="40" customFormat="1" ht="26.4" thickBot="1">
      <c r="C14" s="46"/>
      <c r="D14" s="195"/>
      <c r="E14" s="195"/>
      <c r="F14" s="55"/>
      <c r="G14" s="47"/>
      <c r="H14" s="47"/>
      <c r="I14" s="58"/>
      <c r="J14" s="47"/>
      <c r="K14" s="36"/>
      <c r="L14" s="47"/>
      <c r="M14" s="47"/>
    </row>
    <row r="15" spans="3:13" ht="26.4" thickBot="1">
      <c r="C15" s="116">
        <v>46144</v>
      </c>
      <c r="D15" s="195"/>
      <c r="E15" s="195"/>
      <c r="F15" s="21" t="s">
        <v>24</v>
      </c>
      <c r="G15" s="11" t="s">
        <v>29</v>
      </c>
      <c r="H15" s="11" t="s">
        <v>66</v>
      </c>
      <c r="I15" s="22">
        <v>47500</v>
      </c>
      <c r="J15" s="22">
        <v>47430</v>
      </c>
      <c r="K15" s="1"/>
      <c r="L15" s="11"/>
      <c r="M15" s="11"/>
    </row>
    <row r="16" spans="3:13" ht="26.4" thickBot="1">
      <c r="C16" s="116">
        <v>46144</v>
      </c>
      <c r="D16" s="195"/>
      <c r="E16" s="195"/>
      <c r="F16" s="8" t="s">
        <v>45</v>
      </c>
      <c r="G16" s="11" t="s">
        <v>32</v>
      </c>
      <c r="H16" s="11" t="s">
        <v>66</v>
      </c>
      <c r="I16" s="22">
        <v>2410</v>
      </c>
      <c r="J16" s="22">
        <v>2407</v>
      </c>
      <c r="K16" s="1"/>
      <c r="L16" s="11"/>
      <c r="M16" s="11"/>
    </row>
    <row r="17" spans="3:13" ht="26.4" thickBot="1">
      <c r="C17" s="116">
        <v>46144</v>
      </c>
      <c r="D17" s="195"/>
      <c r="E17" s="195"/>
      <c r="F17" s="21" t="s">
        <v>24</v>
      </c>
      <c r="G17" s="11" t="s">
        <v>29</v>
      </c>
      <c r="H17" s="11" t="s">
        <v>66</v>
      </c>
      <c r="I17" s="22">
        <v>47430</v>
      </c>
      <c r="J17" s="22">
        <v>47424</v>
      </c>
      <c r="K17" s="1"/>
      <c r="L17" s="11"/>
      <c r="M17" s="11"/>
    </row>
    <row r="18" spans="3:13" ht="26.4" thickBot="1">
      <c r="C18" s="116">
        <v>46144</v>
      </c>
      <c r="D18" s="195"/>
      <c r="E18" s="195"/>
      <c r="F18" s="21" t="s">
        <v>28</v>
      </c>
      <c r="G18" s="11" t="s">
        <v>29</v>
      </c>
      <c r="H18" s="11" t="s">
        <v>66</v>
      </c>
      <c r="I18" s="22">
        <v>32357</v>
      </c>
      <c r="J18" s="22">
        <v>32356</v>
      </c>
      <c r="K18" s="1"/>
      <c r="L18" s="11"/>
      <c r="M18" s="11"/>
    </row>
    <row r="19" spans="3:13" ht="26.4" thickBot="1">
      <c r="C19" s="46"/>
      <c r="D19" s="195"/>
      <c r="E19" s="195"/>
      <c r="F19" s="55"/>
      <c r="G19" s="47"/>
      <c r="H19" s="47"/>
      <c r="I19" s="58"/>
      <c r="J19" s="56"/>
      <c r="K19" s="1"/>
      <c r="L19" s="47"/>
      <c r="M19" s="47"/>
    </row>
    <row r="20" spans="3:13" ht="26.4" thickBot="1">
      <c r="C20" s="140">
        <v>46145</v>
      </c>
      <c r="D20" s="195"/>
      <c r="E20" s="195"/>
      <c r="F20" s="64"/>
      <c r="G20" s="63"/>
      <c r="H20" s="63"/>
      <c r="I20" s="66"/>
      <c r="J20" s="65"/>
      <c r="K20" s="1"/>
      <c r="L20" s="63"/>
      <c r="M20" s="63"/>
    </row>
    <row r="21" spans="3:13" ht="26.25" customHeight="1" thickBot="1">
      <c r="C21" s="46"/>
      <c r="D21" s="195"/>
      <c r="E21" s="195"/>
      <c r="F21" s="55"/>
      <c r="G21" s="47"/>
      <c r="H21" s="47"/>
      <c r="I21" s="62"/>
      <c r="J21" s="56"/>
      <c r="K21" s="1"/>
      <c r="L21" s="47"/>
      <c r="M21" s="47"/>
    </row>
    <row r="22" spans="3:13" ht="26.25" customHeight="1" thickBot="1">
      <c r="C22" s="12">
        <v>46146</v>
      </c>
      <c r="D22" s="195"/>
      <c r="E22" s="195"/>
      <c r="F22" s="8" t="s">
        <v>30</v>
      </c>
      <c r="G22" s="11" t="s">
        <v>29</v>
      </c>
      <c r="H22" s="11" t="s">
        <v>66</v>
      </c>
      <c r="I22" s="33">
        <v>4153</v>
      </c>
      <c r="J22" s="22">
        <v>4151</v>
      </c>
      <c r="K22" s="1"/>
      <c r="L22" s="11"/>
      <c r="M22" s="11"/>
    </row>
    <row r="23" spans="3:13" ht="26.25" customHeight="1" thickBot="1">
      <c r="C23" s="12">
        <v>46147</v>
      </c>
      <c r="D23" s="195"/>
      <c r="E23" s="195"/>
      <c r="F23" s="64"/>
      <c r="G23" s="63"/>
      <c r="H23" s="63"/>
      <c r="I23" s="63"/>
      <c r="J23" s="65"/>
      <c r="K23" s="1"/>
      <c r="L23" s="63"/>
      <c r="M23" s="63"/>
    </row>
    <row r="24" spans="3:13" ht="26.25" customHeight="1" thickBot="1">
      <c r="C24" s="12">
        <v>46148</v>
      </c>
      <c r="D24" s="195"/>
      <c r="E24" s="195"/>
      <c r="F24" s="64"/>
      <c r="G24" s="63"/>
      <c r="H24" s="63"/>
      <c r="I24" s="63"/>
      <c r="J24" s="63"/>
      <c r="K24" s="1"/>
      <c r="L24" s="63"/>
      <c r="M24" s="63"/>
    </row>
    <row r="25" spans="3:13" ht="26.25" customHeight="1" thickBot="1">
      <c r="C25" s="116">
        <v>46149</v>
      </c>
      <c r="D25" s="195"/>
      <c r="E25" s="195"/>
      <c r="F25" s="8" t="s">
        <v>24</v>
      </c>
      <c r="G25" s="11" t="s">
        <v>29</v>
      </c>
      <c r="H25" s="11" t="s">
        <v>66</v>
      </c>
      <c r="I25" s="22">
        <v>47424</v>
      </c>
      <c r="J25" s="22">
        <v>47403</v>
      </c>
      <c r="K25" s="1"/>
      <c r="L25" s="11"/>
      <c r="M25" s="11"/>
    </row>
    <row r="26" spans="3:13" ht="26.25" customHeight="1" thickBot="1">
      <c r="C26" s="116">
        <v>46149</v>
      </c>
      <c r="D26" s="195"/>
      <c r="E26" s="195"/>
      <c r="F26" s="8" t="s">
        <v>30</v>
      </c>
      <c r="G26" s="11" t="s">
        <v>29</v>
      </c>
      <c r="H26" s="11" t="s">
        <v>66</v>
      </c>
      <c r="I26" s="22">
        <v>4151</v>
      </c>
      <c r="J26" s="22">
        <v>4130</v>
      </c>
      <c r="K26" s="1"/>
      <c r="L26" s="11"/>
      <c r="M26" s="11"/>
    </row>
    <row r="27" spans="3:13" ht="26.25" customHeight="1" thickBot="1">
      <c r="C27" s="116">
        <v>46149</v>
      </c>
      <c r="D27" s="195"/>
      <c r="E27" s="195"/>
      <c r="F27" s="8" t="s">
        <v>45</v>
      </c>
      <c r="G27" s="11" t="s">
        <v>32</v>
      </c>
      <c r="H27" s="11" t="s">
        <v>66</v>
      </c>
      <c r="I27" s="22">
        <v>2407</v>
      </c>
      <c r="J27" s="22">
        <v>1802</v>
      </c>
      <c r="K27" s="1"/>
      <c r="L27" s="11"/>
      <c r="M27" s="11"/>
    </row>
    <row r="28" spans="3:13" ht="26.25" customHeight="1" thickBot="1">
      <c r="C28" s="140">
        <v>46150</v>
      </c>
      <c r="D28" s="195"/>
      <c r="E28" s="195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0">
        <v>46151</v>
      </c>
      <c r="D29" s="195"/>
      <c r="E29" s="195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2">
        <v>46152</v>
      </c>
      <c r="D30" s="195"/>
      <c r="E30" s="195"/>
      <c r="F30" s="21" t="s">
        <v>28</v>
      </c>
      <c r="G30" s="11" t="s">
        <v>29</v>
      </c>
      <c r="H30" s="11" t="s">
        <v>66</v>
      </c>
      <c r="I30" s="22">
        <v>32356</v>
      </c>
      <c r="J30" s="22">
        <v>32111</v>
      </c>
      <c r="K30" s="1"/>
      <c r="L30" s="11"/>
      <c r="M30" s="11"/>
    </row>
    <row r="31" spans="3:13" ht="26.25" customHeight="1" thickBot="1">
      <c r="C31" s="12">
        <v>46153</v>
      </c>
      <c r="D31" s="195"/>
      <c r="E31" s="195"/>
      <c r="F31" s="8" t="s">
        <v>36</v>
      </c>
      <c r="G31" s="11" t="s">
        <v>29</v>
      </c>
      <c r="H31" s="11" t="s">
        <v>66</v>
      </c>
      <c r="I31" s="22">
        <v>4753</v>
      </c>
      <c r="J31" s="22">
        <v>4668</v>
      </c>
      <c r="K31" s="1"/>
      <c r="L31" s="11"/>
      <c r="M31" s="11"/>
    </row>
    <row r="32" spans="3:13" ht="26.25" customHeight="1" thickBot="1">
      <c r="C32" s="12">
        <v>46153</v>
      </c>
      <c r="D32" s="195"/>
      <c r="E32" s="195"/>
      <c r="F32" s="8" t="s">
        <v>24</v>
      </c>
      <c r="G32" s="11" t="s">
        <v>29</v>
      </c>
      <c r="H32" s="11" t="s">
        <v>66</v>
      </c>
      <c r="I32" s="22">
        <v>47403</v>
      </c>
      <c r="J32" s="22">
        <v>47358</v>
      </c>
      <c r="K32" s="1"/>
      <c r="L32" s="11"/>
      <c r="M32" s="11"/>
    </row>
    <row r="33" spans="3:13" ht="26.25" customHeight="1" thickBot="1">
      <c r="C33" s="12">
        <v>46153</v>
      </c>
      <c r="D33" s="195"/>
      <c r="E33" s="195"/>
      <c r="F33" s="8" t="s">
        <v>30</v>
      </c>
      <c r="G33" s="11" t="s">
        <v>29</v>
      </c>
      <c r="H33" s="11" t="s">
        <v>66</v>
      </c>
      <c r="I33" s="22">
        <v>4130</v>
      </c>
      <c r="J33" s="22">
        <v>3680</v>
      </c>
      <c r="K33" s="1"/>
      <c r="L33" s="11"/>
      <c r="M33" s="11"/>
    </row>
    <row r="34" spans="3:13" ht="26.25" customHeight="1" thickBot="1">
      <c r="C34" s="12">
        <v>46153</v>
      </c>
      <c r="D34" s="195"/>
      <c r="E34" s="195"/>
      <c r="F34" s="8" t="s">
        <v>45</v>
      </c>
      <c r="G34" s="11" t="s">
        <v>32</v>
      </c>
      <c r="H34" s="11" t="s">
        <v>66</v>
      </c>
      <c r="I34" s="22">
        <v>1802</v>
      </c>
      <c r="J34" s="22">
        <v>1397</v>
      </c>
      <c r="K34" s="1"/>
      <c r="L34" s="11"/>
      <c r="M34" s="11"/>
    </row>
    <row r="35" spans="3:13" ht="26.25" customHeight="1" thickBot="1">
      <c r="C35" s="154">
        <v>46154</v>
      </c>
      <c r="D35" s="195"/>
      <c r="E35" s="195"/>
      <c r="F35" s="21" t="s">
        <v>30</v>
      </c>
      <c r="G35" s="8" t="s">
        <v>29</v>
      </c>
      <c r="H35" s="11" t="s">
        <v>66</v>
      </c>
      <c r="I35" s="156">
        <v>3680</v>
      </c>
      <c r="J35" s="156">
        <v>3675</v>
      </c>
      <c r="K35" s="1"/>
      <c r="L35" s="155"/>
      <c r="M35" s="155"/>
    </row>
    <row r="36" spans="3:13" ht="26.25" customHeight="1" thickBot="1">
      <c r="C36" s="160">
        <v>46155</v>
      </c>
      <c r="D36" s="195"/>
      <c r="E36" s="195"/>
      <c r="F36" s="141"/>
      <c r="G36" s="141"/>
      <c r="H36" s="141"/>
      <c r="I36" s="166"/>
      <c r="J36" s="166"/>
      <c r="K36" s="1"/>
      <c r="L36" s="141"/>
      <c r="M36" s="141"/>
    </row>
    <row r="37" spans="3:13" ht="26.25" customHeight="1">
      <c r="C37" s="160">
        <v>46156</v>
      </c>
      <c r="D37" s="195"/>
      <c r="E37" s="195"/>
      <c r="F37" s="167"/>
      <c r="G37" s="167"/>
      <c r="H37" s="167"/>
      <c r="I37" s="168"/>
      <c r="J37" s="168"/>
      <c r="K37" s="1"/>
      <c r="L37" s="167"/>
      <c r="M37" s="167"/>
    </row>
    <row r="38" spans="3:13" ht="25.8">
      <c r="C38" s="160">
        <v>46157</v>
      </c>
      <c r="D38" s="195"/>
      <c r="E38" s="195"/>
      <c r="F38" s="158"/>
      <c r="G38" s="158"/>
      <c r="H38" s="158"/>
      <c r="I38" s="159"/>
      <c r="J38" s="159"/>
      <c r="L38" s="158"/>
      <c r="M38" s="158"/>
    </row>
    <row r="39" spans="3:13" ht="26.4" thickBot="1">
      <c r="C39" s="160">
        <v>46158</v>
      </c>
      <c r="D39" s="195"/>
      <c r="E39" s="195"/>
      <c r="F39" s="158"/>
      <c r="G39" s="158"/>
      <c r="H39" s="158"/>
      <c r="I39" s="159"/>
      <c r="J39" s="159"/>
      <c r="L39" s="158"/>
      <c r="M39" s="158"/>
    </row>
    <row r="40" spans="3:13" ht="26.4" thickBot="1">
      <c r="C40" s="154">
        <v>46159</v>
      </c>
      <c r="D40" s="195"/>
      <c r="E40" s="195"/>
      <c r="F40" s="111" t="s">
        <v>30</v>
      </c>
      <c r="G40" s="111" t="s">
        <v>29</v>
      </c>
      <c r="H40" s="11" t="s">
        <v>66</v>
      </c>
      <c r="I40" s="113">
        <v>3675</v>
      </c>
      <c r="J40" s="113">
        <v>3673</v>
      </c>
      <c r="L40" s="111"/>
      <c r="M40" s="111"/>
    </row>
    <row r="41" spans="3:13" ht="26.4" thickBot="1">
      <c r="C41" s="154">
        <v>46160</v>
      </c>
      <c r="D41" s="195"/>
      <c r="E41" s="195"/>
      <c r="F41" s="111" t="s">
        <v>45</v>
      </c>
      <c r="G41" s="111" t="s">
        <v>32</v>
      </c>
      <c r="H41" s="11" t="s">
        <v>66</v>
      </c>
      <c r="I41" s="113">
        <v>1397</v>
      </c>
      <c r="J41" s="113">
        <v>992</v>
      </c>
      <c r="L41" s="111"/>
      <c r="M41" s="111"/>
    </row>
    <row r="42" spans="3:13" ht="26.4" thickBot="1">
      <c r="C42" s="154">
        <v>46160</v>
      </c>
      <c r="D42" s="195"/>
      <c r="E42" s="195"/>
      <c r="F42" s="111" t="s">
        <v>30</v>
      </c>
      <c r="G42" s="111" t="s">
        <v>29</v>
      </c>
      <c r="H42" s="11" t="s">
        <v>66</v>
      </c>
      <c r="I42" s="113">
        <v>3673</v>
      </c>
      <c r="J42" s="113">
        <v>3671</v>
      </c>
      <c r="L42" s="111"/>
      <c r="M42" s="111"/>
    </row>
    <row r="43" spans="3:13" ht="26.4" thickBot="1">
      <c r="C43" s="154">
        <v>46160</v>
      </c>
      <c r="D43" s="195"/>
      <c r="E43" s="195"/>
      <c r="F43" s="111" t="s">
        <v>36</v>
      </c>
      <c r="G43" s="111" t="s">
        <v>29</v>
      </c>
      <c r="H43" s="11" t="s">
        <v>66</v>
      </c>
      <c r="I43" s="113">
        <v>4668</v>
      </c>
      <c r="J43" s="113">
        <v>4667</v>
      </c>
      <c r="L43" s="111"/>
      <c r="M43" s="111"/>
    </row>
    <row r="44" spans="3:13" ht="26.4" thickBot="1">
      <c r="C44" s="154">
        <v>46160</v>
      </c>
      <c r="D44" s="195"/>
      <c r="E44" s="195"/>
      <c r="F44" s="111" t="s">
        <v>38</v>
      </c>
      <c r="G44" s="111" t="s">
        <v>29</v>
      </c>
      <c r="H44" s="11" t="s">
        <v>66</v>
      </c>
      <c r="I44" s="113">
        <v>38160</v>
      </c>
      <c r="J44" s="113">
        <v>38159</v>
      </c>
      <c r="L44" s="111"/>
      <c r="M44" s="111"/>
    </row>
    <row r="45" spans="3:13" ht="26.4" thickBot="1">
      <c r="C45" s="154">
        <v>46161</v>
      </c>
      <c r="D45" s="195"/>
      <c r="E45" s="195"/>
      <c r="F45" s="111"/>
      <c r="G45" s="111"/>
      <c r="H45" s="111"/>
      <c r="I45" s="113"/>
      <c r="J45" s="113"/>
      <c r="L45" s="111"/>
      <c r="M45" s="111"/>
    </row>
    <row r="46" spans="3:13" ht="26.4" thickBot="1">
      <c r="C46" s="154">
        <v>46162</v>
      </c>
      <c r="D46" s="195"/>
      <c r="E46" s="195"/>
      <c r="F46" s="111" t="s">
        <v>38</v>
      </c>
      <c r="G46" s="111" t="s">
        <v>29</v>
      </c>
      <c r="H46" s="11" t="s">
        <v>66</v>
      </c>
      <c r="I46" s="113">
        <v>38159</v>
      </c>
      <c r="J46" s="113">
        <v>38158</v>
      </c>
      <c r="L46" s="111"/>
      <c r="M46" s="111"/>
    </row>
    <row r="47" spans="3:13" ht="26.4" thickBot="1">
      <c r="C47" s="154">
        <v>46162</v>
      </c>
      <c r="D47" s="195"/>
      <c r="E47" s="195"/>
      <c r="F47" s="111" t="s">
        <v>45</v>
      </c>
      <c r="G47" s="111" t="s">
        <v>32</v>
      </c>
      <c r="H47" s="11" t="s">
        <v>66</v>
      </c>
      <c r="I47" s="113">
        <v>992</v>
      </c>
      <c r="J47" s="113">
        <v>990</v>
      </c>
      <c r="L47" s="111"/>
      <c r="M47" s="111"/>
    </row>
    <row r="48" spans="3:13" ht="26.4" thickBot="1">
      <c r="C48" s="154">
        <v>46163</v>
      </c>
      <c r="D48" s="195"/>
      <c r="E48" s="195"/>
      <c r="F48" s="111" t="s">
        <v>30</v>
      </c>
      <c r="G48" s="111" t="s">
        <v>29</v>
      </c>
      <c r="H48" s="11" t="s">
        <v>66</v>
      </c>
      <c r="I48" s="113">
        <v>3671</v>
      </c>
      <c r="J48" s="113">
        <v>3626</v>
      </c>
      <c r="L48" s="111"/>
      <c r="M48" s="111"/>
    </row>
    <row r="49" spans="3:13" ht="26.4" thickBot="1">
      <c r="C49" s="154">
        <v>46163</v>
      </c>
      <c r="D49" s="195"/>
      <c r="E49" s="195"/>
      <c r="F49" s="111" t="s">
        <v>36</v>
      </c>
      <c r="G49" s="111" t="s">
        <v>29</v>
      </c>
      <c r="H49" s="11" t="s">
        <v>66</v>
      </c>
      <c r="I49" s="113">
        <v>4667</v>
      </c>
      <c r="J49" s="113">
        <v>4542</v>
      </c>
      <c r="L49" s="111"/>
      <c r="M49" s="111"/>
    </row>
    <row r="50" spans="3:13" ht="26.4" thickBot="1">
      <c r="C50" s="154">
        <v>46163</v>
      </c>
      <c r="D50" s="195"/>
      <c r="E50" s="195"/>
      <c r="F50" s="111" t="s">
        <v>38</v>
      </c>
      <c r="G50" s="111" t="s">
        <v>35</v>
      </c>
      <c r="H50" s="11" t="s">
        <v>66</v>
      </c>
      <c r="I50" s="113">
        <v>38158</v>
      </c>
      <c r="J50" s="113">
        <v>38033</v>
      </c>
      <c r="L50" s="111"/>
      <c r="M50" s="111"/>
    </row>
    <row r="51" spans="3:13" ht="26.4" thickBot="1">
      <c r="C51" s="154">
        <v>46163</v>
      </c>
      <c r="D51" s="195"/>
      <c r="E51" s="195"/>
      <c r="F51" s="111" t="s">
        <v>45</v>
      </c>
      <c r="G51" s="111" t="s">
        <v>32</v>
      </c>
      <c r="H51" s="11" t="s">
        <v>66</v>
      </c>
      <c r="I51" s="113">
        <v>990</v>
      </c>
      <c r="J51" s="113">
        <v>905</v>
      </c>
      <c r="L51" s="111"/>
      <c r="M51" s="111"/>
    </row>
    <row r="52" spans="3:13" ht="26.4" thickBot="1">
      <c r="C52" s="154">
        <v>46163</v>
      </c>
      <c r="D52" s="195"/>
      <c r="E52" s="195"/>
      <c r="F52" s="111" t="s">
        <v>28</v>
      </c>
      <c r="G52" s="111" t="s">
        <v>29</v>
      </c>
      <c r="H52" s="11" t="s">
        <v>66</v>
      </c>
      <c r="I52" s="113">
        <v>32111</v>
      </c>
      <c r="J52" s="113">
        <v>32066</v>
      </c>
      <c r="L52" s="111"/>
      <c r="M52" s="111"/>
    </row>
    <row r="53" spans="3:13" ht="26.4" thickBot="1">
      <c r="C53" s="154">
        <v>46163</v>
      </c>
      <c r="D53" s="195"/>
      <c r="E53" s="195"/>
      <c r="F53" s="111" t="s">
        <v>24</v>
      </c>
      <c r="G53" s="111" t="s">
        <v>29</v>
      </c>
      <c r="H53" s="11" t="s">
        <v>66</v>
      </c>
      <c r="I53" s="113">
        <v>47358</v>
      </c>
      <c r="J53" s="113">
        <v>47153</v>
      </c>
      <c r="L53" s="111"/>
      <c r="M53" s="111"/>
    </row>
    <row r="54" spans="3:13" ht="26.4" thickBot="1">
      <c r="C54" s="114">
        <v>46165</v>
      </c>
      <c r="D54" s="195"/>
      <c r="E54" s="195"/>
      <c r="F54" s="111" t="s">
        <v>36</v>
      </c>
      <c r="G54" s="111" t="s">
        <v>29</v>
      </c>
      <c r="H54" s="11" t="s">
        <v>66</v>
      </c>
      <c r="I54" s="113">
        <v>4542</v>
      </c>
      <c r="J54" s="113">
        <v>4538</v>
      </c>
      <c r="L54" s="111"/>
      <c r="M54" s="111"/>
    </row>
    <row r="55" spans="3:13" ht="26.4" thickBot="1">
      <c r="C55" s="114">
        <v>46165</v>
      </c>
      <c r="D55" s="195"/>
      <c r="E55" s="195"/>
      <c r="F55" s="111" t="s">
        <v>45</v>
      </c>
      <c r="G55" s="111" t="s">
        <v>32</v>
      </c>
      <c r="H55" s="11" t="s">
        <v>66</v>
      </c>
      <c r="I55" s="113">
        <v>905</v>
      </c>
      <c r="J55" s="113">
        <v>903</v>
      </c>
      <c r="L55" s="111"/>
      <c r="M55" s="111"/>
    </row>
    <row r="56" spans="3:13" ht="26.4" thickBot="1">
      <c r="C56" s="114">
        <v>46165</v>
      </c>
      <c r="D56" s="195"/>
      <c r="E56" s="195"/>
      <c r="F56" s="111" t="s">
        <v>36</v>
      </c>
      <c r="G56" s="111" t="s">
        <v>29</v>
      </c>
      <c r="H56" s="11" t="s">
        <v>66</v>
      </c>
      <c r="I56" s="113">
        <v>4538</v>
      </c>
      <c r="J56" s="113">
        <v>4534</v>
      </c>
      <c r="L56" s="111"/>
      <c r="M56" s="111"/>
    </row>
    <row r="57" spans="3:13" ht="25.8">
      <c r="C57" s="111"/>
      <c r="D57" s="195"/>
      <c r="E57" s="195"/>
      <c r="F57" s="111"/>
      <c r="G57" s="111"/>
      <c r="H57" s="111"/>
      <c r="I57" s="113"/>
      <c r="J57" s="113"/>
      <c r="L57" s="111"/>
      <c r="M57" s="111"/>
    </row>
    <row r="58" spans="3:13" ht="25.8">
      <c r="C58" s="111"/>
      <c r="D58" s="195"/>
      <c r="E58" s="195"/>
      <c r="F58" s="111"/>
      <c r="G58" s="111"/>
      <c r="H58" s="111"/>
      <c r="I58" s="113"/>
      <c r="J58" s="113"/>
      <c r="L58" s="111"/>
      <c r="M58" s="111"/>
    </row>
    <row r="59" spans="3:13" ht="25.8">
      <c r="C59" s="111"/>
      <c r="D59" s="195"/>
      <c r="E59" s="195"/>
      <c r="F59" s="111"/>
      <c r="G59" s="111"/>
      <c r="H59" s="111"/>
      <c r="I59" s="113"/>
      <c r="J59" s="113"/>
      <c r="L59" s="111"/>
      <c r="M59" s="111"/>
    </row>
    <row r="60" spans="3:13" ht="25.8">
      <c r="C60" s="111"/>
      <c r="D60" s="195"/>
      <c r="E60" s="195"/>
      <c r="F60" s="111"/>
      <c r="G60" s="111"/>
      <c r="H60" s="111"/>
      <c r="I60" s="113"/>
      <c r="J60" s="113"/>
      <c r="L60" s="111"/>
      <c r="M60" s="111"/>
    </row>
    <row r="61" spans="3:13" ht="25.8">
      <c r="C61" s="111"/>
      <c r="D61" s="195"/>
      <c r="E61" s="195"/>
      <c r="F61" s="111"/>
      <c r="G61" s="111"/>
      <c r="H61" s="111"/>
      <c r="I61" s="113"/>
      <c r="J61" s="113"/>
      <c r="L61" s="111"/>
      <c r="M61" s="111"/>
    </row>
    <row r="62" spans="3:13" ht="25.8">
      <c r="C62" s="111"/>
      <c r="D62" s="195"/>
      <c r="E62" s="195"/>
      <c r="F62" s="111"/>
      <c r="G62" s="111"/>
      <c r="H62" s="111"/>
      <c r="I62" s="113"/>
      <c r="J62" s="113"/>
      <c r="L62" s="111"/>
      <c r="M62" s="111"/>
    </row>
    <row r="63" spans="3:13" ht="25.8">
      <c r="C63" s="111"/>
      <c r="D63" s="195"/>
      <c r="E63" s="195"/>
      <c r="F63" s="111"/>
      <c r="G63" s="111"/>
      <c r="H63" s="111"/>
      <c r="I63" s="113"/>
      <c r="J63" s="113"/>
      <c r="L63" s="111"/>
      <c r="M63" s="111"/>
    </row>
    <row r="64" spans="3:13" ht="25.8">
      <c r="C64" s="111"/>
      <c r="D64" s="195"/>
      <c r="E64" s="195"/>
      <c r="F64" s="111"/>
      <c r="G64" s="111"/>
      <c r="H64" s="111"/>
      <c r="I64" s="113"/>
      <c r="J64" s="113"/>
      <c r="L64" s="111"/>
      <c r="M64" s="111"/>
    </row>
    <row r="65" spans="3:13" ht="25.8">
      <c r="C65" s="111"/>
      <c r="D65" s="195"/>
      <c r="E65" s="195"/>
      <c r="F65" s="111"/>
      <c r="G65" s="111"/>
      <c r="H65" s="111"/>
      <c r="I65" s="113"/>
      <c r="J65" s="113"/>
      <c r="L65" s="111"/>
      <c r="M65" s="111"/>
    </row>
    <row r="66" spans="3:13" ht="25.8">
      <c r="C66" s="111"/>
      <c r="D66" s="195"/>
      <c r="E66" s="195"/>
      <c r="F66" s="111"/>
      <c r="G66" s="111"/>
      <c r="H66" s="111"/>
      <c r="I66" s="113"/>
      <c r="J66" s="113"/>
      <c r="L66" s="111"/>
      <c r="M66" s="111"/>
    </row>
    <row r="67" spans="3:13" ht="25.8">
      <c r="C67" s="111"/>
      <c r="D67" s="195"/>
      <c r="E67" s="195"/>
      <c r="F67" s="111"/>
      <c r="G67" s="111"/>
      <c r="H67" s="111"/>
      <c r="I67" s="113"/>
      <c r="J67" s="113"/>
      <c r="L67" s="111"/>
      <c r="M67" s="111"/>
    </row>
    <row r="68" spans="3:13" ht="25.8">
      <c r="C68" s="111"/>
      <c r="D68" s="195"/>
      <c r="E68" s="195"/>
      <c r="F68" s="111"/>
      <c r="G68" s="111"/>
      <c r="H68" s="111"/>
      <c r="I68" s="113"/>
      <c r="J68" s="113"/>
      <c r="L68" s="111"/>
      <c r="M68" s="111"/>
    </row>
    <row r="69" spans="3:13" ht="25.8">
      <c r="C69" s="111"/>
      <c r="D69" s="195"/>
      <c r="E69" s="195"/>
      <c r="F69" s="111"/>
      <c r="G69" s="111"/>
      <c r="H69" s="111"/>
      <c r="I69" s="113"/>
      <c r="J69" s="113"/>
      <c r="L69" s="111"/>
      <c r="M69" s="111"/>
    </row>
    <row r="70" spans="3:13" ht="25.8">
      <c r="C70" s="111"/>
      <c r="D70" s="195"/>
      <c r="E70" s="195"/>
      <c r="F70" s="111"/>
      <c r="G70" s="111"/>
      <c r="H70" s="111"/>
      <c r="I70" s="113"/>
      <c r="J70" s="113"/>
      <c r="L70" s="111"/>
      <c r="M70" s="111"/>
    </row>
    <row r="71" spans="3:13" ht="25.8">
      <c r="C71" s="111"/>
      <c r="D71" s="195"/>
      <c r="E71" s="195"/>
      <c r="F71" s="111"/>
      <c r="G71" s="111"/>
      <c r="H71" s="111"/>
      <c r="I71" s="113"/>
      <c r="J71" s="113"/>
      <c r="L71" s="111"/>
      <c r="M71" s="111"/>
    </row>
    <row r="72" spans="3:13" ht="25.8">
      <c r="C72" s="111"/>
      <c r="D72" s="195"/>
      <c r="E72" s="195"/>
      <c r="F72" s="111"/>
      <c r="G72" s="111"/>
      <c r="H72" s="111"/>
      <c r="I72" s="113"/>
      <c r="J72" s="113"/>
      <c r="L72" s="111"/>
      <c r="M72" s="111"/>
    </row>
    <row r="73" spans="3:13" ht="25.8">
      <c r="C73" s="111"/>
      <c r="D73" s="195"/>
      <c r="E73" s="195"/>
      <c r="F73" s="111"/>
      <c r="G73" s="111"/>
      <c r="H73" s="111"/>
      <c r="I73" s="113"/>
      <c r="J73" s="113"/>
      <c r="L73" s="111"/>
      <c r="M73" s="111"/>
    </row>
    <row r="74" spans="3:13" ht="25.8">
      <c r="C74" s="111"/>
      <c r="D74" s="195"/>
      <c r="E74" s="195"/>
      <c r="F74" s="111"/>
      <c r="G74" s="111"/>
      <c r="H74" s="111"/>
      <c r="I74" s="113"/>
      <c r="J74" s="113"/>
      <c r="L74" s="111"/>
      <c r="M74" s="111"/>
    </row>
    <row r="75" spans="3:13" ht="25.8">
      <c r="C75" s="111"/>
      <c r="D75" s="196"/>
      <c r="E75" s="196"/>
      <c r="F75" s="111"/>
      <c r="G75" s="111"/>
      <c r="H75" s="111"/>
      <c r="I75" s="113"/>
      <c r="J75" s="113"/>
      <c r="L75" s="111"/>
      <c r="M75" s="111"/>
    </row>
  </sheetData>
  <mergeCells count="5">
    <mergeCell ref="C2:J4"/>
    <mergeCell ref="L3:M4"/>
    <mergeCell ref="C5:J5"/>
    <mergeCell ref="D7:D75"/>
    <mergeCell ref="E7:E75"/>
  </mergeCells>
  <conditionalFormatting sqref="F7:F37">
    <cfRule type="containsText" dxfId="122" priority="6" operator="containsText" text="Light Blue">
      <formula>NOT(ISERROR(SEARCH("Light Blue",F7)))</formula>
    </cfRule>
    <cfRule type="containsText" dxfId="121" priority="16" operator="containsText" text="Orange">
      <formula>NOT(ISERROR(SEARCH("Orange",F7)))</formula>
    </cfRule>
    <cfRule type="containsText" dxfId="120" priority="17" operator="containsText" text="Purple">
      <formula>NOT(ISERROR(SEARCH("Purple",F7)))</formula>
    </cfRule>
  </conditionalFormatting>
  <conditionalFormatting sqref="F7:F37">
    <cfRule type="containsText" dxfId="119" priority="4" operator="containsText" text="Light Blue">
      <formula>NOT(ISERROR(SEARCH("Light Blue",F7)))</formula>
    </cfRule>
    <cfRule type="containsText" dxfId="118" priority="7" operator="containsText" text="Dark Blue">
      <formula>NOT(ISERROR(SEARCH("Dark Blue",F7)))</formula>
    </cfRule>
    <cfRule type="containsText" dxfId="117" priority="8" operator="containsText" text="Blue">
      <formula>NOT(ISERROR(SEARCH("Blue",F7)))</formula>
    </cfRule>
    <cfRule type="containsText" dxfId="116" priority="9" operator="containsText" text="Yellow">
      <formula>NOT(ISERROR(SEARCH("Yellow",F7)))</formula>
    </cfRule>
    <cfRule type="containsText" dxfId="115" priority="10" operator="containsText" text="Light Blue">
      <formula>NOT(ISERROR(SEARCH("Light Blue",F7)))</formula>
    </cfRule>
    <cfRule type="containsText" dxfId="114" priority="11" operator="containsText" text="Dark Green">
      <formula>NOT(ISERROR(SEARCH("Dark Green",F7)))</formula>
    </cfRule>
    <cfRule type="containsText" dxfId="113" priority="12" operator="containsText" text="Brown">
      <formula>NOT(ISERROR(SEARCH("Brown",F7)))</formula>
    </cfRule>
    <cfRule type="containsText" dxfId="112" priority="13" operator="containsText" text="Green">
      <formula>NOT(ISERROR(SEARCH("Green",F7)))</formula>
    </cfRule>
    <cfRule type="containsText" dxfId="111" priority="14" operator="containsText" text="Red">
      <formula>NOT(ISERROR(SEARCH("Red",F7)))</formula>
    </cfRule>
    <cfRule type="containsText" dxfId="110" priority="15" operator="containsText" text="Gray">
      <formula>NOT(ISERROR(SEARCH("Gray",F7)))</formula>
    </cfRule>
  </conditionalFormatting>
  <conditionalFormatting sqref="F8">
    <cfRule type="containsText" dxfId="109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108" priority="3" operator="containsText" text="wHITE">
      <formula>NOT(ISERROR(SEARCH("wHITE",F19)))</formula>
    </cfRule>
  </conditionalFormatting>
  <conditionalFormatting sqref="F7:F37">
    <cfRule type="containsText" dxfId="107" priority="1" operator="containsText" text="White">
      <formula>NOT(ISERROR(SEARCH("White",F7)))</formula>
    </cfRule>
  </conditionalFormatting>
  <dataValidations count="4">
    <dataValidation type="list" allowBlank="1" showInputMessage="1" showErrorMessage="1" sqref="G1:G1048576" xr:uid="{00000000-0002-0000-0100-000000000000}">
      <formula1>"(75*9),(75*13),(70*45)"</formula1>
    </dataValidation>
    <dataValidation type="list" allowBlank="1" showInputMessage="1" showErrorMessage="1" sqref="F1:F1048576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" xr:uid="{00000000-0002-0000-0100-000002000000}">
      <formula1>"C&amp;S"</formula1>
    </dataValidation>
    <dataValidation type="list" allowBlank="1" showInputMessage="1" showErrorMessage="1" sqref="D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71"/>
  <sheetViews>
    <sheetView topLeftCell="A55" zoomScale="70" zoomScaleNormal="70" workbookViewId="0">
      <selection activeCell="F64" sqref="F6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4" customWidth="1"/>
    <col min="10" max="10" width="42.33203125" style="34" customWidth="1"/>
    <col min="12" max="13" width="16.6640625" customWidth="1"/>
  </cols>
  <sheetData>
    <row r="1" spans="3:13" ht="15" thickBot="1"/>
    <row r="2" spans="3:13" ht="26.4" thickBot="1">
      <c r="C2" s="209" t="s">
        <v>6</v>
      </c>
      <c r="D2" s="210"/>
      <c r="E2" s="210"/>
      <c r="F2" s="210"/>
      <c r="G2" s="210"/>
      <c r="H2" s="210"/>
      <c r="I2" s="210"/>
      <c r="J2" s="211"/>
      <c r="K2" s="1"/>
    </row>
    <row r="3" spans="3:13" ht="27.75" customHeight="1" thickBot="1">
      <c r="C3" s="212"/>
      <c r="D3" s="213"/>
      <c r="E3" s="213"/>
      <c r="F3" s="213"/>
      <c r="G3" s="213"/>
      <c r="H3" s="213"/>
      <c r="I3" s="213"/>
      <c r="J3" s="214"/>
      <c r="K3" s="1"/>
      <c r="L3" s="187" t="s">
        <v>16</v>
      </c>
      <c r="M3" s="188"/>
    </row>
    <row r="4" spans="3:13" ht="27.75" customHeight="1" thickTop="1" thickBot="1">
      <c r="C4" s="215"/>
      <c r="D4" s="216"/>
      <c r="E4" s="216"/>
      <c r="F4" s="216"/>
      <c r="G4" s="216"/>
      <c r="H4" s="216"/>
      <c r="I4" s="216"/>
      <c r="J4" s="217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38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194" t="s">
        <v>18</v>
      </c>
      <c r="E7" s="194" t="s">
        <v>5</v>
      </c>
      <c r="F7" s="37" t="s">
        <v>56</v>
      </c>
      <c r="G7" s="11" t="s">
        <v>57</v>
      </c>
      <c r="H7" s="11"/>
      <c r="I7" s="22">
        <v>7591</v>
      </c>
      <c r="J7" s="22">
        <v>7591</v>
      </c>
      <c r="K7" s="1"/>
      <c r="L7" s="11"/>
      <c r="M7" s="11"/>
    </row>
    <row r="8" spans="3:13" ht="26.4" thickBot="1">
      <c r="C8" s="116">
        <v>46143</v>
      </c>
      <c r="D8" s="195"/>
      <c r="E8" s="195"/>
      <c r="F8" s="21" t="s">
        <v>24</v>
      </c>
      <c r="G8" s="11" t="s">
        <v>29</v>
      </c>
      <c r="H8" s="11"/>
      <c r="I8" s="22">
        <v>6945</v>
      </c>
      <c r="J8" s="22">
        <v>6945</v>
      </c>
      <c r="K8" s="1"/>
      <c r="L8" s="11"/>
      <c r="M8" s="11"/>
    </row>
    <row r="9" spans="3:13" ht="26.4" thickBot="1">
      <c r="C9" s="116">
        <v>46143</v>
      </c>
      <c r="D9" s="195"/>
      <c r="E9" s="195"/>
      <c r="F9" s="10" t="s">
        <v>58</v>
      </c>
      <c r="G9" s="11" t="s">
        <v>57</v>
      </c>
      <c r="H9" s="11"/>
      <c r="I9" s="22">
        <v>7450</v>
      </c>
      <c r="J9" s="22">
        <v>7450</v>
      </c>
      <c r="K9" s="1"/>
      <c r="L9" s="11"/>
      <c r="M9" s="13"/>
    </row>
    <row r="10" spans="3:13" ht="26.4" thickBot="1">
      <c r="C10" s="116">
        <v>46143</v>
      </c>
      <c r="D10" s="195"/>
      <c r="E10" s="195"/>
      <c r="F10" s="8" t="s">
        <v>37</v>
      </c>
      <c r="G10" s="11" t="s">
        <v>29</v>
      </c>
      <c r="H10" s="11"/>
      <c r="I10" s="22">
        <v>20729</v>
      </c>
      <c r="J10" s="22">
        <v>20729</v>
      </c>
      <c r="K10" s="1"/>
      <c r="L10" s="11"/>
      <c r="M10" s="11"/>
    </row>
    <row r="11" spans="3:13" ht="26.4" thickBot="1">
      <c r="C11" s="116">
        <v>46143</v>
      </c>
      <c r="D11" s="195"/>
      <c r="E11" s="195"/>
      <c r="F11" s="8" t="s">
        <v>36</v>
      </c>
      <c r="G11" s="11" t="s">
        <v>29</v>
      </c>
      <c r="H11" s="11"/>
      <c r="I11" s="22">
        <v>24013</v>
      </c>
      <c r="J11" s="22">
        <v>24013</v>
      </c>
      <c r="K11" s="1"/>
      <c r="L11" s="11"/>
      <c r="M11" s="11"/>
    </row>
    <row r="12" spans="3:13" ht="26.4" thickBot="1">
      <c r="C12" s="116">
        <v>46143</v>
      </c>
      <c r="D12" s="195"/>
      <c r="E12" s="195"/>
      <c r="F12" s="8" t="s">
        <v>59</v>
      </c>
      <c r="G12" s="11"/>
      <c r="H12" s="11"/>
      <c r="I12" s="22">
        <v>13993</v>
      </c>
      <c r="J12" s="22">
        <v>13993</v>
      </c>
      <c r="K12" s="1"/>
      <c r="L12" s="11"/>
      <c r="M12" s="11"/>
    </row>
    <row r="13" spans="3:13" ht="26.4" thickBot="1">
      <c r="C13" s="116">
        <v>46143</v>
      </c>
      <c r="D13" s="195"/>
      <c r="E13" s="195"/>
      <c r="F13" s="21" t="s">
        <v>42</v>
      </c>
      <c r="G13" s="11"/>
      <c r="H13" s="11"/>
      <c r="I13" s="22">
        <v>5516</v>
      </c>
      <c r="J13" s="22">
        <v>5516</v>
      </c>
      <c r="K13" s="1"/>
      <c r="L13" s="11"/>
      <c r="M13" s="11"/>
    </row>
    <row r="14" spans="3:13" ht="26.4" thickBot="1">
      <c r="C14" s="46"/>
      <c r="D14" s="195"/>
      <c r="E14" s="195"/>
      <c r="F14" s="55"/>
      <c r="G14" s="47"/>
      <c r="H14" s="47"/>
      <c r="I14" s="56"/>
      <c r="J14" s="56"/>
      <c r="K14" s="36"/>
      <c r="L14" s="47"/>
      <c r="M14" s="47"/>
    </row>
    <row r="15" spans="3:13" ht="26.4" thickBot="1">
      <c r="C15" s="12">
        <v>46144</v>
      </c>
      <c r="D15" s="195"/>
      <c r="E15" s="195"/>
      <c r="F15" s="10" t="s">
        <v>59</v>
      </c>
      <c r="G15" s="11"/>
      <c r="H15" s="11" t="s">
        <v>66</v>
      </c>
      <c r="I15" s="22">
        <v>13978</v>
      </c>
      <c r="J15" s="22">
        <v>13888</v>
      </c>
      <c r="K15" s="1"/>
      <c r="L15" s="11"/>
      <c r="M15" s="11"/>
    </row>
    <row r="16" spans="3:13" ht="26.4" thickBot="1">
      <c r="C16" s="46"/>
      <c r="D16" s="195"/>
      <c r="E16" s="195"/>
      <c r="F16" s="55"/>
      <c r="G16" s="47"/>
      <c r="H16" s="47"/>
      <c r="I16" s="56"/>
      <c r="J16" s="56"/>
      <c r="K16" s="1"/>
      <c r="L16" s="11"/>
      <c r="M16" s="11"/>
    </row>
    <row r="17" spans="3:13" ht="26.4" thickBot="1">
      <c r="C17" s="12">
        <v>46145</v>
      </c>
      <c r="D17" s="195"/>
      <c r="E17" s="195"/>
      <c r="F17" s="8" t="s">
        <v>59</v>
      </c>
      <c r="G17" s="11"/>
      <c r="H17" s="11" t="s">
        <v>66</v>
      </c>
      <c r="I17" s="22">
        <v>13888</v>
      </c>
      <c r="J17" s="22">
        <v>5888</v>
      </c>
      <c r="K17" s="1"/>
      <c r="L17" s="11"/>
      <c r="M17" s="11"/>
    </row>
    <row r="18" spans="3:13" ht="26.4" thickBot="1">
      <c r="C18" s="46"/>
      <c r="D18" s="195"/>
      <c r="E18" s="195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2">
        <v>46146</v>
      </c>
      <c r="D19" s="195"/>
      <c r="E19" s="195"/>
      <c r="F19" s="8"/>
      <c r="G19" s="11"/>
      <c r="H19" s="11"/>
      <c r="I19" s="22"/>
      <c r="J19" s="22"/>
      <c r="K19" s="1"/>
      <c r="L19" s="11"/>
      <c r="M19" s="11"/>
    </row>
    <row r="20" spans="3:13" ht="26.4" thickBot="1">
      <c r="C20" s="12">
        <v>46148</v>
      </c>
      <c r="D20" s="195"/>
      <c r="E20" s="195"/>
      <c r="F20" s="8" t="s">
        <v>59</v>
      </c>
      <c r="G20" s="11"/>
      <c r="H20" s="11" t="s">
        <v>66</v>
      </c>
      <c r="I20" s="22">
        <v>5888</v>
      </c>
      <c r="J20" s="22">
        <v>5828</v>
      </c>
      <c r="K20" s="1"/>
      <c r="L20" s="11"/>
      <c r="M20" s="11"/>
    </row>
    <row r="21" spans="3:13" ht="26.25" customHeight="1" thickBot="1">
      <c r="C21" s="116">
        <v>46149</v>
      </c>
      <c r="D21" s="195"/>
      <c r="E21" s="195"/>
      <c r="F21" s="10" t="s">
        <v>59</v>
      </c>
      <c r="G21" s="11"/>
      <c r="H21" s="11" t="s">
        <v>66</v>
      </c>
      <c r="I21" s="22">
        <v>5828</v>
      </c>
      <c r="J21" s="22">
        <v>5728</v>
      </c>
      <c r="K21" s="1"/>
      <c r="L21" s="11"/>
      <c r="M21" s="11"/>
    </row>
    <row r="22" spans="3:13" ht="26.25" customHeight="1" thickBot="1">
      <c r="C22" s="116">
        <v>46149</v>
      </c>
      <c r="D22" s="195"/>
      <c r="E22" s="195"/>
      <c r="F22" s="8" t="s">
        <v>59</v>
      </c>
      <c r="G22" s="11"/>
      <c r="H22" s="11" t="s">
        <v>66</v>
      </c>
      <c r="I22" s="22">
        <v>5728</v>
      </c>
      <c r="J22" s="22">
        <v>5722</v>
      </c>
      <c r="K22" s="1"/>
      <c r="L22" s="11"/>
      <c r="M22" s="11"/>
    </row>
    <row r="23" spans="3:13" ht="26.25" customHeight="1" thickBot="1">
      <c r="C23" s="116">
        <v>46149</v>
      </c>
      <c r="D23" s="195"/>
      <c r="E23" s="195"/>
      <c r="F23" s="8" t="s">
        <v>59</v>
      </c>
      <c r="G23" s="11"/>
      <c r="H23" s="11" t="s">
        <v>66</v>
      </c>
      <c r="I23" s="22">
        <v>5722</v>
      </c>
      <c r="J23" s="22">
        <v>5557</v>
      </c>
      <c r="K23" s="1"/>
      <c r="L23" s="11"/>
      <c r="M23" s="11"/>
    </row>
    <row r="24" spans="3:13" ht="26.25" customHeight="1" thickBot="1">
      <c r="C24" s="116">
        <v>46149</v>
      </c>
      <c r="D24" s="195"/>
      <c r="E24" s="195"/>
      <c r="F24" s="8" t="s">
        <v>59</v>
      </c>
      <c r="G24" s="11"/>
      <c r="H24" s="11" t="s">
        <v>66</v>
      </c>
      <c r="I24" s="22">
        <v>5557</v>
      </c>
      <c r="J24" s="22">
        <v>5517</v>
      </c>
      <c r="K24" s="1"/>
      <c r="L24" s="11"/>
      <c r="M24" s="11"/>
    </row>
    <row r="25" spans="3:13" ht="26.25" customHeight="1" thickBot="1">
      <c r="C25" s="116">
        <v>46149</v>
      </c>
      <c r="D25" s="195"/>
      <c r="E25" s="195"/>
      <c r="F25" s="8" t="s">
        <v>37</v>
      </c>
      <c r="G25" s="11"/>
      <c r="H25" s="11" t="s">
        <v>66</v>
      </c>
      <c r="I25" s="22">
        <v>20729</v>
      </c>
      <c r="J25" s="22">
        <v>20604</v>
      </c>
      <c r="K25" s="1"/>
      <c r="L25" s="11"/>
      <c r="M25" s="11"/>
    </row>
    <row r="26" spans="3:13" ht="26.25" customHeight="1" thickBot="1">
      <c r="C26" s="116">
        <v>46149</v>
      </c>
      <c r="D26" s="195"/>
      <c r="E26" s="195"/>
      <c r="F26" s="8" t="s">
        <v>37</v>
      </c>
      <c r="G26" s="11"/>
      <c r="H26" s="11" t="s">
        <v>66</v>
      </c>
      <c r="I26" s="22">
        <v>20604</v>
      </c>
      <c r="J26" s="22">
        <v>20591</v>
      </c>
      <c r="K26" s="1"/>
      <c r="L26" s="11"/>
      <c r="M26" s="11"/>
    </row>
    <row r="27" spans="3:13" ht="26.25" customHeight="1" thickBot="1">
      <c r="C27" s="116">
        <v>46149</v>
      </c>
      <c r="D27" s="195"/>
      <c r="E27" s="195"/>
      <c r="F27" s="8" t="s">
        <v>59</v>
      </c>
      <c r="G27" s="11"/>
      <c r="H27" s="11" t="s">
        <v>66</v>
      </c>
      <c r="I27" s="22">
        <v>5517</v>
      </c>
      <c r="J27" s="22">
        <v>5457</v>
      </c>
      <c r="K27" s="1"/>
      <c r="L27" s="11"/>
      <c r="M27" s="11"/>
    </row>
    <row r="28" spans="3:13" ht="26.25" customHeight="1" thickBot="1">
      <c r="C28" s="140">
        <v>46150</v>
      </c>
      <c r="D28" s="195"/>
      <c r="E28" s="195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0">
        <v>46151</v>
      </c>
      <c r="D29" s="195"/>
      <c r="E29" s="195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0">
        <v>46152</v>
      </c>
      <c r="D30" s="195"/>
      <c r="E30" s="195"/>
      <c r="F30" s="64"/>
      <c r="G30" s="63"/>
      <c r="H30" s="63"/>
      <c r="I30" s="65"/>
      <c r="J30" s="65"/>
      <c r="K30" s="1"/>
      <c r="L30" s="63"/>
      <c r="M30" s="63"/>
    </row>
    <row r="31" spans="3:13" ht="26.25" customHeight="1" thickBot="1">
      <c r="C31" s="12">
        <v>46153</v>
      </c>
      <c r="D31" s="195"/>
      <c r="E31" s="195"/>
      <c r="F31" s="8" t="s">
        <v>42</v>
      </c>
      <c r="G31" s="11" t="s">
        <v>29</v>
      </c>
      <c r="H31" s="11" t="s">
        <v>66</v>
      </c>
      <c r="I31" s="22">
        <v>5516</v>
      </c>
      <c r="J31" s="22">
        <v>5450</v>
      </c>
      <c r="K31" s="1"/>
      <c r="L31" s="11"/>
      <c r="M31" s="11"/>
    </row>
    <row r="32" spans="3:13" ht="26.25" customHeight="1" thickBot="1">
      <c r="C32" s="12">
        <v>46153</v>
      </c>
      <c r="D32" s="195"/>
      <c r="E32" s="195"/>
      <c r="F32" s="8" t="s">
        <v>24</v>
      </c>
      <c r="G32" s="11" t="s">
        <v>29</v>
      </c>
      <c r="H32" s="11" t="s">
        <v>66</v>
      </c>
      <c r="I32" s="22">
        <v>6945</v>
      </c>
      <c r="J32" s="22">
        <v>6865</v>
      </c>
      <c r="K32" s="1"/>
      <c r="L32" s="11"/>
      <c r="M32" s="11"/>
    </row>
    <row r="33" spans="3:13" ht="26.25" customHeight="1" thickBot="1">
      <c r="C33" s="12">
        <v>46153</v>
      </c>
      <c r="D33" s="195"/>
      <c r="E33" s="195"/>
      <c r="F33" s="8" t="s">
        <v>59</v>
      </c>
      <c r="G33" s="11"/>
      <c r="H33" s="11" t="s">
        <v>66</v>
      </c>
      <c r="I33" s="22">
        <v>5457</v>
      </c>
      <c r="J33" s="22">
        <v>5429</v>
      </c>
      <c r="K33" s="1"/>
      <c r="L33" s="11"/>
      <c r="M33" s="11"/>
    </row>
    <row r="34" spans="3:13" ht="26.25" customHeight="1" thickBot="1">
      <c r="C34" s="12">
        <v>46154</v>
      </c>
      <c r="D34" s="195"/>
      <c r="E34" s="195"/>
      <c r="F34" s="8" t="s">
        <v>24</v>
      </c>
      <c r="G34" s="11" t="s">
        <v>29</v>
      </c>
      <c r="H34" s="11" t="s">
        <v>66</v>
      </c>
      <c r="I34" s="22">
        <v>6865</v>
      </c>
      <c r="J34" s="22">
        <v>6860</v>
      </c>
      <c r="K34" s="1"/>
      <c r="L34" s="11"/>
      <c r="M34" s="11"/>
    </row>
    <row r="35" spans="3:13" ht="26.25" customHeight="1" thickBot="1">
      <c r="C35" s="12">
        <v>46154</v>
      </c>
      <c r="D35" s="195"/>
      <c r="E35" s="195"/>
      <c r="F35" s="21" t="s">
        <v>56</v>
      </c>
      <c r="G35" s="11" t="s">
        <v>57</v>
      </c>
      <c r="H35" s="11" t="s">
        <v>66</v>
      </c>
      <c r="I35" s="22">
        <v>7591</v>
      </c>
      <c r="J35" s="22">
        <v>7466</v>
      </c>
      <c r="K35" s="1"/>
      <c r="L35" s="11"/>
      <c r="M35" s="11"/>
    </row>
    <row r="36" spans="3:13" ht="26.25" customHeight="1" thickBot="1">
      <c r="C36" s="12">
        <v>46154</v>
      </c>
      <c r="D36" s="195"/>
      <c r="E36" s="195"/>
      <c r="F36" s="8" t="s">
        <v>37</v>
      </c>
      <c r="G36" s="11" t="s">
        <v>29</v>
      </c>
      <c r="H36" s="11" t="s">
        <v>66</v>
      </c>
      <c r="I36" s="22">
        <v>20591</v>
      </c>
      <c r="J36" s="22">
        <v>20506</v>
      </c>
      <c r="K36" s="1"/>
      <c r="L36" s="11"/>
      <c r="M36" s="11"/>
    </row>
    <row r="37" spans="3:13" ht="26.25" customHeight="1" thickBot="1">
      <c r="C37" s="116">
        <v>46154</v>
      </c>
      <c r="D37" s="195"/>
      <c r="E37" s="195"/>
      <c r="F37" s="148" t="s">
        <v>24</v>
      </c>
      <c r="G37" s="54" t="s">
        <v>29</v>
      </c>
      <c r="H37" s="54" t="s">
        <v>66</v>
      </c>
      <c r="I37" s="149">
        <v>6860</v>
      </c>
      <c r="J37" s="149">
        <v>6857</v>
      </c>
      <c r="K37" s="1"/>
      <c r="L37" s="150"/>
      <c r="M37" s="54"/>
    </row>
    <row r="38" spans="3:13" ht="26.4" thickBot="1">
      <c r="C38" s="116">
        <v>46154</v>
      </c>
      <c r="D38" s="195"/>
      <c r="E38" s="195"/>
      <c r="F38" s="111" t="s">
        <v>59</v>
      </c>
      <c r="G38" s="111"/>
      <c r="H38" s="54" t="s">
        <v>66</v>
      </c>
      <c r="I38" s="113">
        <v>5429</v>
      </c>
      <c r="J38" s="113">
        <v>5417</v>
      </c>
      <c r="L38" s="111"/>
      <c r="M38" s="111"/>
    </row>
    <row r="39" spans="3:13" ht="26.4" thickBot="1">
      <c r="C39" s="116">
        <v>46155</v>
      </c>
      <c r="D39" s="195"/>
      <c r="E39" s="195"/>
      <c r="F39" s="111" t="s">
        <v>59</v>
      </c>
      <c r="G39" s="111"/>
      <c r="H39" s="54" t="s">
        <v>66</v>
      </c>
      <c r="I39" s="113">
        <v>5417</v>
      </c>
      <c r="J39" s="113">
        <v>5393</v>
      </c>
      <c r="L39" s="111"/>
      <c r="M39" s="111"/>
    </row>
    <row r="40" spans="3:13" ht="26.4" thickBot="1">
      <c r="C40" s="116">
        <v>46155</v>
      </c>
      <c r="D40" s="195"/>
      <c r="E40" s="195"/>
      <c r="F40" s="111" t="s">
        <v>37</v>
      </c>
      <c r="G40" s="111" t="s">
        <v>29</v>
      </c>
      <c r="H40" s="54" t="s">
        <v>66</v>
      </c>
      <c r="I40" s="113">
        <v>20506</v>
      </c>
      <c r="J40" s="113">
        <v>20421</v>
      </c>
      <c r="L40" s="111"/>
      <c r="M40" s="111"/>
    </row>
    <row r="41" spans="3:13" ht="26.4" thickBot="1">
      <c r="C41" s="116">
        <v>46155</v>
      </c>
      <c r="D41" s="195"/>
      <c r="E41" s="195"/>
      <c r="F41" s="111" t="s">
        <v>24</v>
      </c>
      <c r="G41" s="111" t="s">
        <v>29</v>
      </c>
      <c r="H41" s="54" t="s">
        <v>66</v>
      </c>
      <c r="I41" s="113">
        <v>6857</v>
      </c>
      <c r="J41" s="113">
        <v>6612</v>
      </c>
      <c r="L41" s="111"/>
      <c r="M41" s="111"/>
    </row>
    <row r="42" spans="3:13" ht="26.4" thickBot="1">
      <c r="C42" s="116">
        <v>46155</v>
      </c>
      <c r="D42" s="195"/>
      <c r="E42" s="195"/>
      <c r="F42" s="111" t="s">
        <v>42</v>
      </c>
      <c r="G42" s="111"/>
      <c r="H42" s="54" t="s">
        <v>66</v>
      </c>
      <c r="I42" s="113">
        <v>5450</v>
      </c>
      <c r="J42" s="113">
        <v>5405</v>
      </c>
      <c r="L42" s="111"/>
      <c r="M42" s="111"/>
    </row>
    <row r="43" spans="3:13" ht="26.4" thickBot="1">
      <c r="C43" s="116">
        <v>46156</v>
      </c>
      <c r="D43" s="195"/>
      <c r="E43" s="195"/>
      <c r="F43" s="111" t="s">
        <v>59</v>
      </c>
      <c r="G43" s="111"/>
      <c r="H43" s="54" t="s">
        <v>66</v>
      </c>
      <c r="I43" s="113">
        <v>5393</v>
      </c>
      <c r="J43" s="113">
        <v>5381</v>
      </c>
      <c r="L43" s="111"/>
      <c r="M43" s="111"/>
    </row>
    <row r="44" spans="3:13" ht="26.4" thickBot="1">
      <c r="C44" s="116">
        <v>46156</v>
      </c>
      <c r="D44" s="195"/>
      <c r="E44" s="195"/>
      <c r="F44" s="111" t="s">
        <v>59</v>
      </c>
      <c r="G44" s="111"/>
      <c r="H44" s="54" t="s">
        <v>66</v>
      </c>
      <c r="I44" s="113">
        <v>5381</v>
      </c>
      <c r="J44" s="113">
        <v>5366</v>
      </c>
      <c r="L44" s="111"/>
      <c r="M44" s="111"/>
    </row>
    <row r="45" spans="3:13" ht="26.4" thickBot="1">
      <c r="C45" s="116">
        <v>46156</v>
      </c>
      <c r="D45" s="195"/>
      <c r="E45" s="195"/>
      <c r="F45" s="111" t="s">
        <v>24</v>
      </c>
      <c r="G45" s="111" t="s">
        <v>29</v>
      </c>
      <c r="H45" s="54" t="s">
        <v>66</v>
      </c>
      <c r="I45" s="113">
        <v>6612</v>
      </c>
      <c r="J45" s="113">
        <v>6527</v>
      </c>
      <c r="L45" s="111"/>
      <c r="M45" s="111"/>
    </row>
    <row r="46" spans="3:13" ht="26.4" thickBot="1">
      <c r="C46" s="116">
        <v>46156</v>
      </c>
      <c r="D46" s="195"/>
      <c r="E46" s="195"/>
      <c r="F46" s="111" t="s">
        <v>59</v>
      </c>
      <c r="G46" s="111"/>
      <c r="H46" s="54" t="s">
        <v>66</v>
      </c>
      <c r="I46" s="113">
        <v>5366</v>
      </c>
      <c r="J46" s="113">
        <v>5358</v>
      </c>
      <c r="L46" s="111"/>
      <c r="M46" s="111"/>
    </row>
    <row r="47" spans="3:13" ht="26.4" thickBot="1">
      <c r="C47" s="163">
        <v>46157</v>
      </c>
      <c r="D47" s="195"/>
      <c r="E47" s="195"/>
      <c r="F47" s="164"/>
      <c r="G47" s="164"/>
      <c r="H47" s="164"/>
      <c r="I47" s="165"/>
      <c r="J47" s="165"/>
      <c r="L47" s="158"/>
      <c r="M47" s="158"/>
    </row>
    <row r="48" spans="3:13" ht="26.4" thickBot="1">
      <c r="C48" s="116">
        <v>46158</v>
      </c>
      <c r="D48" s="195"/>
      <c r="E48" s="195"/>
      <c r="F48" s="111" t="s">
        <v>24</v>
      </c>
      <c r="G48" s="111" t="s">
        <v>29</v>
      </c>
      <c r="H48" s="54" t="s">
        <v>66</v>
      </c>
      <c r="I48" s="113">
        <v>6527</v>
      </c>
      <c r="J48" s="113">
        <v>6482</v>
      </c>
      <c r="L48" s="111"/>
      <c r="M48" s="111"/>
    </row>
    <row r="49" spans="3:13" ht="26.4" thickBot="1">
      <c r="C49" s="163">
        <v>46159</v>
      </c>
      <c r="D49" s="195"/>
      <c r="E49" s="195"/>
      <c r="F49" s="158"/>
      <c r="G49" s="158"/>
      <c r="H49" s="158"/>
      <c r="I49" s="159"/>
      <c r="J49" s="159"/>
      <c r="L49" s="158"/>
      <c r="M49" s="158"/>
    </row>
    <row r="50" spans="3:13" ht="26.4" thickBot="1">
      <c r="C50" s="116">
        <v>46160</v>
      </c>
      <c r="D50" s="195"/>
      <c r="E50" s="195"/>
      <c r="F50" s="111" t="s">
        <v>42</v>
      </c>
      <c r="G50" s="111" t="s">
        <v>29</v>
      </c>
      <c r="H50" s="54" t="s">
        <v>66</v>
      </c>
      <c r="I50" s="113">
        <v>5405</v>
      </c>
      <c r="J50" s="113">
        <v>5394</v>
      </c>
      <c r="L50" s="111"/>
      <c r="M50" s="111"/>
    </row>
    <row r="51" spans="3:13" ht="26.4" thickBot="1">
      <c r="C51" s="116">
        <v>46160</v>
      </c>
      <c r="D51" s="195"/>
      <c r="E51" s="195"/>
      <c r="F51" s="111" t="s">
        <v>59</v>
      </c>
      <c r="G51" s="111" t="s">
        <v>29</v>
      </c>
      <c r="H51" s="54" t="s">
        <v>66</v>
      </c>
      <c r="I51" s="113">
        <v>5358</v>
      </c>
      <c r="J51" s="113">
        <v>5347</v>
      </c>
      <c r="L51" s="111"/>
      <c r="M51" s="111"/>
    </row>
    <row r="52" spans="3:13" ht="26.4" thickBot="1">
      <c r="C52" s="116">
        <v>46160</v>
      </c>
      <c r="D52" s="195"/>
      <c r="E52" s="195"/>
      <c r="F52" s="111" t="s">
        <v>59</v>
      </c>
      <c r="G52" s="111" t="s">
        <v>29</v>
      </c>
      <c r="H52" s="54" t="s">
        <v>66</v>
      </c>
      <c r="I52" s="113">
        <v>5347</v>
      </c>
      <c r="J52" s="113">
        <v>5220</v>
      </c>
      <c r="L52" s="111"/>
      <c r="M52" s="111"/>
    </row>
    <row r="53" spans="3:13" ht="26.4" thickBot="1">
      <c r="C53" s="116">
        <v>46160</v>
      </c>
      <c r="D53" s="195"/>
      <c r="E53" s="195"/>
      <c r="F53" s="111" t="s">
        <v>37</v>
      </c>
      <c r="G53" s="111" t="s">
        <v>29</v>
      </c>
      <c r="H53" s="54" t="s">
        <v>66</v>
      </c>
      <c r="I53" s="113">
        <v>20421</v>
      </c>
      <c r="J53" s="113">
        <v>20376</v>
      </c>
      <c r="L53" s="111"/>
      <c r="M53" s="111"/>
    </row>
    <row r="54" spans="3:13" ht="26.4" thickBot="1">
      <c r="C54" s="116">
        <v>46161</v>
      </c>
      <c r="D54" s="195"/>
      <c r="E54" s="195"/>
      <c r="F54" s="111" t="s">
        <v>59</v>
      </c>
      <c r="G54" s="111" t="s">
        <v>29</v>
      </c>
      <c r="H54" s="54" t="s">
        <v>66</v>
      </c>
      <c r="I54" s="113">
        <v>5220</v>
      </c>
      <c r="J54" s="113">
        <v>5175</v>
      </c>
      <c r="L54" s="111"/>
      <c r="M54" s="111"/>
    </row>
    <row r="55" spans="3:13" ht="26.4" thickBot="1">
      <c r="C55" s="116">
        <v>46161</v>
      </c>
      <c r="D55" s="195"/>
      <c r="E55" s="195"/>
      <c r="F55" s="169" t="s">
        <v>42</v>
      </c>
      <c r="G55" s="169" t="s">
        <v>29</v>
      </c>
      <c r="H55" s="54" t="s">
        <v>66</v>
      </c>
      <c r="I55" s="170">
        <v>5394</v>
      </c>
      <c r="J55" s="170">
        <v>5349</v>
      </c>
      <c r="L55" s="111"/>
      <c r="M55" s="111"/>
    </row>
    <row r="56" spans="3:13" ht="29.4" thickBot="1">
      <c r="C56" s="116">
        <v>46162</v>
      </c>
      <c r="D56" s="195"/>
      <c r="E56" s="195"/>
      <c r="F56" s="171" t="s">
        <v>42</v>
      </c>
      <c r="G56" s="171" t="s">
        <v>29</v>
      </c>
      <c r="H56" s="54" t="s">
        <v>66</v>
      </c>
      <c r="I56" s="172">
        <v>5349</v>
      </c>
      <c r="J56" s="172">
        <v>5348</v>
      </c>
      <c r="L56" s="111"/>
      <c r="M56" s="111"/>
    </row>
    <row r="57" spans="3:13" ht="29.4" thickBot="1">
      <c r="C57" s="116">
        <v>46162</v>
      </c>
      <c r="D57" s="195"/>
      <c r="E57" s="195"/>
      <c r="F57" s="171" t="s">
        <v>59</v>
      </c>
      <c r="G57" s="171" t="s">
        <v>29</v>
      </c>
      <c r="H57" s="54" t="s">
        <v>66</v>
      </c>
      <c r="I57" s="172">
        <v>5175</v>
      </c>
      <c r="J57" s="172">
        <v>5050</v>
      </c>
      <c r="L57" s="111"/>
      <c r="M57" s="111"/>
    </row>
    <row r="58" spans="3:13" ht="29.4" thickBot="1">
      <c r="C58" s="116">
        <v>46162</v>
      </c>
      <c r="D58" s="195"/>
      <c r="E58" s="195"/>
      <c r="F58" s="171" t="s">
        <v>42</v>
      </c>
      <c r="G58" s="171" t="s">
        <v>29</v>
      </c>
      <c r="H58" s="54" t="s">
        <v>66</v>
      </c>
      <c r="I58" s="172">
        <v>5348</v>
      </c>
      <c r="J58" s="172">
        <v>5223</v>
      </c>
      <c r="L58" s="111"/>
      <c r="M58" s="111"/>
    </row>
    <row r="59" spans="3:13" ht="29.4" thickBot="1">
      <c r="C59" s="116">
        <v>46163</v>
      </c>
      <c r="D59" s="195"/>
      <c r="E59" s="195"/>
      <c r="F59" s="171" t="s">
        <v>37</v>
      </c>
      <c r="G59" s="171" t="s">
        <v>29</v>
      </c>
      <c r="H59" s="54" t="s">
        <v>66</v>
      </c>
      <c r="I59" s="172">
        <v>20376</v>
      </c>
      <c r="J59" s="172">
        <v>20251</v>
      </c>
      <c r="L59" s="111"/>
      <c r="M59" s="111"/>
    </row>
    <row r="60" spans="3:13" ht="29.4" thickBot="1">
      <c r="C60" s="116">
        <v>46163</v>
      </c>
      <c r="D60" s="195"/>
      <c r="E60" s="195"/>
      <c r="F60" s="171" t="s">
        <v>24</v>
      </c>
      <c r="G60" s="171" t="s">
        <v>29</v>
      </c>
      <c r="H60" s="54" t="s">
        <v>66</v>
      </c>
      <c r="I60" s="172">
        <v>6482</v>
      </c>
      <c r="J60" s="172">
        <v>6397</v>
      </c>
      <c r="L60" s="111"/>
      <c r="M60" s="111"/>
    </row>
    <row r="61" spans="3:13" ht="29.4" thickBot="1">
      <c r="C61" s="116">
        <v>46163</v>
      </c>
      <c r="D61" s="195"/>
      <c r="E61" s="195"/>
      <c r="F61" s="171" t="s">
        <v>36</v>
      </c>
      <c r="G61" s="171" t="s">
        <v>29</v>
      </c>
      <c r="H61" s="54" t="s">
        <v>66</v>
      </c>
      <c r="I61" s="172">
        <v>24013</v>
      </c>
      <c r="J61" s="172">
        <v>23928</v>
      </c>
      <c r="L61" s="111"/>
      <c r="M61" s="111"/>
    </row>
    <row r="62" spans="3:13" ht="29.4" thickBot="1">
      <c r="C62" s="116">
        <v>46163</v>
      </c>
      <c r="D62" s="195"/>
      <c r="E62" s="195"/>
      <c r="F62" s="171" t="s">
        <v>59</v>
      </c>
      <c r="G62" s="171" t="s">
        <v>29</v>
      </c>
      <c r="H62" s="54" t="s">
        <v>66</v>
      </c>
      <c r="I62" s="172">
        <v>5050</v>
      </c>
      <c r="J62" s="172">
        <v>4925</v>
      </c>
      <c r="L62" s="111"/>
      <c r="M62" s="111"/>
    </row>
    <row r="63" spans="3:13" ht="28.8">
      <c r="C63" s="114">
        <v>46165</v>
      </c>
      <c r="D63" s="195"/>
      <c r="E63" s="195"/>
      <c r="F63" s="171" t="s">
        <v>59</v>
      </c>
      <c r="G63" s="171" t="s">
        <v>29</v>
      </c>
      <c r="H63" s="54" t="s">
        <v>66</v>
      </c>
      <c r="I63" s="172">
        <v>4925</v>
      </c>
      <c r="J63" s="172">
        <v>4805</v>
      </c>
      <c r="L63" s="111"/>
      <c r="M63" s="111"/>
    </row>
    <row r="64" spans="3:13" ht="28.8">
      <c r="C64" s="114">
        <v>46165</v>
      </c>
      <c r="D64" s="195"/>
      <c r="E64" s="195"/>
      <c r="F64" s="171"/>
      <c r="G64" s="171"/>
      <c r="H64" s="171"/>
      <c r="I64" s="172"/>
      <c r="J64" s="172"/>
      <c r="L64" s="111"/>
      <c r="M64" s="111"/>
    </row>
    <row r="65" spans="3:13" ht="28.8">
      <c r="C65" s="171"/>
      <c r="D65" s="195"/>
      <c r="E65" s="195"/>
      <c r="F65" s="171"/>
      <c r="G65" s="171"/>
      <c r="H65" s="171"/>
      <c r="I65" s="172"/>
      <c r="J65" s="172"/>
      <c r="L65" s="111"/>
      <c r="M65" s="111"/>
    </row>
    <row r="66" spans="3:13" ht="28.8">
      <c r="C66" s="171"/>
      <c r="D66" s="195"/>
      <c r="E66" s="195"/>
      <c r="F66" s="171"/>
      <c r="G66" s="171"/>
      <c r="H66" s="171"/>
      <c r="I66" s="172"/>
      <c r="J66" s="172"/>
      <c r="L66" s="111"/>
      <c r="M66" s="111"/>
    </row>
    <row r="67" spans="3:13" ht="28.8">
      <c r="C67" s="171"/>
      <c r="D67" s="195"/>
      <c r="E67" s="195"/>
      <c r="F67" s="171"/>
      <c r="G67" s="171"/>
      <c r="H67" s="171"/>
      <c r="I67" s="172"/>
      <c r="J67" s="172"/>
      <c r="L67" s="111"/>
      <c r="M67" s="111"/>
    </row>
    <row r="68" spans="3:13" ht="28.8">
      <c r="C68" s="171"/>
      <c r="D68" s="195"/>
      <c r="E68" s="195"/>
      <c r="F68" s="171"/>
      <c r="G68" s="171"/>
      <c r="H68" s="171"/>
      <c r="I68" s="172"/>
      <c r="J68" s="172"/>
      <c r="L68" s="111"/>
      <c r="M68" s="111"/>
    </row>
    <row r="69" spans="3:13" ht="28.8">
      <c r="C69" s="171"/>
      <c r="D69" s="195"/>
      <c r="E69" s="195"/>
      <c r="F69" s="171"/>
      <c r="G69" s="171"/>
      <c r="H69" s="171"/>
      <c r="I69" s="172"/>
      <c r="J69" s="172"/>
      <c r="L69" s="111"/>
      <c r="M69" s="111"/>
    </row>
    <row r="70" spans="3:13" ht="28.8">
      <c r="C70" s="171"/>
      <c r="D70" s="195"/>
      <c r="E70" s="195"/>
      <c r="F70" s="171"/>
      <c r="G70" s="171"/>
      <c r="H70" s="171"/>
      <c r="I70" s="172"/>
      <c r="J70" s="172"/>
      <c r="L70" s="111"/>
      <c r="M70" s="111"/>
    </row>
    <row r="71" spans="3:13" ht="28.8">
      <c r="C71" s="171"/>
      <c r="D71" s="196"/>
      <c r="E71" s="196"/>
      <c r="F71" s="171"/>
      <c r="G71" s="171"/>
      <c r="H71" s="171"/>
      <c r="I71" s="172"/>
      <c r="J71" s="172"/>
      <c r="L71" s="111"/>
      <c r="M71" s="111"/>
    </row>
  </sheetData>
  <mergeCells count="5">
    <mergeCell ref="C2:J4"/>
    <mergeCell ref="L3:M4"/>
    <mergeCell ref="C5:J5"/>
    <mergeCell ref="D7:D71"/>
    <mergeCell ref="E7:E71"/>
  </mergeCells>
  <conditionalFormatting sqref="F1:F1048576">
    <cfRule type="containsText" dxfId="77" priority="1" operator="containsText" text="White">
      <formula>NOT(ISERROR(SEARCH("White",F1)))</formula>
    </cfRule>
    <cfRule type="containsText" dxfId="76" priority="2" operator="containsText" text="Brown">
      <formula>NOT(ISERROR(SEARCH("Brown",F1)))</formula>
    </cfRule>
    <cfRule type="containsText" dxfId="75" priority="3" operator="containsText" text="Red">
      <formula>NOT(ISERROR(SEARCH("Red",F1)))</formula>
    </cfRule>
    <cfRule type="containsText" dxfId="74" priority="4" operator="containsText" text="Green">
      <formula>NOT(ISERROR(SEARCH("Green",F1)))</formula>
    </cfRule>
    <cfRule type="containsText" dxfId="73" priority="5" operator="containsText" text="Orange (10)">
      <formula>NOT(ISERROR(SEARCH("Orange (10)",F1)))</formula>
    </cfRule>
    <cfRule type="containsText" dxfId="72" priority="6" operator="containsText" text="Blue">
      <formula>NOT(ISERROR(SEARCH("Blue",F1)))</formula>
    </cfRule>
    <cfRule type="containsText" dxfId="71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" xr:uid="{00000000-0002-0000-0200-000000000000}">
      <formula1>"WithOut"</formula1>
    </dataValidation>
    <dataValidation type="list" allowBlank="1" showInputMessage="1" showErrorMessage="1" sqref="D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zoomScale="70" zoomScaleNormal="70" workbookViewId="0">
      <selection activeCell="F15" sqref="F1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18" t="s">
        <v>7</v>
      </c>
      <c r="D2" s="219"/>
      <c r="E2" s="219"/>
      <c r="F2" s="219"/>
      <c r="G2" s="219"/>
      <c r="H2" s="219"/>
      <c r="I2" s="219"/>
      <c r="J2" s="220"/>
      <c r="K2" s="1"/>
    </row>
    <row r="3" spans="3:13" ht="27.75" customHeight="1" thickBot="1">
      <c r="C3" s="221"/>
      <c r="D3" s="222"/>
      <c r="E3" s="222"/>
      <c r="F3" s="222"/>
      <c r="G3" s="222"/>
      <c r="H3" s="222"/>
      <c r="I3" s="222"/>
      <c r="J3" s="223"/>
      <c r="K3" s="1"/>
      <c r="L3" s="187" t="s">
        <v>16</v>
      </c>
      <c r="M3" s="188"/>
    </row>
    <row r="4" spans="3:13" ht="27.75" customHeight="1" thickTop="1" thickBot="1">
      <c r="C4" s="224"/>
      <c r="D4" s="225"/>
      <c r="E4" s="225"/>
      <c r="F4" s="225"/>
      <c r="G4" s="225"/>
      <c r="H4" s="225"/>
      <c r="I4" s="225"/>
      <c r="J4" s="226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27" t="s">
        <v>18</v>
      </c>
      <c r="E7" s="227" t="s">
        <v>4</v>
      </c>
      <c r="F7" s="21" t="s">
        <v>46</v>
      </c>
      <c r="G7" s="11" t="s">
        <v>29</v>
      </c>
      <c r="H7" s="11"/>
      <c r="I7" s="22">
        <v>28240</v>
      </c>
      <c r="J7" s="22">
        <v>28240</v>
      </c>
      <c r="K7" s="1"/>
      <c r="L7" s="11"/>
      <c r="M7" s="11"/>
    </row>
    <row r="8" spans="3:13" ht="26.4" thickBot="1">
      <c r="C8" s="116">
        <v>46143</v>
      </c>
      <c r="D8" s="228"/>
      <c r="E8" s="228"/>
      <c r="F8" s="21" t="s">
        <v>47</v>
      </c>
      <c r="G8" s="11" t="s">
        <v>29</v>
      </c>
      <c r="H8" s="11"/>
      <c r="I8" s="22">
        <v>26500</v>
      </c>
      <c r="J8" s="22">
        <v>26500</v>
      </c>
      <c r="K8" s="1"/>
      <c r="L8" s="11"/>
      <c r="M8" s="11"/>
    </row>
    <row r="9" spans="3:13" ht="26.4" thickBot="1">
      <c r="C9" s="116">
        <v>46143</v>
      </c>
      <c r="D9" s="228"/>
      <c r="E9" s="228"/>
      <c r="F9" s="21" t="s">
        <v>48</v>
      </c>
      <c r="G9" s="11" t="s">
        <v>29</v>
      </c>
      <c r="H9" s="11"/>
      <c r="I9" s="22">
        <v>41665</v>
      </c>
      <c r="J9" s="22">
        <v>41660</v>
      </c>
      <c r="K9" s="1"/>
      <c r="L9" s="11"/>
      <c r="M9" s="13"/>
    </row>
    <row r="10" spans="3:13" ht="26.4" thickBot="1">
      <c r="C10" s="116">
        <v>46143</v>
      </c>
      <c r="D10" s="228"/>
      <c r="E10" s="228"/>
      <c r="F10" s="21" t="s">
        <v>50</v>
      </c>
      <c r="G10" s="11" t="s">
        <v>29</v>
      </c>
      <c r="H10" s="11"/>
      <c r="I10" s="22">
        <v>10786</v>
      </c>
      <c r="J10" s="22">
        <v>10786</v>
      </c>
      <c r="K10" s="1"/>
      <c r="L10" s="11"/>
      <c r="M10" s="11"/>
    </row>
    <row r="11" spans="3:13" ht="26.4" thickBot="1">
      <c r="C11" s="116">
        <v>46143</v>
      </c>
      <c r="D11" s="228"/>
      <c r="E11" s="228"/>
      <c r="F11" s="21" t="s">
        <v>49</v>
      </c>
      <c r="G11" s="11" t="s">
        <v>29</v>
      </c>
      <c r="H11" s="11"/>
      <c r="I11" s="22">
        <v>11219</v>
      </c>
      <c r="J11" s="22">
        <v>11219</v>
      </c>
      <c r="K11" s="1"/>
      <c r="L11" s="11"/>
      <c r="M11" s="11"/>
    </row>
    <row r="12" spans="3:13" ht="26.4" thickBot="1">
      <c r="C12" s="116">
        <v>46143</v>
      </c>
      <c r="D12" s="228"/>
      <c r="E12" s="228"/>
      <c r="F12" s="21" t="s">
        <v>51</v>
      </c>
      <c r="G12" s="11" t="s">
        <v>29</v>
      </c>
      <c r="H12" s="11"/>
      <c r="I12" s="22">
        <v>10090</v>
      </c>
      <c r="J12" s="22">
        <v>10090</v>
      </c>
      <c r="K12" s="1"/>
      <c r="L12" s="11"/>
      <c r="M12" s="11"/>
    </row>
    <row r="13" spans="3:13" ht="26.4" thickBot="1">
      <c r="C13" s="116">
        <v>46143</v>
      </c>
      <c r="D13" s="228"/>
      <c r="E13" s="228"/>
      <c r="F13" s="21" t="s">
        <v>52</v>
      </c>
      <c r="G13" s="11" t="s">
        <v>29</v>
      </c>
      <c r="H13" s="11"/>
      <c r="I13" s="22">
        <v>30933</v>
      </c>
      <c r="J13" s="22">
        <v>30933</v>
      </c>
      <c r="K13" s="1"/>
      <c r="L13" s="11"/>
      <c r="M13" s="11"/>
    </row>
    <row r="14" spans="3:13" ht="26.4" thickBot="1">
      <c r="C14" s="116">
        <v>46143</v>
      </c>
      <c r="D14" s="228"/>
      <c r="E14" s="228"/>
      <c r="F14" s="21" t="s">
        <v>54</v>
      </c>
      <c r="G14" s="11" t="s">
        <v>29</v>
      </c>
      <c r="H14" s="11"/>
      <c r="I14" s="22">
        <v>10095</v>
      </c>
      <c r="J14" s="22">
        <v>10095</v>
      </c>
      <c r="K14" s="1"/>
      <c r="L14" s="11"/>
      <c r="M14" s="11"/>
    </row>
    <row r="15" spans="3:13" ht="26.4" thickBot="1">
      <c r="C15" s="116">
        <v>46143</v>
      </c>
      <c r="D15" s="228"/>
      <c r="E15" s="228"/>
      <c r="F15" s="21" t="s">
        <v>55</v>
      </c>
      <c r="G15" s="11" t="s">
        <v>29</v>
      </c>
      <c r="H15" s="11"/>
      <c r="I15" s="22">
        <v>2918</v>
      </c>
      <c r="J15" s="22">
        <v>2918</v>
      </c>
      <c r="K15" s="1"/>
      <c r="L15" s="11"/>
      <c r="M15" s="11"/>
    </row>
    <row r="16" spans="3:13" ht="26.4" thickBot="1">
      <c r="C16" s="46"/>
      <c r="D16" s="228"/>
      <c r="E16" s="228"/>
      <c r="F16" s="44"/>
      <c r="G16" s="44"/>
      <c r="H16" s="44"/>
      <c r="I16" s="45"/>
      <c r="J16" s="45"/>
      <c r="K16" s="1"/>
      <c r="L16" s="47"/>
      <c r="M16" s="48"/>
    </row>
    <row r="17" spans="3:13" ht="26.4" thickBot="1">
      <c r="C17" s="12">
        <v>46144</v>
      </c>
      <c r="D17" s="228"/>
      <c r="E17" s="228"/>
      <c r="F17" s="21" t="s">
        <v>48</v>
      </c>
      <c r="G17" s="11" t="s">
        <v>29</v>
      </c>
      <c r="H17" s="11" t="s">
        <v>66</v>
      </c>
      <c r="I17" s="22">
        <v>41660</v>
      </c>
      <c r="J17" s="22">
        <v>41655</v>
      </c>
      <c r="K17" s="1"/>
      <c r="L17" s="11"/>
      <c r="M17" s="11"/>
    </row>
    <row r="18" spans="3:13" ht="26.4" thickBot="1">
      <c r="C18" s="46"/>
      <c r="D18" s="228"/>
      <c r="E18" s="228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40">
        <v>46145</v>
      </c>
      <c r="D19" s="228"/>
      <c r="E19" s="228"/>
      <c r="F19" s="64"/>
      <c r="G19" s="63"/>
      <c r="H19" s="63"/>
      <c r="I19" s="65"/>
      <c r="J19" s="65"/>
      <c r="K19" s="1"/>
      <c r="L19" s="63"/>
      <c r="M19" s="63"/>
    </row>
    <row r="20" spans="3:13" ht="26.4" thickBot="1">
      <c r="C20" s="46"/>
      <c r="D20" s="228"/>
      <c r="E20" s="228"/>
      <c r="F20" s="55"/>
      <c r="G20" s="47"/>
      <c r="H20" s="47"/>
      <c r="I20" s="56"/>
      <c r="J20" s="56"/>
      <c r="K20" s="1"/>
      <c r="L20" s="47"/>
      <c r="M20" s="47"/>
    </row>
    <row r="21" spans="3:13" ht="26.25" customHeight="1" thickBot="1">
      <c r="C21" s="116">
        <v>46146</v>
      </c>
      <c r="D21" s="228"/>
      <c r="E21" s="228"/>
      <c r="F21" s="21" t="s">
        <v>52</v>
      </c>
      <c r="G21" s="11" t="s">
        <v>29</v>
      </c>
      <c r="H21" s="11" t="s">
        <v>66</v>
      </c>
      <c r="I21" s="22">
        <v>30933</v>
      </c>
      <c r="J21" s="22">
        <v>30928</v>
      </c>
      <c r="K21" s="1"/>
      <c r="L21" s="11"/>
      <c r="M21" s="11"/>
    </row>
    <row r="22" spans="3:13" ht="26.25" customHeight="1" thickBot="1">
      <c r="C22" s="116">
        <v>46146</v>
      </c>
      <c r="D22" s="228"/>
      <c r="E22" s="228"/>
      <c r="F22" s="21" t="s">
        <v>49</v>
      </c>
      <c r="G22" s="11" t="s">
        <v>29</v>
      </c>
      <c r="H22" s="11" t="s">
        <v>66</v>
      </c>
      <c r="I22" s="22">
        <v>11219</v>
      </c>
      <c r="J22" s="22">
        <v>10009</v>
      </c>
      <c r="K22" s="1"/>
      <c r="L22" s="11"/>
      <c r="M22" s="11"/>
    </row>
    <row r="23" spans="3:13" ht="26.25" customHeight="1" thickBot="1">
      <c r="C23" s="116">
        <v>46146</v>
      </c>
      <c r="D23" s="228"/>
      <c r="E23" s="228"/>
      <c r="F23" s="21" t="s">
        <v>52</v>
      </c>
      <c r="G23" s="11" t="s">
        <v>29</v>
      </c>
      <c r="H23" s="11" t="s">
        <v>66</v>
      </c>
      <c r="I23" s="22">
        <v>30928</v>
      </c>
      <c r="J23" s="22">
        <v>30854</v>
      </c>
      <c r="K23" s="1"/>
      <c r="L23" s="11"/>
      <c r="M23" s="11"/>
    </row>
    <row r="24" spans="3:13" ht="26.25" customHeight="1" thickBot="1">
      <c r="C24" s="116">
        <v>46146</v>
      </c>
      <c r="D24" s="228"/>
      <c r="E24" s="228"/>
      <c r="F24" s="21" t="s">
        <v>52</v>
      </c>
      <c r="G24" s="11" t="s">
        <v>29</v>
      </c>
      <c r="H24" s="11" t="s">
        <v>66</v>
      </c>
      <c r="I24" s="22">
        <v>30854</v>
      </c>
      <c r="J24" s="22">
        <v>30829</v>
      </c>
      <c r="K24" s="1"/>
      <c r="L24" s="11"/>
      <c r="M24" s="11"/>
    </row>
    <row r="25" spans="3:13" ht="26.25" customHeight="1" thickBot="1">
      <c r="C25" s="116">
        <v>46146</v>
      </c>
      <c r="D25" s="228"/>
      <c r="E25" s="228"/>
      <c r="F25" s="21" t="s">
        <v>46</v>
      </c>
      <c r="G25" s="11" t="s">
        <v>29</v>
      </c>
      <c r="H25" s="11" t="s">
        <v>66</v>
      </c>
      <c r="I25" s="22">
        <v>28240</v>
      </c>
      <c r="J25" s="22">
        <v>28035</v>
      </c>
      <c r="K25" s="1"/>
      <c r="L25" s="11"/>
      <c r="M25" s="11"/>
    </row>
    <row r="26" spans="3:13" ht="26.25" customHeight="1" thickBot="1">
      <c r="C26" s="116">
        <v>46146</v>
      </c>
      <c r="D26" s="228"/>
      <c r="E26" s="228"/>
      <c r="F26" s="21" t="s">
        <v>52</v>
      </c>
      <c r="G26" s="11" t="s">
        <v>29</v>
      </c>
      <c r="H26" s="11" t="s">
        <v>66</v>
      </c>
      <c r="I26" s="22">
        <v>30829</v>
      </c>
      <c r="J26" s="22">
        <v>27224</v>
      </c>
      <c r="K26" s="1"/>
      <c r="L26" s="11"/>
      <c r="M26" s="11"/>
    </row>
    <row r="27" spans="3:13" ht="26.25" customHeight="1" thickBot="1">
      <c r="C27" s="116">
        <v>46146</v>
      </c>
      <c r="D27" s="228"/>
      <c r="E27" s="228"/>
      <c r="F27" s="21" t="s">
        <v>47</v>
      </c>
      <c r="G27" s="11" t="s">
        <v>29</v>
      </c>
      <c r="H27" s="11" t="s">
        <v>66</v>
      </c>
      <c r="I27" s="22">
        <v>26500</v>
      </c>
      <c r="J27" s="22">
        <v>25695</v>
      </c>
      <c r="K27" s="1"/>
      <c r="L27" s="11"/>
      <c r="M27" s="11"/>
    </row>
    <row r="28" spans="3:13" ht="26.25" customHeight="1" thickBot="1">
      <c r="C28" s="116">
        <v>46146</v>
      </c>
      <c r="D28" s="228"/>
      <c r="E28" s="228"/>
      <c r="F28" s="21" t="s">
        <v>54</v>
      </c>
      <c r="G28" s="11" t="s">
        <v>29</v>
      </c>
      <c r="H28" s="11" t="s">
        <v>66</v>
      </c>
      <c r="I28" s="22">
        <v>10095</v>
      </c>
      <c r="J28" s="22">
        <v>7890</v>
      </c>
      <c r="K28" s="1"/>
      <c r="L28" s="11"/>
      <c r="M28" s="11"/>
    </row>
    <row r="29" spans="3:13" ht="26.25" customHeight="1" thickBot="1">
      <c r="C29" s="116">
        <v>46146</v>
      </c>
      <c r="D29" s="228"/>
      <c r="E29" s="228"/>
      <c r="F29" s="21" t="s">
        <v>52</v>
      </c>
      <c r="G29" s="11" t="s">
        <v>29</v>
      </c>
      <c r="H29" s="11" t="s">
        <v>66</v>
      </c>
      <c r="I29" s="22">
        <v>27224</v>
      </c>
      <c r="J29" s="22">
        <v>27217</v>
      </c>
      <c r="K29" s="1"/>
      <c r="L29" s="11"/>
      <c r="M29" s="11"/>
    </row>
    <row r="30" spans="3:13" ht="26.25" customHeight="1" thickBot="1">
      <c r="C30" s="116">
        <v>46146</v>
      </c>
      <c r="D30" s="228"/>
      <c r="E30" s="228"/>
      <c r="F30" s="21" t="s">
        <v>52</v>
      </c>
      <c r="G30" s="11" t="s">
        <v>29</v>
      </c>
      <c r="H30" s="11" t="s">
        <v>66</v>
      </c>
      <c r="I30" s="22">
        <v>27217</v>
      </c>
      <c r="J30" s="22">
        <v>21212</v>
      </c>
      <c r="K30" s="1"/>
      <c r="L30" s="11"/>
      <c r="M30" s="13"/>
    </row>
    <row r="31" spans="3:13" ht="26.25" customHeight="1" thickBot="1">
      <c r="C31" s="116">
        <v>46146</v>
      </c>
      <c r="D31" s="228"/>
      <c r="E31" s="228"/>
      <c r="F31" s="21" t="s">
        <v>49</v>
      </c>
      <c r="G31" s="11" t="s">
        <v>29</v>
      </c>
      <c r="H31" s="11" t="s">
        <v>66</v>
      </c>
      <c r="I31" s="22">
        <v>10009</v>
      </c>
      <c r="J31" s="22">
        <v>8004</v>
      </c>
      <c r="K31" s="1"/>
      <c r="L31" s="11"/>
      <c r="M31" s="11"/>
    </row>
    <row r="32" spans="3:13" ht="26.25" customHeight="1" thickBot="1">
      <c r="C32" s="46"/>
      <c r="D32" s="228"/>
      <c r="E32" s="228"/>
      <c r="F32" s="55"/>
      <c r="G32" s="47"/>
      <c r="H32" s="47"/>
      <c r="I32" s="56"/>
      <c r="J32" s="56"/>
      <c r="K32" s="1"/>
      <c r="L32" s="47"/>
      <c r="M32" s="47"/>
    </row>
    <row r="33" spans="3:13" ht="26.25" customHeight="1" thickBot="1">
      <c r="C33" s="116">
        <v>46147</v>
      </c>
      <c r="D33" s="228"/>
      <c r="E33" s="228"/>
      <c r="F33" s="21" t="s">
        <v>52</v>
      </c>
      <c r="G33" s="11" t="s">
        <v>29</v>
      </c>
      <c r="H33" s="11" t="s">
        <v>66</v>
      </c>
      <c r="I33" s="22">
        <v>21212</v>
      </c>
      <c r="J33" s="22">
        <v>21187</v>
      </c>
      <c r="K33" s="1"/>
      <c r="L33" s="11"/>
      <c r="M33" s="11"/>
    </row>
    <row r="34" spans="3:13" ht="26.25" customHeight="1" thickBot="1">
      <c r="C34" s="116">
        <v>46147</v>
      </c>
      <c r="D34" s="228"/>
      <c r="E34" s="228"/>
      <c r="F34" s="21" t="s">
        <v>54</v>
      </c>
      <c r="G34" s="11" t="s">
        <v>29</v>
      </c>
      <c r="H34" s="11" t="s">
        <v>66</v>
      </c>
      <c r="I34" s="22">
        <v>7890</v>
      </c>
      <c r="J34" s="22">
        <v>7880</v>
      </c>
      <c r="K34" s="1"/>
      <c r="L34" s="11"/>
      <c r="M34" s="11"/>
    </row>
    <row r="35" spans="3:13" ht="26.25" customHeight="1" thickBot="1">
      <c r="C35" s="46"/>
      <c r="D35" s="228"/>
      <c r="E35" s="228"/>
      <c r="F35" s="55"/>
      <c r="G35" s="47"/>
      <c r="H35" s="47"/>
      <c r="I35" s="56"/>
      <c r="J35" s="56"/>
      <c r="K35" s="1"/>
      <c r="L35" s="55"/>
      <c r="M35" s="55"/>
    </row>
    <row r="36" spans="3:13" ht="26.25" customHeight="1" thickBot="1">
      <c r="C36" s="116">
        <v>46148</v>
      </c>
      <c r="D36" s="228"/>
      <c r="E36" s="228"/>
      <c r="F36" s="21" t="s">
        <v>54</v>
      </c>
      <c r="G36" s="11" t="s">
        <v>29</v>
      </c>
      <c r="H36" s="11" t="s">
        <v>66</v>
      </c>
      <c r="I36" s="22">
        <v>7880</v>
      </c>
      <c r="J36" s="22">
        <v>7799</v>
      </c>
      <c r="K36" s="1"/>
      <c r="L36" s="11"/>
      <c r="M36" s="11"/>
    </row>
    <row r="37" spans="3:13" ht="26.25" customHeight="1" thickBot="1">
      <c r="C37" s="116">
        <v>46148</v>
      </c>
      <c r="D37" s="228"/>
      <c r="E37" s="228"/>
      <c r="F37" s="85" t="s">
        <v>46</v>
      </c>
      <c r="G37" s="11" t="s">
        <v>29</v>
      </c>
      <c r="H37" s="11" t="s">
        <v>66</v>
      </c>
      <c r="I37" s="22">
        <v>28035</v>
      </c>
      <c r="J37" s="22">
        <v>28028</v>
      </c>
      <c r="K37" s="1"/>
      <c r="L37" s="11"/>
      <c r="M37" s="11"/>
    </row>
    <row r="38" spans="3:13" ht="26.25" customHeight="1" thickBot="1">
      <c r="C38" s="116">
        <v>46149</v>
      </c>
      <c r="D38" s="228"/>
      <c r="E38" s="228"/>
      <c r="F38" s="21" t="s">
        <v>50</v>
      </c>
      <c r="G38" s="11" t="s">
        <v>29</v>
      </c>
      <c r="H38" s="11" t="s">
        <v>66</v>
      </c>
      <c r="I38" s="81">
        <v>10786</v>
      </c>
      <c r="J38" s="82">
        <v>9181</v>
      </c>
      <c r="L38" s="80"/>
      <c r="M38" s="80"/>
    </row>
    <row r="39" spans="3:13" ht="26.25" customHeight="1" thickBot="1">
      <c r="C39" s="116">
        <v>46149</v>
      </c>
      <c r="D39" s="228"/>
      <c r="E39" s="228"/>
      <c r="F39" s="21" t="s">
        <v>46</v>
      </c>
      <c r="G39" s="11" t="s">
        <v>29</v>
      </c>
      <c r="H39" s="11" t="s">
        <v>66</v>
      </c>
      <c r="I39" s="81">
        <v>28028</v>
      </c>
      <c r="J39" s="82">
        <v>27023</v>
      </c>
      <c r="L39" s="80"/>
      <c r="M39" s="80"/>
    </row>
    <row r="40" spans="3:13" ht="26.25" customHeight="1" thickBot="1">
      <c r="C40" s="116">
        <v>46149</v>
      </c>
      <c r="D40" s="228"/>
      <c r="E40" s="228"/>
      <c r="F40" s="21" t="s">
        <v>54</v>
      </c>
      <c r="G40" s="11" t="s">
        <v>29</v>
      </c>
      <c r="H40" s="11" t="s">
        <v>66</v>
      </c>
      <c r="I40" s="81">
        <v>7799</v>
      </c>
      <c r="J40" s="82">
        <v>7194</v>
      </c>
      <c r="L40" s="80"/>
      <c r="M40" s="80"/>
    </row>
    <row r="41" spans="3:13" ht="26.25" customHeight="1" thickBot="1">
      <c r="C41" s="116">
        <v>46149</v>
      </c>
      <c r="D41" s="228"/>
      <c r="E41" s="228"/>
      <c r="F41" s="21" t="s">
        <v>50</v>
      </c>
      <c r="G41" s="11" t="s">
        <v>29</v>
      </c>
      <c r="H41" s="11" t="s">
        <v>66</v>
      </c>
      <c r="I41" s="81">
        <v>9181</v>
      </c>
      <c r="J41" s="82">
        <v>9176</v>
      </c>
      <c r="L41" s="80"/>
      <c r="M41" s="80"/>
    </row>
    <row r="42" spans="3:13" ht="26.25" customHeight="1" thickBot="1">
      <c r="C42" s="116">
        <v>46149</v>
      </c>
      <c r="D42" s="228"/>
      <c r="E42" s="228"/>
      <c r="F42" s="21" t="s">
        <v>46</v>
      </c>
      <c r="G42" s="11" t="s">
        <v>29</v>
      </c>
      <c r="H42" s="11" t="s">
        <v>66</v>
      </c>
      <c r="I42" s="81">
        <v>27023</v>
      </c>
      <c r="J42" s="82">
        <v>27016</v>
      </c>
      <c r="L42" s="80"/>
      <c r="M42" s="80"/>
    </row>
    <row r="43" spans="3:13" ht="26.25" customHeight="1" thickBot="1">
      <c r="C43" s="140">
        <v>46150</v>
      </c>
      <c r="D43" s="228"/>
      <c r="E43" s="228"/>
      <c r="F43" s="135"/>
      <c r="G43" s="135"/>
      <c r="H43" s="135"/>
      <c r="I43" s="135"/>
      <c r="J43" s="136"/>
      <c r="L43" s="137"/>
      <c r="M43" s="137"/>
    </row>
    <row r="44" spans="3:13" ht="26.25" customHeight="1" thickBot="1">
      <c r="C44" s="140">
        <v>46151</v>
      </c>
      <c r="D44" s="228"/>
      <c r="E44" s="228"/>
      <c r="F44" s="135"/>
      <c r="G44" s="135"/>
      <c r="H44" s="135"/>
      <c r="I44" s="135"/>
      <c r="J44" s="136"/>
      <c r="L44" s="137"/>
      <c r="M44" s="137"/>
    </row>
    <row r="45" spans="3:13" ht="26.25" customHeight="1" thickBot="1">
      <c r="C45" s="140">
        <v>46152</v>
      </c>
      <c r="D45" s="228"/>
      <c r="E45" s="228"/>
      <c r="F45" s="135"/>
      <c r="G45" s="135"/>
      <c r="H45" s="135"/>
      <c r="I45" s="135"/>
      <c r="J45" s="136"/>
      <c r="L45" s="137"/>
      <c r="M45" s="137"/>
    </row>
    <row r="46" spans="3:13" ht="26.25" customHeight="1" thickBot="1">
      <c r="C46" s="140">
        <v>46153</v>
      </c>
      <c r="D46" s="228"/>
      <c r="E46" s="228"/>
      <c r="F46" s="151"/>
      <c r="G46" s="151"/>
      <c r="H46" s="151"/>
      <c r="I46" s="151"/>
      <c r="J46" s="152"/>
      <c r="L46" s="153"/>
      <c r="M46" s="153"/>
    </row>
    <row r="47" spans="3:13" ht="26.25" customHeight="1" thickBot="1">
      <c r="C47" s="140">
        <v>46154</v>
      </c>
      <c r="D47" s="228"/>
      <c r="E47" s="228"/>
      <c r="F47" s="151"/>
      <c r="G47" s="151"/>
      <c r="H47" s="151"/>
      <c r="I47" s="151"/>
      <c r="J47" s="152"/>
      <c r="L47" s="153"/>
      <c r="M47" s="153"/>
    </row>
    <row r="48" spans="3:13" ht="26.25" customHeight="1" thickBot="1">
      <c r="C48" s="140">
        <v>46155</v>
      </c>
      <c r="D48" s="228"/>
      <c r="E48" s="228"/>
      <c r="F48" s="151"/>
      <c r="G48" s="151"/>
      <c r="H48" s="151"/>
      <c r="I48" s="151"/>
      <c r="J48" s="152"/>
      <c r="L48" s="153"/>
      <c r="M48" s="153"/>
    </row>
    <row r="49" spans="3:13" ht="26.25" customHeight="1" thickBot="1">
      <c r="C49" s="80"/>
      <c r="D49" s="228"/>
      <c r="E49" s="228"/>
      <c r="F49" s="81"/>
      <c r="G49" s="81"/>
      <c r="H49" s="81"/>
      <c r="I49" s="81"/>
      <c r="J49" s="82"/>
      <c r="L49" s="80"/>
      <c r="M49" s="80"/>
    </row>
    <row r="50" spans="3:13" ht="26.25" customHeight="1" thickBot="1">
      <c r="C50" s="80"/>
      <c r="D50" s="228"/>
      <c r="E50" s="228"/>
      <c r="F50" s="81"/>
      <c r="G50" s="81"/>
      <c r="H50" s="81"/>
      <c r="I50" s="81"/>
      <c r="J50" s="82"/>
    </row>
    <row r="51" spans="3:13" ht="26.25" customHeight="1" thickBot="1">
      <c r="C51" s="80"/>
      <c r="D51" s="228"/>
      <c r="E51" s="228"/>
      <c r="F51" s="81"/>
      <c r="G51" s="81"/>
      <c r="H51" s="81"/>
      <c r="I51" s="81"/>
      <c r="J51" s="82"/>
    </row>
    <row r="52" spans="3:13" ht="26.25" customHeight="1" thickBot="1">
      <c r="C52" s="80"/>
      <c r="D52" s="228"/>
      <c r="E52" s="228"/>
      <c r="F52" s="81"/>
      <c r="G52" s="81"/>
      <c r="H52" s="81"/>
      <c r="I52" s="81"/>
      <c r="J52" s="82"/>
    </row>
    <row r="53" spans="3:13" ht="26.25" customHeight="1" thickBot="1">
      <c r="C53" s="80"/>
      <c r="D53" s="228"/>
      <c r="E53" s="228"/>
      <c r="F53" s="81"/>
      <c r="G53" s="81"/>
      <c r="H53" s="81"/>
      <c r="I53" s="81"/>
      <c r="J53" s="82"/>
    </row>
    <row r="54" spans="3:13" ht="26.25" customHeight="1" thickBot="1">
      <c r="C54" s="80"/>
      <c r="D54" s="228"/>
      <c r="E54" s="228"/>
      <c r="F54" s="81"/>
      <c r="G54" s="81"/>
      <c r="H54" s="81"/>
      <c r="I54" s="81"/>
      <c r="J54" s="82"/>
    </row>
    <row r="55" spans="3:13" ht="26.25" customHeight="1" thickBot="1">
      <c r="C55" s="80"/>
      <c r="D55" s="228"/>
      <c r="E55" s="228"/>
      <c r="F55" s="81"/>
      <c r="G55" s="81"/>
      <c r="H55" s="81"/>
      <c r="I55" s="81"/>
      <c r="J55" s="82"/>
    </row>
    <row r="56" spans="3:13" ht="26.25" customHeight="1" thickBot="1">
      <c r="C56" s="80"/>
      <c r="D56" s="228"/>
      <c r="E56" s="228"/>
      <c r="F56" s="81"/>
      <c r="G56" s="81"/>
      <c r="H56" s="81"/>
      <c r="I56" s="81"/>
      <c r="J56" s="82"/>
    </row>
    <row r="57" spans="3:13" ht="26.25" customHeight="1" thickBot="1">
      <c r="C57" s="80"/>
      <c r="D57" s="228"/>
      <c r="E57" s="228"/>
      <c r="F57" s="81"/>
      <c r="G57" s="81"/>
      <c r="H57" s="81"/>
      <c r="I57" s="81"/>
      <c r="J57" s="82"/>
    </row>
    <row r="58" spans="3:13" ht="26.25" customHeight="1" thickBot="1">
      <c r="C58" s="80"/>
      <c r="D58" s="229"/>
      <c r="E58" s="229"/>
      <c r="F58" s="81"/>
      <c r="G58" s="81"/>
      <c r="H58" s="81"/>
      <c r="I58" s="81"/>
      <c r="J58" s="82"/>
    </row>
  </sheetData>
  <mergeCells count="5">
    <mergeCell ref="C2:J4"/>
    <mergeCell ref="L3:M4"/>
    <mergeCell ref="C5:J5"/>
    <mergeCell ref="E7:E58"/>
    <mergeCell ref="D7:D58"/>
  </mergeCells>
  <conditionalFormatting sqref="F1:F1048576">
    <cfRule type="containsText" dxfId="70" priority="1" operator="containsText" text="Red Popp">
      <formula>NOT(ISERROR(SEARCH("Red Popp",F1)))</formula>
    </cfRule>
    <cfRule type="containsText" dxfId="69" priority="2" operator="containsText" text="Purple Popp">
      <formula>NOT(ISERROR(SEARCH("Purple Popp",F1)))</formula>
    </cfRule>
    <cfRule type="containsText" dxfId="68" priority="3" operator="containsText" text="Purple (Fish)">
      <formula>NOT(ISERROR(SEARCH("Purple (Fish)",F1)))</formula>
    </cfRule>
    <cfRule type="containsText" dxfId="67" priority="4" operator="containsText" text="Blue Purple(1C)">
      <formula>NOT(ISERROR(SEARCH("Blue Purple(1C)",F1)))</formula>
    </cfRule>
    <cfRule type="containsText" dxfId="66" priority="5" operator="containsText" text="Purple Dark Blue(1B)">
      <formula>NOT(ISERROR(SEARCH("Purple Dark Blue(1B)",F1)))</formula>
    </cfRule>
    <cfRule type="containsText" dxfId="65" priority="6" operator="containsText" text="Blue Gray(1A)">
      <formula>NOT(ISERROR(SEARCH("Blue Gray(1A)",F1)))</formula>
    </cfRule>
    <cfRule type="containsText" dxfId="64" priority="7" operator="containsText" text="Blue Black(1H)">
      <formula>NOT(ISERROR(SEARCH("Blue Black(1H)",F1)))</formula>
    </cfRule>
    <cfRule type="containsText" dxfId="63" priority="8" operator="containsText" text="Red Dark Blue(1E)">
      <formula>NOT(ISERROR(SEARCH("Red Dark Blue(1E)",F1)))</formula>
    </cfRule>
    <cfRule type="containsText" dxfId="62" priority="9" operator="containsText" text="Blue Green(1J)">
      <formula>NOT(ISERROR(SEARCH("Blue Green(1J)",F1)))</formula>
    </cfRule>
    <cfRule type="containsText" dxfId="61" priority="10" operator="containsText" text="Red Black(1i)">
      <formula>NOT(ISERROR(SEARCH("Red Black(1i)",F1)))</formula>
    </cfRule>
    <cfRule type="containsText" dxfId="60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59"/>
  <sheetViews>
    <sheetView tabSelected="1" topLeftCell="A41" zoomScale="70" zoomScaleNormal="70" workbookViewId="0">
      <selection activeCell="I49" sqref="I49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30" t="s">
        <v>93</v>
      </c>
      <c r="D2" s="231"/>
      <c r="E2" s="231"/>
      <c r="F2" s="231"/>
      <c r="G2" s="231"/>
      <c r="H2" s="231"/>
      <c r="I2" s="231"/>
      <c r="J2" s="232"/>
      <c r="K2" s="1"/>
    </row>
    <row r="3" spans="3:13" ht="27.75" customHeight="1" thickBot="1">
      <c r="C3" s="233"/>
      <c r="D3" s="234"/>
      <c r="E3" s="234"/>
      <c r="F3" s="234"/>
      <c r="G3" s="234"/>
      <c r="H3" s="234"/>
      <c r="I3" s="234"/>
      <c r="J3" s="235"/>
      <c r="K3" s="1"/>
      <c r="L3" s="187" t="s">
        <v>16</v>
      </c>
      <c r="M3" s="188"/>
    </row>
    <row r="4" spans="3:13" ht="27.75" customHeight="1" thickTop="1" thickBot="1">
      <c r="C4" s="236"/>
      <c r="D4" s="237"/>
      <c r="E4" s="237"/>
      <c r="F4" s="237"/>
      <c r="G4" s="237"/>
      <c r="H4" s="237"/>
      <c r="I4" s="237"/>
      <c r="J4" s="238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127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39" t="s">
        <v>18</v>
      </c>
      <c r="E7" s="206" t="s">
        <v>60</v>
      </c>
      <c r="F7" s="118" t="s">
        <v>61</v>
      </c>
      <c r="G7" s="11"/>
      <c r="H7" s="11" t="s">
        <v>63</v>
      </c>
      <c r="I7" s="22">
        <v>6208</v>
      </c>
      <c r="J7" s="22">
        <v>6208</v>
      </c>
      <c r="K7" s="1"/>
      <c r="L7" s="11"/>
      <c r="M7" s="11"/>
    </row>
    <row r="8" spans="3:13" ht="26.4" thickBot="1">
      <c r="C8" s="116">
        <v>46143</v>
      </c>
      <c r="D8" s="240"/>
      <c r="E8" s="207"/>
      <c r="F8" s="118" t="s">
        <v>64</v>
      </c>
      <c r="G8" s="11"/>
      <c r="H8" s="11" t="s">
        <v>63</v>
      </c>
      <c r="I8" s="22">
        <v>7150</v>
      </c>
      <c r="J8" s="22">
        <v>7150</v>
      </c>
      <c r="K8" s="1"/>
      <c r="L8" s="11"/>
      <c r="M8" s="11"/>
    </row>
    <row r="9" spans="3:13" ht="26.4" thickBot="1">
      <c r="C9" s="116">
        <v>46143</v>
      </c>
      <c r="D9" s="240"/>
      <c r="E9" s="207"/>
      <c r="F9" s="118" t="s">
        <v>65</v>
      </c>
      <c r="G9" s="11"/>
      <c r="H9" s="11" t="s">
        <v>66</v>
      </c>
      <c r="I9" s="22">
        <v>7092</v>
      </c>
      <c r="J9" s="22">
        <v>7092</v>
      </c>
      <c r="K9" s="1"/>
      <c r="L9" s="11"/>
      <c r="M9" s="13"/>
    </row>
    <row r="10" spans="3:13" ht="26.4" thickBot="1">
      <c r="C10" s="116">
        <v>46143</v>
      </c>
      <c r="D10" s="240"/>
      <c r="E10" s="207"/>
      <c r="F10" s="118" t="s">
        <v>67</v>
      </c>
      <c r="G10" s="11"/>
      <c r="H10" s="11" t="s">
        <v>66</v>
      </c>
      <c r="I10" s="22">
        <v>1</v>
      </c>
      <c r="J10" s="22">
        <v>1</v>
      </c>
      <c r="K10" s="1"/>
      <c r="L10" s="11"/>
      <c r="M10" s="11"/>
    </row>
    <row r="11" spans="3:13" ht="26.4" thickBot="1">
      <c r="C11" s="116">
        <v>46143</v>
      </c>
      <c r="D11" s="240"/>
      <c r="E11" s="207"/>
      <c r="F11" s="118" t="s">
        <v>68</v>
      </c>
      <c r="G11" s="11"/>
      <c r="H11" s="11" t="s">
        <v>69</v>
      </c>
      <c r="I11" s="22">
        <v>430</v>
      </c>
      <c r="J11" s="22">
        <v>425</v>
      </c>
      <c r="K11" s="1"/>
      <c r="L11" s="11"/>
      <c r="M11" s="11"/>
    </row>
    <row r="12" spans="3:13" ht="26.4" thickBot="1">
      <c r="C12" s="116">
        <v>46143</v>
      </c>
      <c r="D12" s="240"/>
      <c r="E12" s="207"/>
      <c r="F12" s="118" t="s">
        <v>36</v>
      </c>
      <c r="G12" s="11"/>
      <c r="H12" s="11" t="s">
        <v>63</v>
      </c>
      <c r="I12" s="22">
        <v>10000</v>
      </c>
      <c r="J12" s="22">
        <v>10000</v>
      </c>
      <c r="K12" s="1"/>
      <c r="L12" s="11"/>
      <c r="M12" s="11"/>
    </row>
    <row r="13" spans="3:13" ht="26.4" thickBot="1">
      <c r="C13" s="116">
        <v>46143</v>
      </c>
      <c r="D13" s="240"/>
      <c r="E13" s="207"/>
      <c r="F13" s="118" t="s">
        <v>37</v>
      </c>
      <c r="G13" s="11"/>
      <c r="H13" s="11" t="s">
        <v>63</v>
      </c>
      <c r="I13" s="22">
        <v>10000</v>
      </c>
      <c r="J13" s="22">
        <v>10000</v>
      </c>
      <c r="K13" s="1"/>
      <c r="L13" s="11"/>
      <c r="M13" s="11"/>
    </row>
    <row r="14" spans="3:13" ht="26.4" thickBot="1">
      <c r="C14" s="116">
        <v>46143</v>
      </c>
      <c r="D14" s="240"/>
      <c r="E14" s="207"/>
      <c r="F14" s="118" t="s">
        <v>28</v>
      </c>
      <c r="G14" s="11"/>
      <c r="H14" s="11" t="s">
        <v>66</v>
      </c>
      <c r="I14" s="22">
        <v>7710</v>
      </c>
      <c r="J14" s="22">
        <v>7710</v>
      </c>
      <c r="K14" s="1"/>
      <c r="L14" s="11"/>
      <c r="M14" s="11"/>
    </row>
    <row r="15" spans="3:13" ht="26.4" thickBot="1">
      <c r="C15" s="116">
        <v>46143</v>
      </c>
      <c r="D15" s="240"/>
      <c r="E15" s="207"/>
      <c r="F15" s="118" t="s">
        <v>70</v>
      </c>
      <c r="G15" s="11"/>
      <c r="H15" s="11" t="s">
        <v>63</v>
      </c>
      <c r="I15" s="22">
        <v>10745</v>
      </c>
      <c r="J15" s="22">
        <v>10745</v>
      </c>
      <c r="K15" s="1"/>
      <c r="L15" s="11"/>
      <c r="M15" s="11"/>
    </row>
    <row r="16" spans="3:13" ht="26.4" thickBot="1">
      <c r="C16" s="116">
        <v>46143</v>
      </c>
      <c r="D16" s="240"/>
      <c r="E16" s="207"/>
      <c r="F16" s="174" t="s">
        <v>71</v>
      </c>
      <c r="G16" s="37"/>
      <c r="H16" s="39" t="s">
        <v>66</v>
      </c>
      <c r="I16" s="43">
        <v>3010</v>
      </c>
      <c r="J16" s="42">
        <v>3010</v>
      </c>
      <c r="K16" s="1"/>
      <c r="L16" s="39"/>
      <c r="M16" s="41"/>
    </row>
    <row r="17" spans="3:13" ht="26.4" thickBot="1">
      <c r="C17" s="46"/>
      <c r="D17" s="240"/>
      <c r="E17" s="207"/>
      <c r="F17" s="121"/>
      <c r="G17" s="47"/>
      <c r="H17" s="47"/>
      <c r="I17" s="56"/>
      <c r="J17" s="56"/>
      <c r="K17" s="1"/>
      <c r="L17" s="47"/>
      <c r="M17" s="47"/>
    </row>
    <row r="18" spans="3:13" ht="26.4" thickBot="1">
      <c r="C18" s="12">
        <v>46144</v>
      </c>
      <c r="D18" s="240"/>
      <c r="E18" s="207"/>
      <c r="F18" s="119" t="s">
        <v>68</v>
      </c>
      <c r="G18" s="11"/>
      <c r="H18" s="11" t="s">
        <v>66</v>
      </c>
      <c r="I18" s="22">
        <v>425</v>
      </c>
      <c r="J18" s="22">
        <v>405</v>
      </c>
      <c r="K18" s="1"/>
      <c r="L18" s="11"/>
      <c r="M18" s="11"/>
    </row>
    <row r="19" spans="3:13" ht="26.4" thickBot="1">
      <c r="C19" s="46"/>
      <c r="D19" s="240"/>
      <c r="E19" s="207"/>
      <c r="F19" s="121"/>
      <c r="G19" s="47"/>
      <c r="H19" s="47"/>
      <c r="I19" s="56"/>
      <c r="J19" s="56"/>
      <c r="K19" s="1"/>
      <c r="L19" s="47"/>
      <c r="M19" s="47"/>
    </row>
    <row r="20" spans="3:13" ht="26.4" thickBot="1">
      <c r="C20" s="140">
        <v>46145</v>
      </c>
      <c r="D20" s="240"/>
      <c r="E20" s="207"/>
      <c r="F20" s="122"/>
      <c r="G20" s="63"/>
      <c r="H20" s="63"/>
      <c r="I20" s="65"/>
      <c r="J20" s="65"/>
      <c r="K20" s="1"/>
      <c r="L20" s="63"/>
      <c r="M20" s="63"/>
    </row>
    <row r="21" spans="3:13" ht="26.25" customHeight="1" thickBot="1">
      <c r="C21" s="46"/>
      <c r="D21" s="240"/>
      <c r="E21" s="207"/>
      <c r="F21" s="121"/>
      <c r="G21" s="47"/>
      <c r="H21" s="47"/>
      <c r="I21" s="56"/>
      <c r="J21" s="56"/>
      <c r="K21" s="1"/>
      <c r="L21" s="47"/>
      <c r="M21" s="47"/>
    </row>
    <row r="22" spans="3:13" ht="26.25" customHeight="1" thickBot="1">
      <c r="C22" s="140">
        <v>46146</v>
      </c>
      <c r="D22" s="240"/>
      <c r="E22" s="207"/>
      <c r="F22" s="122"/>
      <c r="G22" s="63"/>
      <c r="H22" s="63"/>
      <c r="I22" s="65"/>
      <c r="J22" s="65"/>
      <c r="K22" s="1"/>
      <c r="L22" s="63"/>
      <c r="M22" s="63"/>
    </row>
    <row r="23" spans="3:13" ht="26.25" customHeight="1" thickBot="1">
      <c r="C23" s="46"/>
      <c r="D23" s="240"/>
      <c r="E23" s="207"/>
      <c r="F23" s="121"/>
      <c r="G23" s="47"/>
      <c r="H23" s="47"/>
      <c r="I23" s="56"/>
      <c r="J23" s="56"/>
      <c r="K23" s="1"/>
      <c r="L23" s="47"/>
      <c r="M23" s="47"/>
    </row>
    <row r="24" spans="3:13" ht="26.25" customHeight="1" thickBot="1">
      <c r="C24" s="116">
        <v>46147</v>
      </c>
      <c r="D24" s="240"/>
      <c r="E24" s="207"/>
      <c r="F24" s="119" t="s">
        <v>68</v>
      </c>
      <c r="G24" s="11"/>
      <c r="H24" s="11" t="s">
        <v>66</v>
      </c>
      <c r="I24" s="22">
        <v>405</v>
      </c>
      <c r="J24" s="22">
        <v>385</v>
      </c>
      <c r="K24" s="1"/>
      <c r="L24" s="11"/>
      <c r="M24" s="11"/>
    </row>
    <row r="25" spans="3:13" ht="26.25" customHeight="1" thickBot="1">
      <c r="C25" s="116">
        <v>46147</v>
      </c>
      <c r="D25" s="240"/>
      <c r="E25" s="207"/>
      <c r="F25" s="119" t="s">
        <v>68</v>
      </c>
      <c r="G25" s="11"/>
      <c r="H25" s="11" t="s">
        <v>66</v>
      </c>
      <c r="I25" s="22">
        <v>385</v>
      </c>
      <c r="J25" s="22">
        <v>375</v>
      </c>
      <c r="K25" s="1"/>
      <c r="L25" s="11"/>
      <c r="M25" s="11"/>
    </row>
    <row r="26" spans="3:13" ht="26.25" customHeight="1" thickBot="1">
      <c r="C26" s="12">
        <v>46148</v>
      </c>
      <c r="D26" s="240"/>
      <c r="E26" s="207"/>
      <c r="F26" s="119" t="s">
        <v>68</v>
      </c>
      <c r="G26" s="11"/>
      <c r="H26" s="11" t="s">
        <v>66</v>
      </c>
      <c r="I26" s="22">
        <v>375</v>
      </c>
      <c r="J26" s="22">
        <v>355</v>
      </c>
      <c r="K26" s="1"/>
      <c r="L26" s="11"/>
      <c r="M26" s="11"/>
    </row>
    <row r="27" spans="3:13" ht="26.25" customHeight="1" thickBot="1">
      <c r="C27" s="116">
        <v>46149</v>
      </c>
      <c r="D27" s="240"/>
      <c r="E27" s="207"/>
      <c r="F27" s="119" t="s">
        <v>68</v>
      </c>
      <c r="G27" s="11"/>
      <c r="H27" s="11" t="s">
        <v>66</v>
      </c>
      <c r="I27" s="22">
        <v>355</v>
      </c>
      <c r="J27" s="22">
        <v>345</v>
      </c>
      <c r="K27" s="1"/>
      <c r="L27" s="11"/>
      <c r="M27" s="11"/>
    </row>
    <row r="28" spans="3:13" ht="26.25" customHeight="1" thickBot="1">
      <c r="C28" s="116">
        <v>46149</v>
      </c>
      <c r="D28" s="240"/>
      <c r="E28" s="207"/>
      <c r="F28" s="119" t="s">
        <v>68</v>
      </c>
      <c r="G28" s="11"/>
      <c r="H28" s="11" t="s">
        <v>66</v>
      </c>
      <c r="I28" s="22">
        <v>345</v>
      </c>
      <c r="J28" s="22">
        <v>337</v>
      </c>
      <c r="K28" s="1"/>
      <c r="L28" s="11"/>
      <c r="M28" s="11"/>
    </row>
    <row r="29" spans="3:13" ht="26.25" customHeight="1" thickBot="1">
      <c r="C29" s="140">
        <v>46150</v>
      </c>
      <c r="D29" s="240"/>
      <c r="E29" s="207"/>
      <c r="F29" s="122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0">
        <v>46151</v>
      </c>
      <c r="D30" s="240"/>
      <c r="E30" s="207"/>
      <c r="F30" s="122"/>
      <c r="G30" s="63"/>
      <c r="H30" s="63"/>
      <c r="I30" s="65"/>
      <c r="J30" s="65"/>
      <c r="K30" s="1"/>
      <c r="L30" s="63"/>
      <c r="M30" s="70"/>
    </row>
    <row r="31" spans="3:13" ht="26.25" customHeight="1" thickBot="1">
      <c r="C31" s="12">
        <v>46152</v>
      </c>
      <c r="D31" s="240"/>
      <c r="E31" s="207"/>
      <c r="F31" s="119" t="s">
        <v>68</v>
      </c>
      <c r="G31" s="11"/>
      <c r="H31" s="22" t="s">
        <v>66</v>
      </c>
      <c r="I31" s="22">
        <v>337</v>
      </c>
      <c r="J31" s="22">
        <v>322</v>
      </c>
      <c r="K31" s="1"/>
      <c r="L31" s="11"/>
      <c r="M31" s="11"/>
    </row>
    <row r="32" spans="3:13" ht="26.25" customHeight="1" thickBot="1">
      <c r="C32" s="12">
        <v>46153</v>
      </c>
      <c r="D32" s="240"/>
      <c r="E32" s="207"/>
      <c r="F32" s="119" t="s">
        <v>68</v>
      </c>
      <c r="G32" s="11"/>
      <c r="H32" s="22" t="s">
        <v>66</v>
      </c>
      <c r="I32" s="22">
        <v>322</v>
      </c>
      <c r="J32" s="22">
        <v>312</v>
      </c>
      <c r="K32" s="1"/>
      <c r="L32" s="11"/>
      <c r="M32" s="11"/>
    </row>
    <row r="33" spans="3:13" ht="26.25" customHeight="1" thickBot="1">
      <c r="C33" s="12">
        <v>46153</v>
      </c>
      <c r="D33" s="240"/>
      <c r="E33" s="207"/>
      <c r="F33" s="119" t="s">
        <v>68</v>
      </c>
      <c r="G33" s="11"/>
      <c r="H33" s="22" t="s">
        <v>66</v>
      </c>
      <c r="I33" s="22">
        <v>312</v>
      </c>
      <c r="J33" s="22">
        <v>306</v>
      </c>
      <c r="K33" s="1"/>
      <c r="L33" s="11"/>
      <c r="M33" s="11"/>
    </row>
    <row r="34" spans="3:13" ht="26.25" customHeight="1" thickBot="1">
      <c r="C34" s="12">
        <v>46154</v>
      </c>
      <c r="D34" s="240"/>
      <c r="E34" s="207"/>
      <c r="F34" s="119" t="s">
        <v>68</v>
      </c>
      <c r="G34" s="11"/>
      <c r="H34" s="22" t="s">
        <v>66</v>
      </c>
      <c r="I34" s="22">
        <v>306</v>
      </c>
      <c r="J34" s="22">
        <v>301</v>
      </c>
      <c r="K34" s="1"/>
      <c r="L34" s="11"/>
      <c r="M34" s="11"/>
    </row>
    <row r="35" spans="3:13" ht="26.25" customHeight="1" thickBot="1">
      <c r="C35" s="12">
        <v>46154</v>
      </c>
      <c r="D35" s="240"/>
      <c r="E35" s="207"/>
      <c r="F35" s="119" t="s">
        <v>68</v>
      </c>
      <c r="G35" s="11"/>
      <c r="H35" s="22" t="s">
        <v>66</v>
      </c>
      <c r="I35" s="22">
        <v>301</v>
      </c>
      <c r="J35" s="22">
        <v>292</v>
      </c>
      <c r="K35" s="1"/>
      <c r="L35" s="11"/>
      <c r="M35" s="11"/>
    </row>
    <row r="36" spans="3:13" ht="26.25" customHeight="1" thickBot="1">
      <c r="C36" s="12">
        <v>46155</v>
      </c>
      <c r="D36" s="240"/>
      <c r="E36" s="207"/>
      <c r="F36" s="119" t="s">
        <v>68</v>
      </c>
      <c r="G36" s="11"/>
      <c r="H36" s="22" t="s">
        <v>66</v>
      </c>
      <c r="I36" s="22">
        <v>292</v>
      </c>
      <c r="J36" s="22">
        <v>272</v>
      </c>
      <c r="K36" s="1"/>
      <c r="L36" s="11"/>
      <c r="M36" s="11"/>
    </row>
    <row r="37" spans="3:13" ht="26.25" customHeight="1" thickBot="1">
      <c r="C37" s="12">
        <v>46156</v>
      </c>
      <c r="D37" s="240"/>
      <c r="E37" s="207"/>
      <c r="F37" s="175" t="s">
        <v>67</v>
      </c>
      <c r="G37" s="54"/>
      <c r="H37" s="22" t="s">
        <v>1</v>
      </c>
      <c r="I37" s="149">
        <v>1</v>
      </c>
      <c r="J37" s="149">
        <v>1000</v>
      </c>
      <c r="K37" s="1"/>
      <c r="L37" s="54"/>
      <c r="M37" s="54"/>
    </row>
    <row r="38" spans="3:13" ht="26.4" thickBot="1">
      <c r="C38" s="12">
        <v>46156</v>
      </c>
      <c r="D38" s="240"/>
      <c r="E38" s="207"/>
      <c r="F38" s="176" t="s">
        <v>68</v>
      </c>
      <c r="G38" s="111"/>
      <c r="H38" s="113" t="s">
        <v>1</v>
      </c>
      <c r="I38" s="113">
        <v>272</v>
      </c>
      <c r="J38" s="113">
        <v>1772</v>
      </c>
      <c r="L38" s="111"/>
      <c r="M38" s="111"/>
    </row>
    <row r="39" spans="3:13" ht="26.4" thickBot="1">
      <c r="C39" s="12">
        <v>46156</v>
      </c>
      <c r="D39" s="240"/>
      <c r="E39" s="207"/>
      <c r="F39" s="176" t="s">
        <v>68</v>
      </c>
      <c r="G39" s="111"/>
      <c r="H39" s="22" t="s">
        <v>66</v>
      </c>
      <c r="I39" s="113">
        <v>1772</v>
      </c>
      <c r="J39" s="113">
        <v>1763</v>
      </c>
      <c r="L39" s="111"/>
      <c r="M39" s="111"/>
    </row>
    <row r="40" spans="3:13" ht="26.4" thickBot="1">
      <c r="C40" s="12">
        <v>46156</v>
      </c>
      <c r="D40" s="240"/>
      <c r="E40" s="207"/>
      <c r="F40" s="176" t="s">
        <v>68</v>
      </c>
      <c r="G40" s="111"/>
      <c r="H40" s="22" t="s">
        <v>66</v>
      </c>
      <c r="I40" s="113">
        <v>1763</v>
      </c>
      <c r="J40" s="113">
        <v>1723</v>
      </c>
      <c r="L40" s="111"/>
      <c r="M40" s="111"/>
    </row>
    <row r="41" spans="3:13" ht="26.4" thickBot="1">
      <c r="C41" s="140">
        <v>46157</v>
      </c>
      <c r="D41" s="240"/>
      <c r="E41" s="207"/>
      <c r="F41" s="177"/>
      <c r="G41" s="158"/>
      <c r="H41" s="159"/>
      <c r="I41" s="159"/>
      <c r="J41" s="159"/>
      <c r="L41" s="158"/>
      <c r="M41" s="158"/>
    </row>
    <row r="42" spans="3:13" ht="26.4" thickBot="1">
      <c r="C42" s="12">
        <v>46158</v>
      </c>
      <c r="D42" s="240"/>
      <c r="E42" s="207"/>
      <c r="F42" s="176" t="s">
        <v>68</v>
      </c>
      <c r="G42" s="111"/>
      <c r="H42" s="22" t="s">
        <v>66</v>
      </c>
      <c r="I42" s="113">
        <v>1723</v>
      </c>
      <c r="J42" s="113">
        <v>1703</v>
      </c>
      <c r="L42" s="111"/>
      <c r="M42" s="111"/>
    </row>
    <row r="43" spans="3:13" ht="26.4" thickBot="1">
      <c r="C43" s="12">
        <v>46159</v>
      </c>
      <c r="D43" s="240"/>
      <c r="E43" s="207"/>
      <c r="F43" s="176" t="s">
        <v>68</v>
      </c>
      <c r="G43" s="111"/>
      <c r="H43" s="22" t="s">
        <v>66</v>
      </c>
      <c r="I43" s="113">
        <v>1703</v>
      </c>
      <c r="J43" s="113">
        <v>1701</v>
      </c>
      <c r="L43" s="111"/>
      <c r="M43" s="111"/>
    </row>
    <row r="44" spans="3:13" ht="26.4" thickBot="1">
      <c r="C44" s="140">
        <v>46160</v>
      </c>
      <c r="D44" s="240"/>
      <c r="E44" s="207"/>
      <c r="F44" s="177"/>
      <c r="G44" s="158"/>
      <c r="H44" s="159"/>
      <c r="I44" s="159"/>
      <c r="J44" s="159"/>
      <c r="L44" s="158"/>
      <c r="M44" s="158"/>
    </row>
    <row r="45" spans="3:13" ht="26.4" thickBot="1">
      <c r="C45" s="140">
        <v>46161</v>
      </c>
      <c r="D45" s="240"/>
      <c r="E45" s="207"/>
      <c r="F45" s="177"/>
      <c r="G45" s="158"/>
      <c r="H45" s="159"/>
      <c r="I45" s="159"/>
      <c r="J45" s="159"/>
      <c r="L45" s="158"/>
      <c r="M45" s="158"/>
    </row>
    <row r="46" spans="3:13" ht="26.4" thickBot="1">
      <c r="C46" s="12">
        <v>46162</v>
      </c>
      <c r="D46" s="240"/>
      <c r="E46" s="207"/>
      <c r="F46" s="176" t="s">
        <v>67</v>
      </c>
      <c r="G46" s="111"/>
      <c r="H46" s="22" t="s">
        <v>66</v>
      </c>
      <c r="I46" s="113">
        <v>1000</v>
      </c>
      <c r="J46" s="113">
        <v>998</v>
      </c>
      <c r="L46" s="111"/>
      <c r="M46" s="111"/>
    </row>
    <row r="47" spans="3:13" ht="26.4" thickBot="1">
      <c r="C47" s="12">
        <v>46162</v>
      </c>
      <c r="D47" s="240"/>
      <c r="E47" s="207"/>
      <c r="F47" s="176" t="s">
        <v>68</v>
      </c>
      <c r="G47" s="111"/>
      <c r="H47" s="22" t="s">
        <v>66</v>
      </c>
      <c r="I47" s="113">
        <v>1701</v>
      </c>
      <c r="J47" s="113">
        <v>1700</v>
      </c>
      <c r="L47" s="111"/>
      <c r="M47" s="111"/>
    </row>
    <row r="48" spans="3:13" ht="26.4" thickBot="1">
      <c r="C48" s="12">
        <v>46163</v>
      </c>
      <c r="D48" s="240"/>
      <c r="E48" s="207"/>
      <c r="F48" s="176" t="s">
        <v>68</v>
      </c>
      <c r="G48" s="111"/>
      <c r="H48" s="22" t="s">
        <v>66</v>
      </c>
      <c r="I48" s="113">
        <v>1700</v>
      </c>
      <c r="J48" s="113">
        <v>1680</v>
      </c>
      <c r="L48" s="111"/>
      <c r="M48" s="111"/>
    </row>
    <row r="49" spans="3:13" ht="26.4" thickBot="1">
      <c r="C49" s="12">
        <v>46165</v>
      </c>
      <c r="D49" s="240"/>
      <c r="E49" s="207"/>
      <c r="F49" s="111" t="s">
        <v>68</v>
      </c>
      <c r="G49" s="111"/>
      <c r="H49" s="22" t="s">
        <v>66</v>
      </c>
      <c r="I49" s="113">
        <v>1680</v>
      </c>
      <c r="J49" s="113">
        <v>1660</v>
      </c>
      <c r="L49" s="111"/>
      <c r="M49" s="111"/>
    </row>
    <row r="50" spans="3:13" ht="25.8">
      <c r="C50" s="111"/>
      <c r="D50" s="240"/>
      <c r="E50" s="207"/>
      <c r="F50" s="111"/>
      <c r="G50" s="111"/>
      <c r="H50" s="111"/>
      <c r="I50" s="111"/>
      <c r="J50" s="113"/>
      <c r="L50" s="111"/>
      <c r="M50" s="111"/>
    </row>
    <row r="51" spans="3:13" ht="25.8">
      <c r="C51" s="111"/>
      <c r="D51" s="240"/>
      <c r="E51" s="207"/>
      <c r="F51" s="111"/>
      <c r="G51" s="111"/>
      <c r="H51" s="111"/>
      <c r="I51" s="111"/>
      <c r="J51" s="113"/>
      <c r="L51" s="111"/>
      <c r="M51" s="111"/>
    </row>
    <row r="52" spans="3:13" ht="25.8">
      <c r="C52" s="111"/>
      <c r="D52" s="240"/>
      <c r="E52" s="207"/>
      <c r="F52" s="111"/>
      <c r="G52" s="111"/>
      <c r="H52" s="111"/>
      <c r="I52" s="111"/>
      <c r="J52" s="113"/>
      <c r="L52" s="111"/>
      <c r="M52" s="111"/>
    </row>
    <row r="53" spans="3:13" ht="25.8">
      <c r="C53" s="111"/>
      <c r="D53" s="240"/>
      <c r="E53" s="207"/>
      <c r="F53" s="111"/>
      <c r="G53" s="111"/>
      <c r="H53" s="111"/>
      <c r="I53" s="111"/>
      <c r="J53" s="113"/>
      <c r="L53" s="111"/>
      <c r="M53" s="111"/>
    </row>
    <row r="54" spans="3:13" ht="25.8">
      <c r="C54" s="111"/>
      <c r="D54" s="240"/>
      <c r="E54" s="207"/>
      <c r="F54" s="111"/>
      <c r="G54" s="111"/>
      <c r="H54" s="111"/>
      <c r="I54" s="111"/>
      <c r="J54" s="113"/>
      <c r="L54" s="111"/>
      <c r="M54" s="111"/>
    </row>
    <row r="55" spans="3:13" ht="25.8">
      <c r="C55" s="111"/>
      <c r="D55" s="240"/>
      <c r="E55" s="207"/>
      <c r="F55" s="111"/>
      <c r="G55" s="111"/>
      <c r="H55" s="111"/>
      <c r="I55" s="111"/>
      <c r="J55" s="113"/>
      <c r="L55" s="111"/>
      <c r="M55" s="111"/>
    </row>
    <row r="56" spans="3:13" ht="25.8">
      <c r="C56" s="111"/>
      <c r="D56" s="240"/>
      <c r="E56" s="207"/>
      <c r="F56" s="111"/>
      <c r="G56" s="111"/>
      <c r="H56" s="111"/>
      <c r="I56" s="111"/>
      <c r="J56" s="113"/>
      <c r="L56" s="111"/>
      <c r="M56" s="111"/>
    </row>
    <row r="57" spans="3:13" ht="25.8">
      <c r="C57" s="111"/>
      <c r="D57" s="240"/>
      <c r="E57" s="207"/>
      <c r="F57" s="111"/>
      <c r="G57" s="111"/>
      <c r="H57" s="111"/>
      <c r="I57" s="111"/>
      <c r="J57" s="113"/>
      <c r="L57" s="111"/>
      <c r="M57" s="111"/>
    </row>
    <row r="58" spans="3:13" ht="25.8">
      <c r="C58" s="111"/>
      <c r="D58" s="240"/>
      <c r="E58" s="207"/>
      <c r="F58" s="111"/>
      <c r="G58" s="111"/>
      <c r="H58" s="111"/>
      <c r="I58" s="111"/>
      <c r="J58" s="113"/>
      <c r="L58" s="111"/>
      <c r="M58" s="111"/>
    </row>
    <row r="59" spans="3:13" ht="25.8">
      <c r="C59" s="111"/>
      <c r="D59" s="241"/>
      <c r="E59" s="208"/>
      <c r="F59" s="111"/>
      <c r="G59" s="111"/>
      <c r="H59" s="111"/>
      <c r="I59" s="111"/>
      <c r="J59" s="113"/>
      <c r="L59" s="111"/>
      <c r="M59" s="111"/>
    </row>
  </sheetData>
  <mergeCells count="5">
    <mergeCell ref="C2:J4"/>
    <mergeCell ref="L3:M4"/>
    <mergeCell ref="C5:J5"/>
    <mergeCell ref="D7:D59"/>
    <mergeCell ref="E7:E59"/>
  </mergeCells>
  <conditionalFormatting sqref="F1:F1048576">
    <cfRule type="containsText" dxfId="59" priority="1" operator="containsText" text="Red KOP">
      <formula>NOT(ISERROR(SEARCH("Red KOP",F1)))</formula>
    </cfRule>
    <cfRule type="containsText" dxfId="58" priority="2" operator="containsText" text="Blue KOP">
      <formula>NOT(ISERROR(SEARCH("Blue KOP",F1)))</formula>
    </cfRule>
    <cfRule type="containsText" dxfId="57" priority="3" operator="containsText" text="Purple">
      <formula>NOT(ISERROR(SEARCH("Purple",F1)))</formula>
    </cfRule>
    <cfRule type="containsText" dxfId="56" priority="4" operator="containsText" text="Green">
      <formula>NOT(ISERROR(SEARCH("Green",F1)))</formula>
    </cfRule>
    <cfRule type="containsText" dxfId="55" priority="5" operator="containsText" text="Red">
      <formula>NOT(ISERROR(SEARCH("Red",F1)))</formula>
    </cfRule>
    <cfRule type="containsText" dxfId="54" priority="6" operator="containsText" text="White 50G">
      <formula>NOT(ISERROR(SEARCH("White 50G",F1)))</formula>
    </cfRule>
    <cfRule type="containsText" dxfId="53" priority="7" operator="containsText" text="White 25G">
      <formula>NOT(ISERROR(SEARCH("White 25G",F1)))</formula>
    </cfRule>
    <cfRule type="containsText" dxfId="52" priority="8" operator="containsText" text="Green Popp">
      <formula>NOT(ISERROR(SEARCH("Green Popp",F1)))</formula>
    </cfRule>
    <cfRule type="containsText" dxfId="51" priority="9" operator="containsText" text="Blue Popp">
      <formula>NOT(ISERROR(SEARCH("Blue Popp",F1)))</formula>
    </cfRule>
    <cfRule type="containsText" dxfId="50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" xr:uid="{00000000-0002-0000-0400-000000000000}">
      <formula1>"Sacks"</formula1>
    </dataValidation>
    <dataValidation type="list" allowBlank="1" showInputMessage="1" showErrorMessage="1" sqref="E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topLeftCell="A5" zoomScale="70" zoomScaleNormal="70" workbookViewId="0">
      <selection activeCell="C14" sqref="C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42" t="s">
        <v>7</v>
      </c>
      <c r="D2" s="243"/>
      <c r="E2" s="243"/>
      <c r="F2" s="243"/>
      <c r="G2" s="243"/>
      <c r="H2" s="243"/>
      <c r="I2" s="243"/>
      <c r="J2" s="244"/>
      <c r="K2" s="1"/>
    </row>
    <row r="3" spans="3:13" ht="27.75" customHeight="1" thickBot="1">
      <c r="C3" s="245"/>
      <c r="D3" s="246"/>
      <c r="E3" s="246"/>
      <c r="F3" s="246"/>
      <c r="G3" s="246"/>
      <c r="H3" s="246"/>
      <c r="I3" s="246"/>
      <c r="J3" s="247"/>
      <c r="K3" s="1"/>
      <c r="L3" s="187" t="s">
        <v>16</v>
      </c>
      <c r="M3" s="188"/>
    </row>
    <row r="4" spans="3:13" ht="27.75" customHeight="1" thickTop="1" thickBot="1">
      <c r="C4" s="248"/>
      <c r="D4" s="249"/>
      <c r="E4" s="249"/>
      <c r="F4" s="249"/>
      <c r="G4" s="249"/>
      <c r="H4" s="249"/>
      <c r="I4" s="249"/>
      <c r="J4" s="250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27" t="s">
        <v>23</v>
      </c>
      <c r="E7" s="251" t="s">
        <v>4</v>
      </c>
      <c r="F7" s="8" t="s">
        <v>24</v>
      </c>
      <c r="G7" s="227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16">
        <v>46143</v>
      </c>
      <c r="D8" s="228"/>
      <c r="E8" s="252"/>
      <c r="F8" s="8" t="s">
        <v>31</v>
      </c>
      <c r="G8" s="228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16">
        <v>46143</v>
      </c>
      <c r="D9" s="228"/>
      <c r="E9" s="252"/>
      <c r="F9" s="8" t="s">
        <v>40</v>
      </c>
      <c r="G9" s="228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16">
        <v>46143</v>
      </c>
      <c r="D10" s="228"/>
      <c r="E10" s="252"/>
      <c r="F10" s="8" t="s">
        <v>74</v>
      </c>
      <c r="G10" s="228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16">
        <v>46143</v>
      </c>
      <c r="D11" s="228"/>
      <c r="E11" s="252"/>
      <c r="F11" s="8" t="s">
        <v>28</v>
      </c>
      <c r="G11" s="228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16">
        <v>46143</v>
      </c>
      <c r="D12" s="228"/>
      <c r="E12" s="252"/>
      <c r="F12" s="8" t="s">
        <v>37</v>
      </c>
      <c r="G12" s="228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16">
        <v>46143</v>
      </c>
      <c r="D13" s="228"/>
      <c r="E13" s="252"/>
      <c r="F13" s="8" t="s">
        <v>36</v>
      </c>
      <c r="G13" s="228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16">
        <v>46143</v>
      </c>
      <c r="D14" s="228"/>
      <c r="E14" s="252"/>
      <c r="F14" s="8" t="s">
        <v>75</v>
      </c>
      <c r="G14" s="228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46"/>
      <c r="D15" s="228"/>
      <c r="E15" s="252"/>
      <c r="F15" s="55"/>
      <c r="G15" s="228"/>
      <c r="H15" s="47"/>
      <c r="I15" s="47"/>
      <c r="J15" s="47"/>
      <c r="K15" s="1"/>
      <c r="L15" s="47"/>
      <c r="M15" s="47"/>
    </row>
    <row r="16" spans="3:13" ht="26.4" thickBot="1">
      <c r="C16" s="12">
        <v>46144</v>
      </c>
      <c r="D16" s="228"/>
      <c r="E16" s="252"/>
      <c r="F16" s="8" t="s">
        <v>37</v>
      </c>
      <c r="G16" s="228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46"/>
      <c r="D17" s="228"/>
      <c r="E17" s="252"/>
      <c r="F17" s="55"/>
      <c r="G17" s="228"/>
      <c r="H17" s="47"/>
      <c r="I17" s="47"/>
      <c r="J17" s="47"/>
      <c r="K17" s="1"/>
      <c r="L17" s="47"/>
      <c r="M17" s="47"/>
    </row>
    <row r="18" spans="3:13" ht="26.4" thickBot="1">
      <c r="C18" s="140">
        <v>46145</v>
      </c>
      <c r="D18" s="228"/>
      <c r="E18" s="252"/>
      <c r="F18" s="64"/>
      <c r="G18" s="228"/>
      <c r="H18" s="63"/>
      <c r="I18" s="63"/>
      <c r="J18" s="63"/>
      <c r="K18" s="1"/>
      <c r="L18" s="63"/>
      <c r="M18" s="63"/>
    </row>
    <row r="19" spans="3:13" ht="26.4" thickBot="1">
      <c r="C19" s="46"/>
      <c r="D19" s="228"/>
      <c r="E19" s="252"/>
      <c r="F19" s="55"/>
      <c r="G19" s="228"/>
      <c r="H19" s="47"/>
      <c r="I19" s="47"/>
      <c r="J19" s="47"/>
      <c r="K19" s="1"/>
      <c r="L19" s="47"/>
      <c r="M19" s="47"/>
    </row>
    <row r="20" spans="3:13" ht="26.4" thickBot="1">
      <c r="C20" s="140">
        <v>46146</v>
      </c>
      <c r="D20" s="228"/>
      <c r="E20" s="252"/>
      <c r="F20" s="64"/>
      <c r="G20" s="228"/>
      <c r="H20" s="63"/>
      <c r="I20" s="63"/>
      <c r="J20" s="63"/>
      <c r="K20" s="1"/>
      <c r="L20" s="63"/>
      <c r="M20" s="63"/>
    </row>
    <row r="21" spans="3:13" ht="26.25" customHeight="1" thickBot="1">
      <c r="C21" s="140">
        <v>46147</v>
      </c>
      <c r="D21" s="228"/>
      <c r="E21" s="252"/>
      <c r="F21" s="64"/>
      <c r="G21" s="228"/>
      <c r="H21" s="63"/>
      <c r="I21" s="63"/>
      <c r="J21" s="63"/>
      <c r="K21" s="1"/>
      <c r="L21" s="63"/>
      <c r="M21" s="63"/>
    </row>
    <row r="22" spans="3:13" ht="26.25" customHeight="1" thickBot="1">
      <c r="C22" s="140">
        <v>46148</v>
      </c>
      <c r="D22" s="228"/>
      <c r="E22" s="252"/>
      <c r="F22" s="64"/>
      <c r="G22" s="228"/>
      <c r="H22" s="63"/>
      <c r="I22" s="63"/>
      <c r="J22" s="63"/>
      <c r="K22" s="1"/>
      <c r="L22" s="63"/>
      <c r="M22" s="63"/>
    </row>
    <row r="23" spans="3:13" ht="26.25" customHeight="1" thickBot="1">
      <c r="C23" s="140">
        <v>46149</v>
      </c>
      <c r="D23" s="228"/>
      <c r="E23" s="252"/>
      <c r="F23" s="64"/>
      <c r="G23" s="228"/>
      <c r="H23" s="63"/>
      <c r="I23" s="63"/>
      <c r="J23" s="63"/>
      <c r="K23" s="1"/>
      <c r="L23" s="63"/>
      <c r="M23" s="63"/>
    </row>
    <row r="24" spans="3:13" ht="26.25" customHeight="1" thickBot="1">
      <c r="C24" s="140">
        <v>46150</v>
      </c>
      <c r="D24" s="228"/>
      <c r="E24" s="252"/>
      <c r="F24" s="64"/>
      <c r="G24" s="228"/>
      <c r="H24" s="63"/>
      <c r="I24" s="63"/>
      <c r="J24" s="63"/>
      <c r="K24" s="1"/>
      <c r="L24" s="63"/>
      <c r="M24" s="63"/>
    </row>
    <row r="25" spans="3:13" ht="26.25" customHeight="1" thickBot="1">
      <c r="C25" s="140">
        <v>46151</v>
      </c>
      <c r="D25" s="228"/>
      <c r="E25" s="252"/>
      <c r="F25" s="64"/>
      <c r="G25" s="228"/>
      <c r="H25" s="63"/>
      <c r="I25" s="63"/>
      <c r="J25" s="63"/>
      <c r="K25" s="1"/>
      <c r="L25" s="63"/>
      <c r="M25" s="63"/>
    </row>
    <row r="26" spans="3:13" ht="26.25" customHeight="1" thickBot="1">
      <c r="C26" s="140">
        <v>46152</v>
      </c>
      <c r="D26" s="228"/>
      <c r="E26" s="252"/>
      <c r="F26" s="64"/>
      <c r="G26" s="228"/>
      <c r="H26" s="63"/>
      <c r="I26" s="63"/>
      <c r="J26" s="63"/>
      <c r="K26" s="1"/>
      <c r="L26" s="63"/>
      <c r="M26" s="63"/>
    </row>
    <row r="27" spans="3:13" ht="26.25" customHeight="1" thickBot="1">
      <c r="C27" s="12">
        <v>46153</v>
      </c>
      <c r="D27" s="228"/>
      <c r="E27" s="252"/>
      <c r="F27" s="8"/>
      <c r="G27" s="228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28"/>
      <c r="E28" s="252"/>
      <c r="F28" s="8"/>
      <c r="G28" s="228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28"/>
      <c r="E29" s="252"/>
      <c r="F29" s="8"/>
      <c r="G29" s="228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28"/>
      <c r="E30" s="252"/>
      <c r="F30" s="8"/>
      <c r="G30" s="228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28"/>
      <c r="E31" s="252"/>
      <c r="F31" s="8"/>
      <c r="G31" s="228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28"/>
      <c r="E32" s="252"/>
      <c r="F32" s="8"/>
      <c r="G32" s="228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28"/>
      <c r="E33" s="252"/>
      <c r="F33" s="8"/>
      <c r="G33" s="228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28"/>
      <c r="E34" s="252"/>
      <c r="F34" s="8"/>
      <c r="G34" s="228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28"/>
      <c r="E35" s="252"/>
      <c r="F35" s="8"/>
      <c r="G35" s="228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28"/>
      <c r="E36" s="252"/>
      <c r="F36" s="8"/>
      <c r="G36" s="228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29"/>
      <c r="E37" s="253"/>
      <c r="F37" s="9"/>
      <c r="G37" s="229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1:F1048576">
    <cfRule type="containsText" dxfId="49" priority="1" operator="containsText" text="Blue +">
      <formula>NOT(ISERROR(SEARCH("Blue +",F1)))</formula>
    </cfRule>
    <cfRule type="containsText" dxfId="48" priority="2" operator="containsText" text="Purple">
      <formula>NOT(ISERROR(SEARCH("Purple",F1)))</formula>
    </cfRule>
    <cfRule type="containsText" dxfId="47" priority="3" operator="containsText" text="Black">
      <formula>NOT(ISERROR(SEARCH("Black",F1)))</formula>
    </cfRule>
    <cfRule type="containsText" dxfId="46" priority="4" operator="containsText" text="Dark Blue">
      <formula>NOT(ISERROR(SEARCH("Dark Blue",F1)))</formula>
    </cfRule>
    <cfRule type="containsText" dxfId="45" priority="5" operator="containsText" text="Gray">
      <formula>NOT(ISERROR(SEARCH("Gray",F1)))</formula>
    </cfRule>
    <cfRule type="containsText" dxfId="44" priority="6" operator="containsText" text="Red">
      <formula>NOT(ISERROR(SEARCH("Red",F1)))</formula>
    </cfRule>
    <cfRule type="containsText" dxfId="43" priority="7" operator="containsText" text="Green">
      <formula>NOT(ISERROR(SEARCH("Green",F1)))</formula>
    </cfRule>
    <cfRule type="containsText" dxfId="42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topLeftCell="A9" zoomScale="80" zoomScaleNormal="8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54" t="s">
        <v>73</v>
      </c>
      <c r="D2" s="255"/>
      <c r="E2" s="255"/>
      <c r="F2" s="255"/>
      <c r="G2" s="255"/>
      <c r="H2" s="255"/>
      <c r="I2" s="255"/>
      <c r="J2" s="256"/>
      <c r="K2" s="1"/>
    </row>
    <row r="3" spans="3:13" ht="27.75" customHeight="1" thickBot="1">
      <c r="C3" s="257"/>
      <c r="D3" s="258"/>
      <c r="E3" s="258"/>
      <c r="F3" s="258"/>
      <c r="G3" s="258"/>
      <c r="H3" s="258"/>
      <c r="I3" s="258"/>
      <c r="J3" s="259"/>
      <c r="K3" s="1"/>
      <c r="L3" s="187" t="s">
        <v>16</v>
      </c>
      <c r="M3" s="188"/>
    </row>
    <row r="4" spans="3:13" ht="27.75" customHeight="1" thickTop="1" thickBot="1">
      <c r="C4" s="260"/>
      <c r="D4" s="261"/>
      <c r="E4" s="261"/>
      <c r="F4" s="261"/>
      <c r="G4" s="261"/>
      <c r="H4" s="261"/>
      <c r="I4" s="261"/>
      <c r="J4" s="262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227" t="s">
        <v>23</v>
      </c>
      <c r="E7" s="251" t="s">
        <v>72</v>
      </c>
      <c r="F7" s="8" t="s">
        <v>37</v>
      </c>
      <c r="G7" s="227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46"/>
      <c r="D8" s="228"/>
      <c r="E8" s="252"/>
      <c r="F8" s="55"/>
      <c r="G8" s="228"/>
      <c r="H8" s="47"/>
      <c r="I8" s="47"/>
      <c r="J8" s="47"/>
      <c r="K8" s="1"/>
      <c r="L8" s="47"/>
      <c r="M8" s="47"/>
    </row>
    <row r="9" spans="3:13" ht="26.4" thickBot="1">
      <c r="C9" s="140">
        <v>46144</v>
      </c>
      <c r="D9" s="228"/>
      <c r="E9" s="252"/>
      <c r="F9" s="64"/>
      <c r="G9" s="228"/>
      <c r="H9" s="63"/>
      <c r="I9" s="63"/>
      <c r="J9" s="63"/>
      <c r="K9" s="1"/>
      <c r="L9" s="63"/>
      <c r="M9" s="70"/>
    </row>
    <row r="10" spans="3:13" ht="26.4" thickBot="1">
      <c r="C10" s="46"/>
      <c r="D10" s="228"/>
      <c r="E10" s="252"/>
      <c r="F10" s="55"/>
      <c r="G10" s="228"/>
      <c r="H10" s="47"/>
      <c r="I10" s="47"/>
      <c r="J10" s="47"/>
      <c r="K10" s="1"/>
      <c r="L10" s="47"/>
      <c r="M10" s="47"/>
    </row>
    <row r="11" spans="3:13" ht="26.4" thickBot="1">
      <c r="C11" s="140">
        <v>46145</v>
      </c>
      <c r="D11" s="228"/>
      <c r="E11" s="252"/>
      <c r="F11" s="64"/>
      <c r="G11" s="228"/>
      <c r="H11" s="63"/>
      <c r="I11" s="63"/>
      <c r="J11" s="63"/>
      <c r="K11" s="1"/>
      <c r="L11" s="63"/>
      <c r="M11" s="63"/>
    </row>
    <row r="12" spans="3:13" ht="26.4" thickBot="1">
      <c r="C12" s="46"/>
      <c r="D12" s="228"/>
      <c r="E12" s="252"/>
      <c r="F12" s="55"/>
      <c r="G12" s="228"/>
      <c r="H12" s="47"/>
      <c r="I12" s="47"/>
      <c r="J12" s="47"/>
      <c r="K12" s="1"/>
      <c r="L12" s="47"/>
      <c r="M12" s="47"/>
    </row>
    <row r="13" spans="3:13" ht="26.4" thickBot="1">
      <c r="C13" s="140">
        <v>46146</v>
      </c>
      <c r="D13" s="228"/>
      <c r="E13" s="252"/>
      <c r="F13" s="64"/>
      <c r="G13" s="228"/>
      <c r="H13" s="63"/>
      <c r="I13" s="63"/>
      <c r="J13" s="63"/>
      <c r="K13" s="1"/>
      <c r="L13" s="63"/>
      <c r="M13" s="63"/>
    </row>
    <row r="14" spans="3:13" ht="26.4" thickBot="1">
      <c r="C14" s="46"/>
      <c r="D14" s="228"/>
      <c r="E14" s="252"/>
      <c r="F14" s="55"/>
      <c r="G14" s="228"/>
      <c r="H14" s="47"/>
      <c r="I14" s="47"/>
      <c r="J14" s="47"/>
      <c r="K14" s="1"/>
      <c r="L14" s="47"/>
      <c r="M14" s="47"/>
    </row>
    <row r="15" spans="3:13" ht="26.4" thickBot="1">
      <c r="C15" s="140">
        <v>46147</v>
      </c>
      <c r="D15" s="228"/>
      <c r="E15" s="252"/>
      <c r="F15" s="141"/>
      <c r="G15" s="228"/>
      <c r="H15" s="141"/>
      <c r="I15" s="141"/>
      <c r="J15" s="141"/>
      <c r="K15" s="1"/>
      <c r="L15" s="141"/>
      <c r="M15" s="141"/>
    </row>
    <row r="16" spans="3:13" ht="26.4" thickBot="1">
      <c r="C16" s="140">
        <v>46148</v>
      </c>
      <c r="D16" s="228"/>
      <c r="E16" s="252"/>
      <c r="F16" s="141"/>
      <c r="G16" s="228"/>
      <c r="H16" s="141"/>
      <c r="I16" s="141"/>
      <c r="J16" s="141"/>
      <c r="K16" s="1"/>
      <c r="L16" s="141"/>
      <c r="M16" s="142"/>
    </row>
    <row r="17" spans="3:13" ht="26.4" thickBot="1">
      <c r="C17" s="140">
        <v>46149</v>
      </c>
      <c r="D17" s="228"/>
      <c r="E17" s="252"/>
      <c r="F17" s="141"/>
      <c r="G17" s="228"/>
      <c r="H17" s="141"/>
      <c r="I17" s="141"/>
      <c r="J17" s="141"/>
      <c r="K17" s="1"/>
      <c r="L17" s="141"/>
      <c r="M17" s="141"/>
    </row>
    <row r="18" spans="3:13" ht="26.4" thickBot="1">
      <c r="C18" s="140">
        <v>46150</v>
      </c>
      <c r="D18" s="228"/>
      <c r="E18" s="252"/>
      <c r="F18" s="141"/>
      <c r="G18" s="228"/>
      <c r="H18" s="141"/>
      <c r="I18" s="141"/>
      <c r="J18" s="141"/>
      <c r="K18" s="1"/>
      <c r="L18" s="141"/>
      <c r="M18" s="141"/>
    </row>
    <row r="19" spans="3:13" ht="26.4" thickBot="1">
      <c r="C19" s="140">
        <v>46151</v>
      </c>
      <c r="D19" s="228"/>
      <c r="E19" s="252"/>
      <c r="F19" s="141"/>
      <c r="G19" s="228"/>
      <c r="H19" s="141"/>
      <c r="I19" s="141"/>
      <c r="J19" s="141"/>
      <c r="K19" s="1"/>
      <c r="L19" s="141"/>
      <c r="M19" s="141"/>
    </row>
    <row r="20" spans="3:13" ht="26.4" thickBot="1">
      <c r="C20" s="140">
        <v>46152</v>
      </c>
      <c r="D20" s="228"/>
      <c r="E20" s="252"/>
      <c r="F20" s="141"/>
      <c r="G20" s="228"/>
      <c r="H20" s="141"/>
      <c r="I20" s="141"/>
      <c r="J20" s="141"/>
      <c r="K20" s="1"/>
      <c r="L20" s="141"/>
      <c r="M20" s="141"/>
    </row>
    <row r="21" spans="3:13" ht="26.25" customHeight="1" thickBot="1">
      <c r="C21" s="12">
        <v>46153</v>
      </c>
      <c r="D21" s="228"/>
      <c r="E21" s="252"/>
      <c r="F21" s="8"/>
      <c r="G21" s="228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228"/>
      <c r="E22" s="252"/>
      <c r="F22" s="8"/>
      <c r="G22" s="228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228"/>
      <c r="E23" s="252"/>
      <c r="F23" s="8"/>
      <c r="G23" s="228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228"/>
      <c r="E24" s="252"/>
      <c r="F24" s="8"/>
      <c r="G24" s="228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228"/>
      <c r="E25" s="252"/>
      <c r="F25" s="8"/>
      <c r="G25" s="228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228"/>
      <c r="E26" s="252"/>
      <c r="F26" s="8"/>
      <c r="G26" s="228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228"/>
      <c r="E27" s="252"/>
      <c r="F27" s="8"/>
      <c r="G27" s="228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28"/>
      <c r="E28" s="252"/>
      <c r="F28" s="8"/>
      <c r="G28" s="228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28"/>
      <c r="E29" s="252"/>
      <c r="F29" s="8"/>
      <c r="G29" s="228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28"/>
      <c r="E30" s="252"/>
      <c r="F30" s="8"/>
      <c r="G30" s="228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28"/>
      <c r="E31" s="252"/>
      <c r="F31" s="8"/>
      <c r="G31" s="228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28"/>
      <c r="E32" s="252"/>
      <c r="F32" s="8"/>
      <c r="G32" s="228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28"/>
      <c r="E33" s="252"/>
      <c r="F33" s="8"/>
      <c r="G33" s="228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28"/>
      <c r="E34" s="252"/>
      <c r="F34" s="8"/>
      <c r="G34" s="228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28"/>
      <c r="E35" s="252"/>
      <c r="F35" s="8"/>
      <c r="G35" s="228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28"/>
      <c r="E36" s="252"/>
      <c r="F36" s="8"/>
      <c r="G36" s="228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29"/>
      <c r="E37" s="253"/>
      <c r="F37" s="9"/>
      <c r="G37" s="229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41" priority="6" operator="containsText" text="Light Blue">
      <formula>NOT(ISERROR(SEARCH("Light Blue",F7)))</formula>
    </cfRule>
    <cfRule type="containsText" dxfId="40" priority="16" operator="containsText" text="Orange">
      <formula>NOT(ISERROR(SEARCH("Orange",F7)))</formula>
    </cfRule>
    <cfRule type="containsText" dxfId="39" priority="17" operator="containsText" text="Purple">
      <formula>NOT(ISERROR(SEARCH("Purple",F7)))</formula>
    </cfRule>
  </conditionalFormatting>
  <conditionalFormatting sqref="F7:F37">
    <cfRule type="containsText" dxfId="38" priority="4" operator="containsText" text="Light Blue">
      <formula>NOT(ISERROR(SEARCH("Light Blue",F7)))</formula>
    </cfRule>
    <cfRule type="containsText" dxfId="37" priority="7" operator="containsText" text="Dark Blue">
      <formula>NOT(ISERROR(SEARCH("Dark Blue",F7)))</formula>
    </cfRule>
    <cfRule type="containsText" dxfId="36" priority="8" operator="containsText" text="Blue">
      <formula>NOT(ISERROR(SEARCH("Blue",F7)))</formula>
    </cfRule>
    <cfRule type="containsText" dxfId="35" priority="9" operator="containsText" text="Yellow">
      <formula>NOT(ISERROR(SEARCH("Yellow",F7)))</formula>
    </cfRule>
    <cfRule type="containsText" dxfId="34" priority="10" operator="containsText" text="Light Blue">
      <formula>NOT(ISERROR(SEARCH("Light Blue",F7)))</formula>
    </cfRule>
    <cfRule type="containsText" dxfId="33" priority="11" operator="containsText" text="Dark Green">
      <formula>NOT(ISERROR(SEARCH("Dark Green",F7)))</formula>
    </cfRule>
    <cfRule type="containsText" dxfId="32" priority="12" operator="containsText" text="Brown">
      <formula>NOT(ISERROR(SEARCH("Brown",F7)))</formula>
    </cfRule>
    <cfRule type="containsText" dxfId="31" priority="13" operator="containsText" text="Green">
      <formula>NOT(ISERROR(SEARCH("Green",F7)))</formula>
    </cfRule>
    <cfRule type="containsText" dxfId="30" priority="14" operator="containsText" text="Red">
      <formula>NOT(ISERROR(SEARCH("Red",F7)))</formula>
    </cfRule>
    <cfRule type="containsText" dxfId="29" priority="15" operator="containsText" text="Gray">
      <formula>NOT(ISERROR(SEARCH("Gray",F7)))</formula>
    </cfRule>
  </conditionalFormatting>
  <conditionalFormatting sqref="F8">
    <cfRule type="containsText" dxfId="28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27" priority="3" operator="containsText" text="wHITE">
      <formula>NOT(ISERROR(SEARCH("wHITE",F19)))</formula>
    </cfRule>
  </conditionalFormatting>
  <conditionalFormatting sqref="F7:F37">
    <cfRule type="containsText" dxfId="26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73"/>
  <sheetViews>
    <sheetView topLeftCell="A48" zoomScale="70" zoomScaleNormal="70" workbookViewId="0">
      <selection activeCell="M61" sqref="M61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254" t="s">
        <v>77</v>
      </c>
      <c r="D2" s="255"/>
      <c r="E2" s="255"/>
      <c r="F2" s="255"/>
      <c r="G2" s="255"/>
      <c r="H2" s="255"/>
      <c r="I2" s="255"/>
      <c r="J2" s="256"/>
      <c r="K2" s="1"/>
    </row>
    <row r="3" spans="3:13" ht="27.75" customHeight="1" thickBot="1">
      <c r="C3" s="257"/>
      <c r="D3" s="258"/>
      <c r="E3" s="258"/>
      <c r="F3" s="258"/>
      <c r="G3" s="258"/>
      <c r="H3" s="258"/>
      <c r="I3" s="258"/>
      <c r="J3" s="259"/>
      <c r="K3" s="1"/>
      <c r="L3" s="187" t="s">
        <v>16</v>
      </c>
      <c r="M3" s="188"/>
    </row>
    <row r="4" spans="3:13" ht="27.75" customHeight="1" thickTop="1" thickBot="1">
      <c r="C4" s="260"/>
      <c r="D4" s="261"/>
      <c r="E4" s="261"/>
      <c r="F4" s="261"/>
      <c r="G4" s="261"/>
      <c r="H4" s="261"/>
      <c r="I4" s="261"/>
      <c r="J4" s="262"/>
      <c r="K4" s="1"/>
      <c r="L4" s="189"/>
      <c r="M4" s="190"/>
    </row>
    <row r="5" spans="3:13" ht="26.4" thickBot="1">
      <c r="C5" s="49"/>
      <c r="D5" s="50"/>
      <c r="E5" s="50"/>
      <c r="F5" s="50"/>
      <c r="G5" s="50"/>
      <c r="H5" s="50"/>
      <c r="I5" s="50"/>
      <c r="J5" s="5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194" t="s">
        <v>79</v>
      </c>
      <c r="E7" s="52" t="s">
        <v>78</v>
      </c>
      <c r="F7" s="8" t="s">
        <v>87</v>
      </c>
      <c r="G7" s="61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16">
        <v>46143</v>
      </c>
      <c r="D8" s="195"/>
      <c r="E8" s="53" t="s">
        <v>72</v>
      </c>
      <c r="F8" s="8" t="s">
        <v>86</v>
      </c>
      <c r="G8" s="61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16">
        <v>46143</v>
      </c>
      <c r="D9" s="195"/>
      <c r="E9" s="53" t="s">
        <v>80</v>
      </c>
      <c r="F9" s="8" t="s">
        <v>37</v>
      </c>
      <c r="G9" s="61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16">
        <v>46143</v>
      </c>
      <c r="D10" s="195"/>
      <c r="E10" s="53" t="s">
        <v>80</v>
      </c>
      <c r="F10" s="8" t="s">
        <v>24</v>
      </c>
      <c r="G10" s="61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16">
        <v>46143</v>
      </c>
      <c r="D11" s="195"/>
      <c r="E11" s="53" t="s">
        <v>81</v>
      </c>
      <c r="F11" s="8" t="s">
        <v>81</v>
      </c>
      <c r="G11" s="61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16">
        <v>46143</v>
      </c>
      <c r="D12" s="195"/>
      <c r="E12" s="53" t="s">
        <v>84</v>
      </c>
      <c r="F12" s="8" t="s">
        <v>84</v>
      </c>
      <c r="G12" s="61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46"/>
      <c r="D13" s="195"/>
      <c r="E13" s="59"/>
      <c r="F13" s="55"/>
      <c r="G13" s="143"/>
      <c r="H13" s="47"/>
      <c r="I13" s="47"/>
      <c r="J13" s="47"/>
      <c r="K13" s="1"/>
      <c r="L13" s="47"/>
      <c r="M13" s="47"/>
    </row>
    <row r="14" spans="3:13" ht="26.4" thickBot="1">
      <c r="C14" s="116">
        <v>46144</v>
      </c>
      <c r="D14" s="195"/>
      <c r="E14" s="53" t="s">
        <v>80</v>
      </c>
      <c r="F14" s="8" t="s">
        <v>37</v>
      </c>
      <c r="G14" s="61" t="s">
        <v>83</v>
      </c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16">
        <v>46144</v>
      </c>
      <c r="D15" s="195"/>
      <c r="E15" s="53" t="s">
        <v>78</v>
      </c>
      <c r="F15" s="8" t="s">
        <v>87</v>
      </c>
      <c r="G15" s="61" t="s">
        <v>76</v>
      </c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16">
        <v>46144</v>
      </c>
      <c r="D16" s="195"/>
      <c r="E16" s="53" t="s">
        <v>80</v>
      </c>
      <c r="F16" s="8" t="s">
        <v>37</v>
      </c>
      <c r="G16" s="61" t="s">
        <v>83</v>
      </c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46"/>
      <c r="D17" s="195"/>
      <c r="E17" s="59"/>
      <c r="F17" s="55"/>
      <c r="G17" s="143"/>
      <c r="H17" s="47"/>
      <c r="I17" s="47"/>
      <c r="J17" s="47"/>
      <c r="K17" s="1"/>
      <c r="L17" s="47"/>
      <c r="M17" s="47"/>
    </row>
    <row r="18" spans="3:13" ht="26.4" thickBot="1">
      <c r="C18" s="117">
        <v>46145</v>
      </c>
      <c r="D18" s="195"/>
      <c r="E18" s="53" t="s">
        <v>80</v>
      </c>
      <c r="F18" s="8" t="s">
        <v>37</v>
      </c>
      <c r="G18" s="61" t="s">
        <v>83</v>
      </c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117">
        <v>46145</v>
      </c>
      <c r="D19" s="195"/>
      <c r="E19" s="53" t="s">
        <v>78</v>
      </c>
      <c r="F19" s="8" t="s">
        <v>87</v>
      </c>
      <c r="G19" s="61" t="s">
        <v>76</v>
      </c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46"/>
      <c r="D20" s="195"/>
      <c r="E20" s="59"/>
      <c r="F20" s="55"/>
      <c r="G20" s="143"/>
      <c r="H20" s="47"/>
      <c r="I20" s="47"/>
      <c r="J20" s="47"/>
      <c r="K20" s="1"/>
      <c r="L20" s="47"/>
      <c r="M20" s="47"/>
    </row>
    <row r="21" spans="3:13" ht="26.25" customHeight="1" thickBot="1">
      <c r="C21" s="117">
        <v>46146</v>
      </c>
      <c r="D21" s="195"/>
      <c r="E21" s="53" t="s">
        <v>78</v>
      </c>
      <c r="F21" s="8" t="s">
        <v>87</v>
      </c>
      <c r="G21" s="61" t="s">
        <v>76</v>
      </c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117">
        <v>46146</v>
      </c>
      <c r="D22" s="195"/>
      <c r="E22" s="53" t="s">
        <v>80</v>
      </c>
      <c r="F22" s="8" t="s">
        <v>37</v>
      </c>
      <c r="G22" s="61" t="s">
        <v>83</v>
      </c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46"/>
      <c r="D23" s="195"/>
      <c r="E23" s="59"/>
      <c r="F23" s="55"/>
      <c r="G23" s="143"/>
      <c r="H23" s="47"/>
      <c r="I23" s="47"/>
      <c r="J23" s="47"/>
      <c r="K23" s="1"/>
      <c r="L23" s="47"/>
      <c r="M23" s="47"/>
    </row>
    <row r="24" spans="3:13" ht="26.25" customHeight="1" thickBot="1">
      <c r="C24" s="117">
        <v>46147</v>
      </c>
      <c r="D24" s="195"/>
      <c r="E24" s="53" t="s">
        <v>78</v>
      </c>
      <c r="F24" s="8" t="s">
        <v>87</v>
      </c>
      <c r="G24" s="61" t="s">
        <v>76</v>
      </c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117">
        <v>46147</v>
      </c>
      <c r="D25" s="195"/>
      <c r="E25" s="53" t="s">
        <v>80</v>
      </c>
      <c r="F25" s="8" t="s">
        <v>37</v>
      </c>
      <c r="G25" s="61" t="s">
        <v>83</v>
      </c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117">
        <v>46147</v>
      </c>
      <c r="D26" s="195"/>
      <c r="E26" s="53" t="s">
        <v>80</v>
      </c>
      <c r="F26" s="8" t="s">
        <v>24</v>
      </c>
      <c r="G26" s="61" t="s">
        <v>83</v>
      </c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46"/>
      <c r="D27" s="195"/>
      <c r="E27" s="59"/>
      <c r="F27" s="55"/>
      <c r="G27" s="143"/>
      <c r="H27" s="47"/>
      <c r="I27" s="47"/>
      <c r="J27" s="47"/>
      <c r="K27" s="1"/>
      <c r="L27" s="47"/>
      <c r="M27" s="47"/>
    </row>
    <row r="28" spans="3:13" ht="26.25" customHeight="1" thickBot="1">
      <c r="C28" s="117">
        <v>46148</v>
      </c>
      <c r="D28" s="195"/>
      <c r="E28" s="53" t="s">
        <v>80</v>
      </c>
      <c r="F28" s="8" t="s">
        <v>24</v>
      </c>
      <c r="G28" s="61" t="s">
        <v>83</v>
      </c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117">
        <v>46148</v>
      </c>
      <c r="D29" s="195"/>
      <c r="E29" s="53" t="s">
        <v>78</v>
      </c>
      <c r="F29" s="8" t="s">
        <v>87</v>
      </c>
      <c r="G29" s="61" t="s">
        <v>76</v>
      </c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117">
        <v>46148</v>
      </c>
      <c r="D30" s="195"/>
      <c r="E30" s="86" t="s">
        <v>72</v>
      </c>
      <c r="F30" s="87" t="s">
        <v>86</v>
      </c>
      <c r="G30" s="61" t="s">
        <v>83</v>
      </c>
      <c r="H30" s="39" t="s">
        <v>66</v>
      </c>
      <c r="I30" s="39">
        <v>1464</v>
      </c>
      <c r="J30" s="39">
        <v>1456</v>
      </c>
      <c r="K30" s="1"/>
      <c r="L30" s="39"/>
      <c r="M30" s="41"/>
    </row>
    <row r="31" spans="3:13" ht="26.25" customHeight="1" thickBot="1">
      <c r="C31" s="67">
        <v>46149</v>
      </c>
      <c r="D31" s="195"/>
      <c r="E31" s="53" t="s">
        <v>72</v>
      </c>
      <c r="F31" s="8" t="s">
        <v>86</v>
      </c>
      <c r="G31" s="61" t="s">
        <v>83</v>
      </c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140">
        <v>46150</v>
      </c>
      <c r="D32" s="195"/>
      <c r="E32" s="132"/>
      <c r="F32" s="64"/>
      <c r="G32" s="133"/>
      <c r="H32" s="63"/>
      <c r="I32" s="63"/>
      <c r="J32" s="63"/>
      <c r="K32" s="1"/>
      <c r="L32" s="63"/>
      <c r="M32" s="63"/>
    </row>
    <row r="33" spans="3:13" ht="26.25" customHeight="1" thickBot="1">
      <c r="C33" s="140">
        <v>46151</v>
      </c>
      <c r="D33" s="195"/>
      <c r="E33" s="132"/>
      <c r="F33" s="64"/>
      <c r="G33" s="133"/>
      <c r="H33" s="63"/>
      <c r="I33" s="63"/>
      <c r="J33" s="63"/>
      <c r="K33" s="1"/>
      <c r="L33" s="63"/>
      <c r="M33" s="63"/>
    </row>
    <row r="34" spans="3:13" ht="26.25" customHeight="1" thickBot="1">
      <c r="C34" s="117">
        <v>46152</v>
      </c>
      <c r="D34" s="195"/>
      <c r="E34" s="53" t="s">
        <v>72</v>
      </c>
      <c r="F34" s="8" t="s">
        <v>86</v>
      </c>
      <c r="G34" s="11" t="s">
        <v>83</v>
      </c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17">
        <v>46152</v>
      </c>
      <c r="D35" s="195"/>
      <c r="E35" s="53" t="s">
        <v>78</v>
      </c>
      <c r="F35" s="8" t="s">
        <v>87</v>
      </c>
      <c r="G35" s="11" t="s">
        <v>76</v>
      </c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17">
        <v>46152</v>
      </c>
      <c r="D36" s="195"/>
      <c r="E36" s="53" t="s">
        <v>72</v>
      </c>
      <c r="F36" s="8" t="s">
        <v>86</v>
      </c>
      <c r="G36" s="11" t="s">
        <v>83</v>
      </c>
      <c r="H36" s="11" t="s">
        <v>66</v>
      </c>
      <c r="I36" s="11">
        <v>1445</v>
      </c>
      <c r="J36" s="11">
        <v>1444</v>
      </c>
      <c r="K36" s="1"/>
      <c r="L36" s="11"/>
      <c r="M36" s="11"/>
    </row>
    <row r="37" spans="3:13" ht="26.25" customHeight="1" thickBot="1">
      <c r="C37" s="117">
        <v>46152</v>
      </c>
      <c r="D37" s="195"/>
      <c r="E37" s="134" t="s">
        <v>78</v>
      </c>
      <c r="F37" s="10" t="s">
        <v>87</v>
      </c>
      <c r="G37" s="54" t="s">
        <v>76</v>
      </c>
      <c r="H37" s="54" t="s">
        <v>66</v>
      </c>
      <c r="I37" s="54">
        <v>1974</v>
      </c>
      <c r="J37" s="54">
        <v>1973</v>
      </c>
      <c r="K37" s="1"/>
      <c r="L37" s="54"/>
      <c r="M37" s="54"/>
    </row>
    <row r="38" spans="3:13" ht="26.4" thickBot="1">
      <c r="C38" s="67">
        <v>46153</v>
      </c>
      <c r="D38" s="195"/>
      <c r="E38" s="111" t="s">
        <v>72</v>
      </c>
      <c r="F38" s="111" t="s">
        <v>86</v>
      </c>
      <c r="G38" s="111" t="s">
        <v>83</v>
      </c>
      <c r="H38" s="54" t="s">
        <v>66</v>
      </c>
      <c r="I38" s="111">
        <v>1444</v>
      </c>
      <c r="J38" s="111">
        <v>1442</v>
      </c>
      <c r="L38" s="111"/>
      <c r="M38" s="111"/>
    </row>
    <row r="39" spans="3:13" ht="26.4" thickBot="1">
      <c r="C39" s="67">
        <v>46153</v>
      </c>
      <c r="D39" s="195"/>
      <c r="E39" s="111" t="s">
        <v>78</v>
      </c>
      <c r="F39" s="111" t="s">
        <v>87</v>
      </c>
      <c r="G39" s="111" t="s">
        <v>76</v>
      </c>
      <c r="H39" s="54" t="s">
        <v>66</v>
      </c>
      <c r="I39" s="111">
        <v>1973</v>
      </c>
      <c r="J39" s="111">
        <v>1972</v>
      </c>
      <c r="L39" s="111"/>
      <c r="M39" s="111"/>
    </row>
    <row r="40" spans="3:13" ht="26.4" thickBot="1">
      <c r="C40" s="67">
        <v>46153</v>
      </c>
      <c r="D40" s="195"/>
      <c r="E40" s="111" t="s">
        <v>72</v>
      </c>
      <c r="F40" s="111" t="s">
        <v>86</v>
      </c>
      <c r="G40" s="111" t="s">
        <v>83</v>
      </c>
      <c r="H40" s="54" t="s">
        <v>66</v>
      </c>
      <c r="I40" s="111">
        <v>1442</v>
      </c>
      <c r="J40" s="111">
        <v>1441</v>
      </c>
      <c r="L40" s="111"/>
      <c r="M40" s="111"/>
    </row>
    <row r="41" spans="3:13" ht="26.4" thickBot="1">
      <c r="C41" s="67">
        <v>46153</v>
      </c>
      <c r="D41" s="195"/>
      <c r="E41" s="111" t="s">
        <v>72</v>
      </c>
      <c r="F41" s="111" t="s">
        <v>86</v>
      </c>
      <c r="G41" s="111" t="s">
        <v>83</v>
      </c>
      <c r="H41" s="54" t="s">
        <v>66</v>
      </c>
      <c r="I41" s="111">
        <v>1441</v>
      </c>
      <c r="J41" s="111">
        <v>1440</v>
      </c>
      <c r="L41" s="111"/>
      <c r="M41" s="111"/>
    </row>
    <row r="42" spans="3:13" ht="26.4" thickBot="1">
      <c r="C42" s="67">
        <v>46154</v>
      </c>
      <c r="D42" s="195"/>
      <c r="E42" s="111" t="s">
        <v>72</v>
      </c>
      <c r="F42" s="111" t="s">
        <v>86</v>
      </c>
      <c r="G42" s="111" t="s">
        <v>83</v>
      </c>
      <c r="H42" s="54" t="s">
        <v>66</v>
      </c>
      <c r="I42" s="111">
        <v>1440</v>
      </c>
      <c r="J42" s="111">
        <v>1438</v>
      </c>
      <c r="L42" s="111"/>
      <c r="M42" s="111"/>
    </row>
    <row r="43" spans="3:13" ht="26.4" thickBot="1">
      <c r="C43" s="67">
        <v>46154</v>
      </c>
      <c r="D43" s="195"/>
      <c r="E43" s="111" t="s">
        <v>78</v>
      </c>
      <c r="F43" s="111" t="s">
        <v>87</v>
      </c>
      <c r="G43" s="111" t="s">
        <v>76</v>
      </c>
      <c r="H43" s="54" t="s">
        <v>66</v>
      </c>
      <c r="I43" s="111">
        <v>1972</v>
      </c>
      <c r="J43" s="111">
        <v>1971</v>
      </c>
      <c r="L43" s="111"/>
      <c r="M43" s="111"/>
    </row>
    <row r="44" spans="3:13" ht="26.4" thickBot="1">
      <c r="C44" s="67">
        <v>46155</v>
      </c>
      <c r="D44" s="195"/>
      <c r="E44" s="111" t="s">
        <v>72</v>
      </c>
      <c r="F44" s="111" t="s">
        <v>86</v>
      </c>
      <c r="G44" s="111" t="s">
        <v>83</v>
      </c>
      <c r="H44" s="54" t="s">
        <v>66</v>
      </c>
      <c r="I44" s="111">
        <v>1438</v>
      </c>
      <c r="J44" s="111">
        <v>1431</v>
      </c>
      <c r="L44" s="111"/>
      <c r="M44" s="111"/>
    </row>
    <row r="45" spans="3:13" ht="26.4" thickBot="1">
      <c r="C45" s="67">
        <v>46155</v>
      </c>
      <c r="D45" s="195"/>
      <c r="E45" s="111" t="s">
        <v>78</v>
      </c>
      <c r="F45" s="111" t="s">
        <v>87</v>
      </c>
      <c r="G45" s="111" t="s">
        <v>76</v>
      </c>
      <c r="H45" s="54" t="s">
        <v>66</v>
      </c>
      <c r="I45" s="111">
        <v>1971</v>
      </c>
      <c r="J45" s="111">
        <v>1968</v>
      </c>
      <c r="L45" s="111"/>
      <c r="M45" s="111"/>
    </row>
    <row r="46" spans="3:13" ht="26.4" thickBot="1">
      <c r="C46" s="67">
        <v>46156</v>
      </c>
      <c r="D46" s="195"/>
      <c r="E46" s="111" t="s">
        <v>72</v>
      </c>
      <c r="F46" s="111" t="s">
        <v>86</v>
      </c>
      <c r="G46" s="111" t="s">
        <v>83</v>
      </c>
      <c r="H46" s="54" t="s">
        <v>66</v>
      </c>
      <c r="I46" s="111">
        <v>1431</v>
      </c>
      <c r="J46" s="111">
        <v>1422</v>
      </c>
      <c r="L46" s="111"/>
      <c r="M46" s="111"/>
    </row>
    <row r="47" spans="3:13" ht="26.4" thickBot="1">
      <c r="C47" s="67">
        <v>46156</v>
      </c>
      <c r="D47" s="195"/>
      <c r="E47" s="111" t="s">
        <v>78</v>
      </c>
      <c r="F47" s="111" t="s">
        <v>87</v>
      </c>
      <c r="G47" s="111" t="s">
        <v>76</v>
      </c>
      <c r="H47" s="54" t="s">
        <v>66</v>
      </c>
      <c r="I47" s="111">
        <v>1968</v>
      </c>
      <c r="J47" s="111">
        <v>1964</v>
      </c>
      <c r="L47" s="111"/>
      <c r="M47" s="111"/>
    </row>
    <row r="48" spans="3:13" ht="26.4" thickBot="1">
      <c r="C48" s="67">
        <v>46157</v>
      </c>
      <c r="D48" s="195"/>
      <c r="E48" s="111" t="s">
        <v>78</v>
      </c>
      <c r="F48" s="111" t="s">
        <v>87</v>
      </c>
      <c r="G48" s="111" t="s">
        <v>76</v>
      </c>
      <c r="H48" s="54" t="s">
        <v>66</v>
      </c>
      <c r="I48" s="111">
        <v>1964</v>
      </c>
      <c r="J48" s="111">
        <v>1962</v>
      </c>
      <c r="L48" s="111"/>
      <c r="M48" s="111"/>
    </row>
    <row r="49" spans="3:13" ht="26.4" thickBot="1">
      <c r="C49" s="67">
        <v>46157</v>
      </c>
      <c r="D49" s="195"/>
      <c r="E49" s="111" t="s">
        <v>72</v>
      </c>
      <c r="F49" s="111" t="s">
        <v>86</v>
      </c>
      <c r="G49" s="111" t="s">
        <v>83</v>
      </c>
      <c r="H49" s="54" t="s">
        <v>66</v>
      </c>
      <c r="I49" s="111">
        <v>1422</v>
      </c>
      <c r="J49" s="111">
        <v>1417</v>
      </c>
      <c r="L49" s="111"/>
      <c r="M49" s="111"/>
    </row>
    <row r="50" spans="3:13" ht="26.4" thickBot="1">
      <c r="C50" s="67">
        <v>46158</v>
      </c>
      <c r="D50" s="195"/>
      <c r="E50" s="111" t="s">
        <v>72</v>
      </c>
      <c r="F50" s="111" t="s">
        <v>86</v>
      </c>
      <c r="G50" s="111" t="s">
        <v>83</v>
      </c>
      <c r="H50" s="54" t="s">
        <v>66</v>
      </c>
      <c r="I50" s="111">
        <v>1417</v>
      </c>
      <c r="J50" s="111">
        <v>1416</v>
      </c>
      <c r="L50" s="111"/>
      <c r="M50" s="111"/>
    </row>
    <row r="51" spans="3:13" ht="26.4" thickBot="1">
      <c r="C51" s="67">
        <v>46159</v>
      </c>
      <c r="D51" s="195"/>
      <c r="E51" s="111" t="s">
        <v>72</v>
      </c>
      <c r="F51" s="111" t="s">
        <v>86</v>
      </c>
      <c r="G51" s="111" t="s">
        <v>83</v>
      </c>
      <c r="H51" s="54" t="s">
        <v>66</v>
      </c>
      <c r="I51" s="111">
        <v>1416</v>
      </c>
      <c r="J51" s="111">
        <v>1414</v>
      </c>
      <c r="L51" s="111"/>
      <c r="M51" s="111"/>
    </row>
    <row r="52" spans="3:13" ht="26.4" thickBot="1">
      <c r="C52" s="67">
        <v>46159</v>
      </c>
      <c r="D52" s="195"/>
      <c r="E52" s="111" t="s">
        <v>78</v>
      </c>
      <c r="F52" s="111" t="s">
        <v>87</v>
      </c>
      <c r="G52" s="111" t="s">
        <v>76</v>
      </c>
      <c r="H52" s="54" t="s">
        <v>66</v>
      </c>
      <c r="I52" s="111">
        <v>1962</v>
      </c>
      <c r="J52" s="111">
        <v>1961</v>
      </c>
      <c r="L52" s="111"/>
      <c r="M52" s="111"/>
    </row>
    <row r="53" spans="3:13" ht="26.4" thickBot="1">
      <c r="C53" s="67">
        <v>46160</v>
      </c>
      <c r="D53" s="195"/>
      <c r="E53" s="111" t="s">
        <v>72</v>
      </c>
      <c r="F53" s="111" t="s">
        <v>86</v>
      </c>
      <c r="G53" s="111" t="s">
        <v>83</v>
      </c>
      <c r="H53" s="54" t="s">
        <v>66</v>
      </c>
      <c r="I53" s="111">
        <v>1414</v>
      </c>
      <c r="J53" s="111">
        <v>1407</v>
      </c>
      <c r="L53" s="111"/>
      <c r="M53" s="111"/>
    </row>
    <row r="54" spans="3:13" ht="26.4" thickBot="1">
      <c r="C54" s="67">
        <v>46160</v>
      </c>
      <c r="D54" s="195"/>
      <c r="E54" s="111" t="s">
        <v>78</v>
      </c>
      <c r="F54" s="111" t="s">
        <v>87</v>
      </c>
      <c r="G54" s="111" t="s">
        <v>76</v>
      </c>
      <c r="H54" s="54" t="s">
        <v>66</v>
      </c>
      <c r="I54" s="111">
        <v>1961</v>
      </c>
      <c r="J54" s="111">
        <v>1958</v>
      </c>
      <c r="L54" s="111"/>
      <c r="M54" s="111"/>
    </row>
    <row r="55" spans="3:13" ht="26.4" thickBot="1">
      <c r="C55" s="67">
        <v>46161</v>
      </c>
      <c r="D55" s="195"/>
      <c r="E55" s="111" t="s">
        <v>72</v>
      </c>
      <c r="F55" s="111" t="s">
        <v>86</v>
      </c>
      <c r="G55" s="111" t="s">
        <v>76</v>
      </c>
      <c r="H55" s="54" t="s">
        <v>66</v>
      </c>
      <c r="I55" s="111">
        <v>1407</v>
      </c>
      <c r="J55" s="111">
        <v>1404</v>
      </c>
      <c r="L55" s="111"/>
      <c r="M55" s="111"/>
    </row>
    <row r="56" spans="3:13" ht="26.4" thickBot="1">
      <c r="C56" s="67">
        <v>46161</v>
      </c>
      <c r="D56" s="195"/>
      <c r="E56" s="111" t="s">
        <v>78</v>
      </c>
      <c r="F56" s="111" t="s">
        <v>87</v>
      </c>
      <c r="G56" s="111" t="s">
        <v>76</v>
      </c>
      <c r="H56" s="54" t="s">
        <v>66</v>
      </c>
      <c r="I56" s="111">
        <v>1958</v>
      </c>
      <c r="J56" s="111">
        <v>1957</v>
      </c>
      <c r="L56" s="111"/>
      <c r="M56" s="111"/>
    </row>
    <row r="57" spans="3:13" ht="26.4" thickBot="1">
      <c r="C57" s="67">
        <v>46162</v>
      </c>
      <c r="D57" s="195"/>
      <c r="E57" s="111" t="s">
        <v>78</v>
      </c>
      <c r="F57" s="111" t="s">
        <v>87</v>
      </c>
      <c r="G57" s="111" t="s">
        <v>76</v>
      </c>
      <c r="H57" s="54" t="s">
        <v>66</v>
      </c>
      <c r="I57" s="111">
        <v>1957</v>
      </c>
      <c r="J57" s="111">
        <v>1955</v>
      </c>
      <c r="L57" s="111"/>
      <c r="M57" s="111"/>
    </row>
    <row r="58" spans="3:13" ht="26.4" thickBot="1">
      <c r="C58" s="67">
        <v>46162</v>
      </c>
      <c r="D58" s="195"/>
      <c r="E58" s="111" t="s">
        <v>72</v>
      </c>
      <c r="F58" s="111" t="s">
        <v>86</v>
      </c>
      <c r="G58" s="111" t="s">
        <v>83</v>
      </c>
      <c r="H58" s="54" t="s">
        <v>66</v>
      </c>
      <c r="I58" s="111">
        <v>1404</v>
      </c>
      <c r="J58" s="111">
        <v>1398</v>
      </c>
      <c r="L58" s="111"/>
      <c r="M58" s="111"/>
    </row>
    <row r="59" spans="3:13" ht="26.4" thickBot="1">
      <c r="C59" s="67">
        <v>46163</v>
      </c>
      <c r="D59" s="195"/>
      <c r="E59" s="111" t="s">
        <v>72</v>
      </c>
      <c r="F59" s="111" t="s">
        <v>86</v>
      </c>
      <c r="G59" s="111" t="s">
        <v>83</v>
      </c>
      <c r="H59" s="54" t="s">
        <v>66</v>
      </c>
      <c r="I59" s="111">
        <v>1398</v>
      </c>
      <c r="J59" s="111">
        <v>1396</v>
      </c>
      <c r="L59" s="111"/>
      <c r="M59" s="111"/>
    </row>
    <row r="60" spans="3:13" ht="26.4" thickBot="1">
      <c r="C60" s="67">
        <v>46163</v>
      </c>
      <c r="D60" s="195"/>
      <c r="E60" s="111" t="s">
        <v>78</v>
      </c>
      <c r="F60" s="111" t="s">
        <v>87</v>
      </c>
      <c r="G60" s="111" t="s">
        <v>83</v>
      </c>
      <c r="H60" s="54" t="s">
        <v>66</v>
      </c>
      <c r="I60" s="111">
        <v>1955</v>
      </c>
      <c r="J60" s="111">
        <v>1954</v>
      </c>
      <c r="L60" s="111"/>
      <c r="M60" s="111"/>
    </row>
    <row r="61" spans="3:13" ht="25.8">
      <c r="C61" s="111"/>
      <c r="D61" s="195"/>
      <c r="E61" s="111"/>
      <c r="F61" s="111"/>
      <c r="G61" s="111"/>
      <c r="H61" s="111"/>
      <c r="I61" s="111"/>
      <c r="J61" s="111"/>
      <c r="L61" s="111"/>
      <c r="M61" s="111"/>
    </row>
    <row r="62" spans="3:13" ht="25.8">
      <c r="C62" s="111"/>
      <c r="D62" s="195"/>
      <c r="E62" s="111"/>
      <c r="F62" s="111"/>
      <c r="G62" s="111"/>
      <c r="H62" s="111"/>
      <c r="I62" s="111"/>
      <c r="J62" s="111"/>
      <c r="L62" s="111"/>
      <c r="M62" s="111"/>
    </row>
    <row r="63" spans="3:13" ht="25.8">
      <c r="C63" s="111"/>
      <c r="D63" s="195"/>
      <c r="E63" s="111"/>
      <c r="F63" s="111"/>
      <c r="G63" s="111"/>
      <c r="H63" s="111"/>
      <c r="I63" s="111"/>
      <c r="J63" s="111"/>
      <c r="L63" s="111"/>
      <c r="M63" s="111"/>
    </row>
    <row r="64" spans="3:13" ht="25.8">
      <c r="C64" s="111"/>
      <c r="D64" s="195"/>
      <c r="E64" s="111"/>
      <c r="F64" s="111"/>
      <c r="G64" s="111"/>
      <c r="H64" s="111"/>
      <c r="I64" s="111"/>
      <c r="J64" s="111"/>
      <c r="L64" s="111"/>
      <c r="M64" s="111"/>
    </row>
    <row r="65" spans="3:13" ht="25.8">
      <c r="C65" s="111"/>
      <c r="D65" s="195"/>
      <c r="E65" s="111"/>
      <c r="F65" s="111"/>
      <c r="G65" s="111"/>
      <c r="H65" s="111"/>
      <c r="I65" s="111"/>
      <c r="J65" s="111"/>
      <c r="L65" s="111"/>
      <c r="M65" s="111"/>
    </row>
    <row r="66" spans="3:13" ht="25.8">
      <c r="C66" s="111"/>
      <c r="D66" s="195"/>
      <c r="E66" s="111"/>
      <c r="F66" s="111"/>
      <c r="G66" s="111"/>
      <c r="H66" s="111"/>
      <c r="I66" s="111"/>
      <c r="J66" s="111"/>
      <c r="L66" s="111"/>
      <c r="M66" s="111"/>
    </row>
    <row r="67" spans="3:13" ht="25.8">
      <c r="C67" s="111"/>
      <c r="D67" s="195"/>
      <c r="E67" s="111"/>
      <c r="F67" s="111"/>
      <c r="G67" s="111"/>
      <c r="H67" s="111"/>
      <c r="I67" s="111"/>
      <c r="J67" s="111"/>
      <c r="L67" s="111"/>
      <c r="M67" s="111"/>
    </row>
    <row r="68" spans="3:13" ht="25.8">
      <c r="C68" s="111"/>
      <c r="D68" s="195"/>
      <c r="E68" s="111"/>
      <c r="F68" s="111"/>
      <c r="G68" s="111"/>
      <c r="H68" s="111"/>
      <c r="I68" s="111"/>
      <c r="J68" s="111"/>
      <c r="L68" s="111"/>
      <c r="M68" s="111"/>
    </row>
    <row r="69" spans="3:13" ht="25.8">
      <c r="C69" s="111"/>
      <c r="D69" s="195"/>
      <c r="E69" s="111"/>
      <c r="F69" s="111"/>
      <c r="G69" s="111"/>
      <c r="H69" s="111"/>
      <c r="I69" s="111"/>
      <c r="J69" s="111"/>
      <c r="L69" s="111"/>
      <c r="M69" s="111"/>
    </row>
    <row r="70" spans="3:13" ht="25.8">
      <c r="C70" s="111"/>
      <c r="D70" s="195"/>
      <c r="E70" s="111"/>
      <c r="F70" s="111"/>
      <c r="G70" s="111"/>
      <c r="H70" s="111"/>
      <c r="I70" s="111"/>
      <c r="J70" s="111"/>
      <c r="L70" s="111"/>
      <c r="M70" s="111"/>
    </row>
    <row r="71" spans="3:13" ht="25.8">
      <c r="C71" s="111"/>
      <c r="D71" s="195"/>
      <c r="E71" s="111"/>
      <c r="F71" s="111"/>
      <c r="G71" s="111"/>
      <c r="H71" s="111"/>
      <c r="I71" s="111"/>
      <c r="J71" s="111"/>
      <c r="L71" s="111"/>
      <c r="M71" s="111"/>
    </row>
    <row r="72" spans="3:13" ht="25.8">
      <c r="C72" s="111"/>
      <c r="D72" s="195"/>
      <c r="E72" s="111"/>
      <c r="F72" s="111"/>
      <c r="G72" s="111"/>
      <c r="H72" s="111"/>
      <c r="I72" s="111"/>
      <c r="J72" s="111"/>
      <c r="L72" s="111"/>
      <c r="M72" s="111"/>
    </row>
    <row r="73" spans="3:13" ht="25.8">
      <c r="C73" s="111"/>
      <c r="D73" s="196"/>
      <c r="E73" s="111"/>
      <c r="F73" s="111"/>
      <c r="G73" s="111"/>
      <c r="H73" s="111"/>
      <c r="I73" s="111"/>
      <c r="J73" s="111"/>
      <c r="L73" s="111"/>
      <c r="M73" s="111"/>
    </row>
  </sheetData>
  <mergeCells count="3">
    <mergeCell ref="C2:J4"/>
    <mergeCell ref="L3:M4"/>
    <mergeCell ref="D7:D73"/>
  </mergeCells>
  <conditionalFormatting sqref="F7:F37">
    <cfRule type="containsText" dxfId="25" priority="11" operator="containsText" text="Light Blue">
      <formula>NOT(ISERROR(SEARCH("Light Blue",F7)))</formula>
    </cfRule>
    <cfRule type="containsText" dxfId="24" priority="21" operator="containsText" text="Orange">
      <formula>NOT(ISERROR(SEARCH("Orange",F7)))</formula>
    </cfRule>
    <cfRule type="containsText" dxfId="23" priority="22" operator="containsText" text="Purple">
      <formula>NOT(ISERROR(SEARCH("Purple",F7)))</formula>
    </cfRule>
  </conditionalFormatting>
  <conditionalFormatting sqref="F7:F37">
    <cfRule type="containsText" dxfId="22" priority="9" operator="containsText" text="Light Blue">
      <formula>NOT(ISERROR(SEARCH("Light Blue",F7)))</formula>
    </cfRule>
    <cfRule type="containsText" dxfId="21" priority="12" operator="containsText" text="Dark Blue">
      <formula>NOT(ISERROR(SEARCH("Dark Blue",F7)))</formula>
    </cfRule>
    <cfRule type="containsText" dxfId="20" priority="13" operator="containsText" text="Blue">
      <formula>NOT(ISERROR(SEARCH("Blue",F7)))</formula>
    </cfRule>
    <cfRule type="containsText" dxfId="19" priority="14" operator="containsText" text="Yellow">
      <formula>NOT(ISERROR(SEARCH("Yellow",F7)))</formula>
    </cfRule>
    <cfRule type="containsText" dxfId="18" priority="15" operator="containsText" text="Light Blue">
      <formula>NOT(ISERROR(SEARCH("Light Blue",F7)))</formula>
    </cfRule>
    <cfRule type="containsText" dxfId="17" priority="16" operator="containsText" text="Dark Green">
      <formula>NOT(ISERROR(SEARCH("Dark Green",F7)))</formula>
    </cfRule>
    <cfRule type="containsText" dxfId="16" priority="17" operator="containsText" text="Brown">
      <formula>NOT(ISERROR(SEARCH("Brown",F7)))</formula>
    </cfRule>
    <cfRule type="containsText" dxfId="15" priority="18" operator="containsText" text="Green">
      <formula>NOT(ISERROR(SEARCH("Green",F7)))</formula>
    </cfRule>
    <cfRule type="containsText" dxfId="14" priority="19" operator="containsText" text="Red">
      <formula>NOT(ISERROR(SEARCH("Red",F7)))</formula>
    </cfRule>
    <cfRule type="containsText" dxfId="13" priority="20" operator="containsText" text="Gray">
      <formula>NOT(ISERROR(SEARCH("Gray",F7)))</formula>
    </cfRule>
  </conditionalFormatting>
  <conditionalFormatting sqref="F8">
    <cfRule type="containsText" dxfId="12" priority="10" operator="containsText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dxfId="11" priority="8" operator="containsText" text="wHITE">
      <formula>NOT(ISERROR(SEARCH("wHITE",F19)))</formula>
    </cfRule>
  </conditionalFormatting>
  <conditionalFormatting sqref="F7:F37">
    <cfRule type="containsText" dxfId="10" priority="6" operator="containsText" text="White">
      <formula>NOT(ISERROR(SEARCH("White",F7)))</formula>
    </cfRule>
  </conditionalFormatting>
  <conditionalFormatting sqref="F1:F1048576">
    <cfRule type="containsText" dxfId="9" priority="1" operator="containsText" text="CW641">
      <formula>NOT(ISERROR(SEARCH("CW641",F1)))</formula>
    </cfRule>
    <cfRule type="containsText" dxfId="8" priority="2" operator="containsText" text="QC">
      <formula>NOT(ISERROR(SEARCH("QC",F1)))</formula>
    </cfRule>
    <cfRule type="containsText" dxfId="7" priority="3" operator="containsText" text="White">
      <formula>NOT(ISERROR(SEARCH("White",F1)))</formula>
    </cfRule>
    <cfRule type="containsText" dxfId="6" priority="4" operator="containsText" text="QC">
      <formula>NOT(ISERROR(SEARCH("QC",F1)))</formula>
    </cfRule>
    <cfRule type="containsText" dxfId="5" priority="5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7 D74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190"/>
  <sheetViews>
    <sheetView view="pageBreakPreview" topLeftCell="A35" zoomScale="90" zoomScaleNormal="100" zoomScaleSheetLayoutView="90" workbookViewId="0">
      <selection activeCell="K49" sqref="K49"/>
    </sheetView>
  </sheetViews>
  <sheetFormatPr defaultColWidth="9.109375" defaultRowHeight="14.4"/>
  <cols>
    <col min="1" max="6" width="9.109375" style="92"/>
    <col min="7" max="7" width="9.109375" style="104"/>
    <col min="8" max="8" width="10.5546875" style="104" customWidth="1"/>
    <col min="9" max="10" width="11" style="106" customWidth="1"/>
    <col min="11" max="11" width="9.109375" style="92"/>
    <col min="12" max="12" width="12.33203125" style="92" customWidth="1"/>
    <col min="13" max="13" width="9.109375" style="92"/>
    <col min="14" max="16" width="11" style="92" customWidth="1"/>
    <col min="17" max="18" width="9.109375" style="92" customWidth="1"/>
    <col min="19" max="19" width="16" style="92" customWidth="1"/>
    <col min="20" max="16384" width="9.109375" style="92"/>
  </cols>
  <sheetData>
    <row r="1" spans="4:21" ht="14.4" customHeight="1">
      <c r="G1" s="265" t="s">
        <v>3</v>
      </c>
      <c r="H1" s="265"/>
      <c r="I1" s="265" t="s">
        <v>2</v>
      </c>
      <c r="J1" s="265"/>
      <c r="K1" s="265" t="s">
        <v>5</v>
      </c>
      <c r="L1" s="265"/>
      <c r="M1" s="265" t="s">
        <v>60</v>
      </c>
      <c r="N1" s="290"/>
      <c r="O1" s="265" t="s">
        <v>4</v>
      </c>
      <c r="P1" s="265"/>
      <c r="Q1" s="267" t="s">
        <v>79</v>
      </c>
      <c r="R1" s="265"/>
      <c r="S1" s="97"/>
      <c r="T1" s="98"/>
      <c r="U1" s="98"/>
    </row>
    <row r="2" spans="4:21" ht="15" customHeight="1">
      <c r="D2" s="93"/>
      <c r="E2" s="93"/>
      <c r="F2" s="93"/>
      <c r="G2" s="265"/>
      <c r="H2" s="265"/>
      <c r="I2" s="265"/>
      <c r="J2" s="265"/>
      <c r="K2" s="265"/>
      <c r="L2" s="265"/>
      <c r="M2" s="265"/>
      <c r="N2" s="290"/>
      <c r="O2" s="265"/>
      <c r="P2" s="265"/>
      <c r="Q2" s="267"/>
      <c r="R2" s="265"/>
      <c r="S2" s="97"/>
      <c r="T2" s="98"/>
      <c r="U2" s="98"/>
    </row>
    <row r="3" spans="4:21" ht="15" customHeight="1">
      <c r="D3" s="93"/>
      <c r="E3" s="93"/>
      <c r="F3" s="93"/>
      <c r="G3" s="265" t="s">
        <v>28</v>
      </c>
      <c r="H3" s="265"/>
      <c r="I3" s="290" t="s">
        <v>28</v>
      </c>
      <c r="J3" s="267"/>
      <c r="K3" s="290" t="s">
        <v>28</v>
      </c>
      <c r="L3" s="267"/>
      <c r="M3" s="265" t="s">
        <v>61</v>
      </c>
      <c r="N3" s="290"/>
      <c r="O3" s="265" t="s">
        <v>46</v>
      </c>
      <c r="P3" s="265"/>
      <c r="Q3" s="267" t="s">
        <v>78</v>
      </c>
      <c r="R3" s="265"/>
      <c r="S3" s="97"/>
      <c r="T3" s="98"/>
      <c r="U3" s="98"/>
    </row>
    <row r="4" spans="4:21" ht="15" customHeight="1">
      <c r="D4" s="93"/>
      <c r="E4" s="93"/>
      <c r="F4" s="93"/>
      <c r="G4" s="269" cm="1">
        <f t="array" ref="G4">LOOKUP(2,1/(Chicken!F:F="Purple"),Chicken!J:J)</f>
        <v>41312</v>
      </c>
      <c r="H4" s="269"/>
      <c r="I4" s="269" cm="1">
        <f t="array" ref="I4">LOOKUP(2,1/(COW!F:F="Purple"),COW!J:J)</f>
        <v>32066</v>
      </c>
      <c r="J4" s="269"/>
      <c r="K4" s="269" cm="1">
        <f t="array" ref="K4">LOOKUP(2,1/(WithOut!F:F="Purple (10)"),WithOut!J:J)</f>
        <v>7466</v>
      </c>
      <c r="L4" s="269"/>
      <c r="M4" s="269">
        <f>LOOKUP(2,1/(Plastic!F:F="Purple Popp"),Plastic!J:J)</f>
        <v>6208</v>
      </c>
      <c r="N4" s="299"/>
      <c r="O4" s="263">
        <f>LOOKUP(2,1/(Koptimix!F:F="Red Black(1i)"),Koptimix!J:J)</f>
        <v>27016</v>
      </c>
      <c r="P4" s="263"/>
      <c r="Q4" s="268">
        <f>LOOKUP(2,1/(Roll!F:F="CW641"),Roll!J:J)</f>
        <v>1954</v>
      </c>
      <c r="R4" s="269"/>
      <c r="S4" s="97"/>
      <c r="T4" s="97"/>
      <c r="U4" s="97"/>
    </row>
    <row r="5" spans="4:21" ht="15" customHeight="1">
      <c r="D5" s="93"/>
      <c r="E5" s="93"/>
      <c r="F5" s="93"/>
      <c r="G5" s="269"/>
      <c r="H5" s="269"/>
      <c r="I5" s="269"/>
      <c r="J5" s="269"/>
      <c r="K5" s="269"/>
      <c r="L5" s="269"/>
      <c r="M5" s="269"/>
      <c r="N5" s="299"/>
      <c r="O5" s="263"/>
      <c r="P5" s="263"/>
      <c r="Q5" s="268"/>
      <c r="R5" s="269"/>
      <c r="S5" s="97"/>
      <c r="T5" s="97"/>
      <c r="U5" s="97"/>
    </row>
    <row r="6" spans="4:21" ht="15" customHeight="1">
      <c r="D6" s="93"/>
      <c r="E6" s="93"/>
      <c r="F6" s="93"/>
      <c r="G6" s="266" t="s">
        <v>30</v>
      </c>
      <c r="H6" s="266"/>
      <c r="I6" s="291" t="s">
        <v>36</v>
      </c>
      <c r="J6" s="270"/>
      <c r="K6" s="291" t="s">
        <v>36</v>
      </c>
      <c r="L6" s="270"/>
      <c r="M6" s="266" t="s">
        <v>64</v>
      </c>
      <c r="N6" s="291"/>
      <c r="O6" s="266" t="s">
        <v>47</v>
      </c>
      <c r="P6" s="266"/>
      <c r="Q6" s="270" t="s">
        <v>72</v>
      </c>
      <c r="R6" s="266"/>
      <c r="S6" s="97"/>
      <c r="T6" s="97"/>
      <c r="U6" s="97"/>
    </row>
    <row r="7" spans="4:21" ht="15" customHeight="1">
      <c r="D7" s="93"/>
      <c r="E7" s="93"/>
      <c r="F7" s="93"/>
      <c r="G7" s="292" cm="1">
        <f t="array" ref="G7">LOOKUP(2,1/(Chicken!F:F="Orange"),Chicken!J:J)</f>
        <v>59</v>
      </c>
      <c r="H7" s="292"/>
      <c r="I7" s="289" cm="1">
        <f t="array" ref="I7">LOOKUP(2,1/(COW!F:F="Red"),COW!J:J)</f>
        <v>4534</v>
      </c>
      <c r="J7" s="289"/>
      <c r="K7" s="289" cm="1">
        <f t="array" ref="K7">LOOKUP(2,1/(WithOut!F:F="Red"),WithOut!J:J)</f>
        <v>23928</v>
      </c>
      <c r="L7" s="289"/>
      <c r="M7" s="300">
        <f>LOOKUP(2,1/(Plastic!F:F="Blue Popp"),Plastic!J:J)</f>
        <v>7150</v>
      </c>
      <c r="N7" s="301"/>
      <c r="O7" s="263">
        <f>LOOKUP(2,1/(Koptimix!F:F="Blue Green(1J)"),Koptimix!J:J)</f>
        <v>25695</v>
      </c>
      <c r="P7" s="263"/>
      <c r="Q7" s="271">
        <f>LOOKUP(2,1/(Roll!F:F="Green+"),Roll!J:J)</f>
        <v>1396</v>
      </c>
      <c r="R7" s="272"/>
      <c r="S7" s="94"/>
      <c r="T7" s="94"/>
      <c r="U7" s="94"/>
    </row>
    <row r="8" spans="4:21" ht="15" customHeight="1">
      <c r="D8" s="93"/>
      <c r="E8" s="93"/>
      <c r="F8" s="93"/>
      <c r="G8" s="292"/>
      <c r="H8" s="292"/>
      <c r="I8" s="289"/>
      <c r="J8" s="289"/>
      <c r="K8" s="289"/>
      <c r="L8" s="289"/>
      <c r="M8" s="300"/>
      <c r="N8" s="301"/>
      <c r="O8" s="263"/>
      <c r="P8" s="263"/>
      <c r="Q8" s="271"/>
      <c r="R8" s="272"/>
      <c r="S8" s="95"/>
      <c r="T8" s="100"/>
      <c r="U8" s="100"/>
    </row>
    <row r="9" spans="4:21" s="40" customFormat="1" ht="15" customHeight="1">
      <c r="G9" s="264" t="s">
        <v>88</v>
      </c>
      <c r="H9" s="264"/>
      <c r="I9" s="264" t="s">
        <v>30</v>
      </c>
      <c r="J9" s="264"/>
      <c r="K9" s="264" t="s">
        <v>30</v>
      </c>
      <c r="L9" s="264"/>
      <c r="M9" s="264" t="s">
        <v>65</v>
      </c>
      <c r="N9" s="296"/>
      <c r="O9" s="264" t="s">
        <v>48</v>
      </c>
      <c r="P9" s="264"/>
      <c r="Q9" s="275" t="s">
        <v>80</v>
      </c>
      <c r="R9" s="264"/>
      <c r="S9" s="95"/>
      <c r="T9" s="100"/>
      <c r="U9" s="100"/>
    </row>
    <row r="10" spans="4:21" ht="15" customHeight="1">
      <c r="D10" s="93"/>
      <c r="E10" s="93"/>
      <c r="F10" s="93"/>
      <c r="G10" s="293" cm="1">
        <f t="array" ref="G10">LOOKUP(2,1/(Chicken!F:F="Orange (13)"),Chicken!J:J)</f>
        <v>0</v>
      </c>
      <c r="H10" s="293"/>
      <c r="I10" s="292" cm="1">
        <f t="array" ref="I10">LOOKUP(2,1/(COW!F:F="Orange"),COW!J:J)</f>
        <v>3626</v>
      </c>
      <c r="J10" s="292"/>
      <c r="K10" s="292" cm="1">
        <f t="array" ref="K10">LOOKUP(2,1/(WithOut!F:F="Orange (10)"),WithOut!J:J)</f>
        <v>7450</v>
      </c>
      <c r="L10" s="292"/>
      <c r="M10" s="272">
        <f>LOOKUP(2,1/(Plastic!F:F="Green Popp"),Plastic!J:J)</f>
        <v>7092</v>
      </c>
      <c r="N10" s="297"/>
      <c r="O10" s="263" cm="1">
        <f t="array" ref="O10">LOOKUP(2,1/(Koptimix!F:F="Blue Black(1H)"),Koptimix!J:J)</f>
        <v>9176</v>
      </c>
      <c r="P10" s="263"/>
      <c r="Q10" s="278">
        <f>LOOKUP(2,1/(Roll!F:F="Green"),Roll!J:J)</f>
        <v>370</v>
      </c>
      <c r="R10" s="279"/>
      <c r="S10" s="102"/>
      <c r="T10" s="103"/>
      <c r="U10" s="103"/>
    </row>
    <row r="11" spans="4:21" ht="15" customHeight="1">
      <c r="D11" s="93"/>
      <c r="E11" s="93"/>
      <c r="F11" s="93"/>
      <c r="G11" s="293"/>
      <c r="H11" s="293"/>
      <c r="I11" s="292"/>
      <c r="J11" s="292"/>
      <c r="K11" s="292"/>
      <c r="L11" s="292"/>
      <c r="M11" s="272"/>
      <c r="N11" s="297"/>
      <c r="O11" s="263"/>
      <c r="P11" s="263"/>
      <c r="Q11" s="278"/>
      <c r="R11" s="279"/>
      <c r="S11" s="102"/>
      <c r="T11" s="103"/>
      <c r="U11" s="103"/>
    </row>
    <row r="12" spans="4:21" s="40" customFormat="1" ht="15" customHeight="1">
      <c r="G12" s="264" t="s">
        <v>34</v>
      </c>
      <c r="H12" s="264"/>
      <c r="I12" s="264" t="s">
        <v>24</v>
      </c>
      <c r="J12" s="264"/>
      <c r="K12" s="264" t="s">
        <v>24</v>
      </c>
      <c r="L12" s="264"/>
      <c r="M12" s="264" t="s">
        <v>90</v>
      </c>
      <c r="N12" s="296"/>
      <c r="O12" s="264" t="s">
        <v>50</v>
      </c>
      <c r="P12" s="264"/>
      <c r="Q12" s="275" t="s">
        <v>80</v>
      </c>
      <c r="R12" s="264"/>
      <c r="S12" s="102"/>
      <c r="T12" s="103"/>
      <c r="U12" s="103"/>
    </row>
    <row r="13" spans="4:21" ht="15" customHeight="1">
      <c r="D13" s="93"/>
      <c r="E13" s="93"/>
      <c r="F13" s="93"/>
      <c r="G13" s="292" cm="1">
        <f t="array" ref="G13">LOOKUP(2,1/(Chicken!F:F="Orange (70*45)"),Chicken!J:J)</f>
        <v>210</v>
      </c>
      <c r="H13" s="292"/>
      <c r="I13" s="281" cm="1">
        <f t="array" ref="I13">LOOKUP(2,1/(COW!F:F="Blue"),COW!J:J)</f>
        <v>47153</v>
      </c>
      <c r="J13" s="281"/>
      <c r="K13" s="281" cm="1">
        <f t="array" ref="K13">LOOKUP(2,1/(WithOut!F:F="Blue"),WithOut!J:J)</f>
        <v>6397</v>
      </c>
      <c r="L13" s="281"/>
      <c r="M13" s="292">
        <f>LOOKUP(2,1/(Plastic!F:F="White 25G"),Plastic!J:J)</f>
        <v>998</v>
      </c>
      <c r="N13" s="298"/>
      <c r="O13" s="263" cm="1">
        <f t="array" ref="O13">LOOKUP(2,1/(Koptimix!F:F="Red Dark Blue(1E)"),Koptimix!J:J)</f>
        <v>41655</v>
      </c>
      <c r="P13" s="263"/>
      <c r="Q13" s="280">
        <f>LOOKUP(2,1/(Roll!F:F="Blue"),Roll!J:J)</f>
        <v>393</v>
      </c>
      <c r="R13" s="281"/>
      <c r="S13" s="102"/>
      <c r="T13" s="103"/>
      <c r="U13" s="103"/>
    </row>
    <row r="14" spans="4:21" ht="15" customHeight="1">
      <c r="D14" s="93"/>
      <c r="E14" s="93"/>
      <c r="F14" s="93"/>
      <c r="G14" s="292"/>
      <c r="H14" s="292"/>
      <c r="I14" s="281"/>
      <c r="J14" s="281"/>
      <c r="K14" s="281"/>
      <c r="L14" s="281"/>
      <c r="M14" s="292"/>
      <c r="N14" s="298"/>
      <c r="O14" s="263"/>
      <c r="P14" s="263"/>
      <c r="Q14" s="280"/>
      <c r="R14" s="281"/>
      <c r="S14" s="94"/>
      <c r="T14" s="94"/>
      <c r="U14" s="94"/>
    </row>
    <row r="15" spans="4:21" s="40" customFormat="1" ht="15" customHeight="1">
      <c r="G15" s="264" t="s">
        <v>31</v>
      </c>
      <c r="H15" s="264"/>
      <c r="I15" s="264" t="s">
        <v>38</v>
      </c>
      <c r="J15" s="264"/>
      <c r="K15" s="264" t="s">
        <v>42</v>
      </c>
      <c r="L15" s="264"/>
      <c r="M15" s="264" t="s">
        <v>91</v>
      </c>
      <c r="N15" s="296"/>
      <c r="O15" s="264" t="s">
        <v>49</v>
      </c>
      <c r="P15" s="264"/>
      <c r="Q15" s="275" t="s">
        <v>81</v>
      </c>
      <c r="R15" s="264"/>
      <c r="S15" s="94"/>
      <c r="T15" s="94"/>
      <c r="U15" s="94"/>
    </row>
    <row r="16" spans="4:21" ht="15" customHeight="1">
      <c r="D16" s="93"/>
      <c r="E16" s="93"/>
      <c r="F16" s="93"/>
      <c r="G16" s="274" cm="1">
        <f t="array" ref="G16">LOOKUP(2,1/(Chicken!F:F="Gray"),Chicken!J:J)</f>
        <v>6887</v>
      </c>
      <c r="H16" s="274"/>
      <c r="I16" s="272" cm="1">
        <f t="array" ref="I16">LOOKUP(2,1/(COW!F:F="Dark Green"),COW!J:J)</f>
        <v>38033</v>
      </c>
      <c r="J16" s="272"/>
      <c r="K16" s="295" cm="1">
        <f t="array" ref="K16">LOOKUP(2,1/(WithOut!F:F="Brown"),WithOut!J:J)</f>
        <v>5223</v>
      </c>
      <c r="L16" s="295"/>
      <c r="M16" s="274">
        <f>LOOKUP(2,1/(Plastic!F:F="White 50G"),Plastic!J:J)</f>
        <v>1660</v>
      </c>
      <c r="N16" s="303"/>
      <c r="O16" s="263" cm="1">
        <f t="array" ref="O16">LOOKUP(2,1/(Koptimix!F:F="Blue Gray(1A)"),Koptimix!J:J)</f>
        <v>8004</v>
      </c>
      <c r="P16" s="263"/>
      <c r="Q16" s="273">
        <f>LOOKUP(2,1/(Roll!F:F="QC"),Roll!J:J)</f>
        <v>105</v>
      </c>
      <c r="R16" s="274"/>
      <c r="S16" s="94"/>
      <c r="T16" s="94"/>
      <c r="U16" s="94"/>
    </row>
    <row r="17" spans="4:21" ht="15" customHeight="1">
      <c r="D17" s="93"/>
      <c r="E17" s="93"/>
      <c r="F17" s="93"/>
      <c r="G17" s="274"/>
      <c r="H17" s="274"/>
      <c r="I17" s="272"/>
      <c r="J17" s="272"/>
      <c r="K17" s="295"/>
      <c r="L17" s="295"/>
      <c r="M17" s="274"/>
      <c r="N17" s="303"/>
      <c r="O17" s="263"/>
      <c r="P17" s="263"/>
      <c r="Q17" s="273"/>
      <c r="R17" s="274"/>
      <c r="S17" s="94"/>
      <c r="T17" s="94"/>
      <c r="U17" s="94"/>
    </row>
    <row r="18" spans="4:21" s="40" customFormat="1" ht="15" customHeight="1">
      <c r="G18" s="264" t="s">
        <v>36</v>
      </c>
      <c r="H18" s="264"/>
      <c r="I18" s="264" t="s">
        <v>45</v>
      </c>
      <c r="J18" s="264"/>
      <c r="K18" s="264" t="s">
        <v>59</v>
      </c>
      <c r="L18" s="264"/>
      <c r="M18" s="264" t="s">
        <v>36</v>
      </c>
      <c r="N18" s="296"/>
      <c r="O18" s="264" t="s">
        <v>51</v>
      </c>
      <c r="P18" s="264"/>
      <c r="Q18" s="275" t="s">
        <v>84</v>
      </c>
      <c r="R18" s="264"/>
      <c r="S18" s="94"/>
      <c r="T18" s="94"/>
      <c r="U18" s="94"/>
    </row>
    <row r="19" spans="4:21" ht="15" customHeight="1">
      <c r="D19" s="93"/>
      <c r="E19" s="93"/>
      <c r="F19" s="93"/>
      <c r="G19" s="289" cm="1">
        <f t="array" ref="G19">LOOKUP(2,1/(Chicken!F:F="Red"),Chicken!J:J)</f>
        <v>1099</v>
      </c>
      <c r="H19" s="289"/>
      <c r="I19" s="272" cm="1">
        <f t="array" ref="I19">LOOKUP(2,1/(COW!F:F="Dark Green(75*50*13)"),COW!J:J)</f>
        <v>903</v>
      </c>
      <c r="J19" s="272"/>
      <c r="K19" s="277" cm="1">
        <f t="array" ref="K19">LOOKUP(2,1/(WithOut!F:F="White"),WithOut!J:J)</f>
        <v>4805</v>
      </c>
      <c r="L19" s="277"/>
      <c r="M19" s="289">
        <f>LOOKUP(2,1/(Plastic!F:F="Red"),Plastic!J:J)</f>
        <v>10000</v>
      </c>
      <c r="N19" s="304"/>
      <c r="O19" s="263" cm="1">
        <f t="array" ref="O19">LOOKUP(2,1/(Koptimix!F:F="Purple Dark Blue(1B)"),Koptimix!J:J)</f>
        <v>10090</v>
      </c>
      <c r="P19" s="263"/>
      <c r="Q19" s="276">
        <f>LOOKUP(2,1/(Roll!F:F="Plain White"),Roll!J:J)</f>
        <v>200</v>
      </c>
      <c r="R19" s="277"/>
      <c r="S19" s="95"/>
      <c r="T19" s="94"/>
      <c r="U19" s="94"/>
    </row>
    <row r="20" spans="4:21" ht="15" customHeight="1">
      <c r="D20" s="93"/>
      <c r="E20" s="93"/>
      <c r="F20" s="93"/>
      <c r="G20" s="289"/>
      <c r="H20" s="289"/>
      <c r="I20" s="272"/>
      <c r="J20" s="272"/>
      <c r="K20" s="277"/>
      <c r="L20" s="277"/>
      <c r="M20" s="289"/>
      <c r="N20" s="304"/>
      <c r="O20" s="263"/>
      <c r="P20" s="263"/>
      <c r="Q20" s="276"/>
      <c r="R20" s="277"/>
      <c r="S20" s="102"/>
      <c r="T20" s="94"/>
      <c r="U20" s="94"/>
    </row>
    <row r="21" spans="4:21" ht="15" customHeight="1">
      <c r="D21" s="93"/>
      <c r="E21" s="93"/>
      <c r="F21" s="93"/>
      <c r="G21" s="264" t="s">
        <v>37</v>
      </c>
      <c r="H21" s="264"/>
      <c r="I21" s="264" t="s">
        <v>37</v>
      </c>
      <c r="J21" s="264"/>
      <c r="K21" s="264" t="s">
        <v>37</v>
      </c>
      <c r="L21" s="264"/>
      <c r="M21" s="264" t="s">
        <v>37</v>
      </c>
      <c r="N21" s="296"/>
      <c r="O21" s="264" t="s">
        <v>52</v>
      </c>
      <c r="P21" s="264"/>
      <c r="Q21" s="102"/>
      <c r="R21" s="102"/>
      <c r="S21" s="102"/>
      <c r="T21" s="94"/>
      <c r="U21" s="94"/>
    </row>
    <row r="22" spans="4:21" ht="15" customHeight="1">
      <c r="D22" s="93"/>
      <c r="E22" s="93"/>
      <c r="F22" s="93"/>
      <c r="G22" s="279" cm="1">
        <f t="array" ref="G22">LOOKUP(2,1/(Chicken!F:F="Green"),Chicken!J:J)</f>
        <v>54216</v>
      </c>
      <c r="H22" s="279"/>
      <c r="I22" s="279" cm="1">
        <f t="array" ref="I22">LOOKUP(2,1/(COW!F:F="Green"),COW!J:J)</f>
        <v>5904</v>
      </c>
      <c r="J22" s="279"/>
      <c r="K22" s="272" cm="1">
        <f t="array" ref="K22">LOOKUP(2,1/(WithOut!F:F="Green"),WithOut!J:J)</f>
        <v>20251</v>
      </c>
      <c r="L22" s="272"/>
      <c r="M22" s="279">
        <f>LOOKUP(2,1/(Plastic!F:F="Green"),Plastic!J:J)</f>
        <v>10000</v>
      </c>
      <c r="N22" s="305"/>
      <c r="O22" s="263" cm="1">
        <f t="array" ref="O22">LOOKUP(2,1/(Koptimix!F:F="Blue Purple(1C)"),Koptimix!J:J)</f>
        <v>21187</v>
      </c>
      <c r="P22" s="263"/>
      <c r="Q22" s="102"/>
      <c r="R22" s="102"/>
      <c r="S22" s="102"/>
      <c r="T22" s="94"/>
      <c r="U22" s="94"/>
    </row>
    <row r="23" spans="4:21" ht="15" customHeight="1">
      <c r="D23" s="93"/>
      <c r="E23" s="93"/>
      <c r="F23" s="93"/>
      <c r="G23" s="279"/>
      <c r="H23" s="279"/>
      <c r="I23" s="279"/>
      <c r="J23" s="279"/>
      <c r="K23" s="272"/>
      <c r="L23" s="272"/>
      <c r="M23" s="279"/>
      <c r="N23" s="305"/>
      <c r="O23" s="263"/>
      <c r="P23" s="263"/>
      <c r="Q23" s="102"/>
      <c r="R23" s="102"/>
      <c r="S23" s="102"/>
      <c r="T23" s="94"/>
      <c r="U23" s="94"/>
    </row>
    <row r="24" spans="4:21" s="40" customFormat="1" ht="15" customHeight="1">
      <c r="G24" s="264" t="s">
        <v>38</v>
      </c>
      <c r="H24" s="264"/>
      <c r="I24" s="282"/>
      <c r="J24" s="282"/>
      <c r="K24" s="101"/>
      <c r="L24" s="101"/>
      <c r="M24" s="264" t="s">
        <v>28</v>
      </c>
      <c r="N24" s="296"/>
      <c r="O24" s="264" t="s">
        <v>54</v>
      </c>
      <c r="P24" s="264"/>
      <c r="Q24" s="102"/>
      <c r="R24" s="102"/>
      <c r="S24" s="102"/>
      <c r="T24" s="94"/>
      <c r="U24" s="94"/>
    </row>
    <row r="25" spans="4:21" ht="15" customHeight="1">
      <c r="D25" s="93"/>
      <c r="E25" s="93"/>
      <c r="F25" s="93"/>
      <c r="G25" s="272" cm="1">
        <f t="array" ref="G25">LOOKUP(2,1/(Chicken!F:F="Dark Green"),Chicken!J:J)</f>
        <v>5136</v>
      </c>
      <c r="H25" s="272"/>
      <c r="I25" s="283"/>
      <c r="J25" s="283"/>
      <c r="K25" s="94"/>
      <c r="L25" s="94"/>
      <c r="M25" s="269">
        <f>LOOKUP(2,1/(Plastic!F:F="Purple"),Plastic!J:J)</f>
        <v>7710</v>
      </c>
      <c r="N25" s="299"/>
      <c r="O25" s="263" cm="1">
        <f t="array" ref="O25">LOOKUP(2,1/(Koptimix!F:F="Green Black(GB)"),Koptimix!J:J)</f>
        <v>7194</v>
      </c>
      <c r="P25" s="263"/>
      <c r="Q25" s="94"/>
      <c r="R25" s="94"/>
      <c r="S25" s="94"/>
      <c r="T25" s="94"/>
      <c r="U25" s="94"/>
    </row>
    <row r="26" spans="4:21" ht="15" customHeight="1">
      <c r="D26" s="93"/>
      <c r="E26" s="93"/>
      <c r="F26" s="93"/>
      <c r="G26" s="272"/>
      <c r="H26" s="272"/>
      <c r="I26" s="283"/>
      <c r="J26" s="283"/>
      <c r="K26" s="94"/>
      <c r="L26" s="94"/>
      <c r="M26" s="269"/>
      <c r="N26" s="299"/>
      <c r="O26" s="263"/>
      <c r="P26" s="263"/>
      <c r="Q26" s="94"/>
      <c r="R26" s="94"/>
      <c r="S26" s="94"/>
      <c r="T26" s="94"/>
      <c r="U26" s="94"/>
    </row>
    <row r="27" spans="4:21" ht="15" customHeight="1">
      <c r="D27" s="93"/>
      <c r="E27" s="93"/>
      <c r="F27" s="93"/>
      <c r="G27" s="264" t="s">
        <v>39</v>
      </c>
      <c r="H27" s="264"/>
      <c r="I27" s="282"/>
      <c r="J27" s="282"/>
      <c r="K27" s="94"/>
      <c r="L27" s="94"/>
      <c r="M27" s="264" t="s">
        <v>70</v>
      </c>
      <c r="N27" s="296"/>
      <c r="O27" s="264" t="s">
        <v>55</v>
      </c>
      <c r="P27" s="264"/>
      <c r="Q27" s="94"/>
      <c r="R27" s="94"/>
      <c r="S27" s="94"/>
      <c r="T27" s="94"/>
      <c r="U27" s="94"/>
    </row>
    <row r="28" spans="4:21" ht="15" customHeight="1">
      <c r="D28" s="93"/>
      <c r="E28" s="93"/>
      <c r="F28" s="93"/>
      <c r="G28" s="294" cm="1">
        <f t="array" ref="G28">LOOKUP(2,1/(Chicken!F:F="Light Blue"),Chicken!J:J)</f>
        <v>249</v>
      </c>
      <c r="H28" s="294"/>
      <c r="I28" s="283"/>
      <c r="J28" s="283"/>
      <c r="K28" s="94"/>
      <c r="L28" s="94"/>
      <c r="M28" s="300">
        <f>LOOKUP(2,1/(Plastic!F:F="Blue KOP"),Plastic!J:J)</f>
        <v>10745</v>
      </c>
      <c r="N28" s="301"/>
      <c r="O28" s="263" cm="1">
        <f t="array" ref="O28">LOOKUP(2,1/(Koptimix!F:F="Purple (Fish)"),Koptimix!J:J)</f>
        <v>2918</v>
      </c>
      <c r="P28" s="263"/>
      <c r="Q28" s="94"/>
      <c r="R28" s="94"/>
      <c r="S28" s="94"/>
      <c r="T28" s="94"/>
      <c r="U28" s="94"/>
    </row>
    <row r="29" spans="4:21" ht="15" customHeight="1">
      <c r="D29" s="93"/>
      <c r="E29" s="93"/>
      <c r="F29" s="93"/>
      <c r="G29" s="294"/>
      <c r="H29" s="294"/>
      <c r="I29" s="283"/>
      <c r="J29" s="283"/>
      <c r="K29" s="99"/>
      <c r="L29" s="99"/>
      <c r="M29" s="300"/>
      <c r="N29" s="301"/>
      <c r="O29" s="263"/>
      <c r="P29" s="263"/>
      <c r="Q29" s="95"/>
      <c r="R29" s="95"/>
      <c r="S29" s="95"/>
      <c r="T29" s="94"/>
      <c r="U29" s="94"/>
    </row>
    <row r="30" spans="4:21" ht="15" customHeight="1">
      <c r="D30" s="93"/>
      <c r="E30" s="93"/>
      <c r="F30" s="93"/>
      <c r="G30" s="264" t="s">
        <v>24</v>
      </c>
      <c r="H30" s="264"/>
      <c r="I30" s="282"/>
      <c r="J30" s="282"/>
      <c r="K30" s="99"/>
      <c r="L30" s="99"/>
      <c r="M30" s="264" t="s">
        <v>71</v>
      </c>
      <c r="N30" s="296"/>
      <c r="O30" s="107"/>
      <c r="P30" s="107"/>
      <c r="Q30" s="95"/>
      <c r="R30" s="95"/>
      <c r="S30" s="95"/>
      <c r="T30" s="94"/>
      <c r="U30" s="94"/>
    </row>
    <row r="31" spans="4:21" ht="15" customHeight="1">
      <c r="D31" s="93"/>
      <c r="E31" s="93"/>
      <c r="F31" s="93"/>
      <c r="G31" s="281" cm="1">
        <f t="array" ref="G31">LOOKUP(2,1/(Chicken!F:F="Blue"),Chicken!J:J)</f>
        <v>1104</v>
      </c>
      <c r="H31" s="281"/>
      <c r="I31" s="283"/>
      <c r="J31" s="283"/>
      <c r="K31" s="101"/>
      <c r="L31" s="101"/>
      <c r="M31" s="281">
        <f>LOOKUP(2,1/(Plastic!F:F="Red KOP"),Plastic!J:J)</f>
        <v>3010</v>
      </c>
      <c r="N31" s="302"/>
      <c r="O31" s="108"/>
      <c r="P31" s="108"/>
      <c r="Q31" s="102"/>
      <c r="R31" s="102"/>
      <c r="S31" s="102"/>
      <c r="T31" s="94"/>
      <c r="U31" s="94"/>
    </row>
    <row r="32" spans="4:21" ht="15" customHeight="1">
      <c r="D32" s="93"/>
      <c r="E32" s="93"/>
      <c r="F32" s="93"/>
      <c r="G32" s="281"/>
      <c r="H32" s="281"/>
      <c r="I32" s="283"/>
      <c r="J32" s="283"/>
      <c r="K32" s="101"/>
      <c r="L32" s="101"/>
      <c r="M32" s="281"/>
      <c r="N32" s="302"/>
      <c r="O32" s="108"/>
      <c r="P32" s="108"/>
      <c r="Q32" s="102"/>
      <c r="R32" s="102"/>
      <c r="S32" s="102"/>
      <c r="T32" s="94"/>
      <c r="U32" s="94"/>
    </row>
    <row r="33" spans="4:21" ht="15" customHeight="1">
      <c r="D33" s="93"/>
      <c r="E33" s="93"/>
      <c r="F33" s="93"/>
      <c r="G33" s="264" t="s">
        <v>40</v>
      </c>
      <c r="H33" s="264"/>
      <c r="I33" s="282"/>
      <c r="J33" s="282"/>
      <c r="K33" s="101"/>
      <c r="L33" s="101"/>
      <c r="M33" s="101"/>
      <c r="N33" s="101"/>
      <c r="O33" s="101"/>
      <c r="P33" s="101"/>
      <c r="Q33" s="102"/>
      <c r="R33" s="102"/>
      <c r="S33" s="102"/>
      <c r="T33" s="94"/>
      <c r="U33" s="94"/>
    </row>
    <row r="34" spans="4:21" ht="15" customHeight="1">
      <c r="D34" s="93"/>
      <c r="E34" s="93"/>
      <c r="F34" s="93"/>
      <c r="G34" s="288" cm="1">
        <f t="array" ref="G34">LOOKUP(2,1/(Chicken!F:F="Dark Blue"),Chicken!J:J)</f>
        <v>60632</v>
      </c>
      <c r="H34" s="288"/>
      <c r="I34" s="283"/>
      <c r="J34" s="283"/>
      <c r="K34" s="101"/>
      <c r="L34" s="101"/>
      <c r="M34" s="101"/>
      <c r="N34" s="101"/>
      <c r="O34" s="101"/>
      <c r="P34" s="101"/>
      <c r="Q34" s="102"/>
      <c r="R34" s="102"/>
      <c r="S34" s="102"/>
      <c r="T34" s="94"/>
      <c r="U34" s="94"/>
    </row>
    <row r="35" spans="4:21" ht="15" customHeight="1">
      <c r="D35" s="93"/>
      <c r="E35" s="93"/>
      <c r="F35" s="93"/>
      <c r="G35" s="288"/>
      <c r="H35" s="288"/>
      <c r="I35" s="283"/>
      <c r="J35" s="283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</row>
    <row r="36" spans="4:21" ht="15" customHeight="1">
      <c r="D36" s="93"/>
      <c r="E36" s="93"/>
      <c r="F36" s="93"/>
      <c r="G36" s="264" t="s">
        <v>41</v>
      </c>
      <c r="H36" s="264"/>
      <c r="I36" s="282"/>
      <c r="J36" s="282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</row>
    <row r="37" spans="4:21" ht="15" customHeight="1">
      <c r="D37" s="93"/>
      <c r="E37" s="93"/>
      <c r="F37" s="93"/>
      <c r="G37" s="285" cm="1">
        <f t="array" ref="G37">LOOKUP(2,1/(Chicken!F:F="Yellow"),Chicken!J:J)</f>
        <v>7812</v>
      </c>
      <c r="H37" s="285"/>
      <c r="I37" s="284"/>
      <c r="J37" s="284"/>
      <c r="K37" s="94"/>
      <c r="L37" s="94"/>
      <c r="M37" s="94"/>
      <c r="N37" s="94"/>
      <c r="O37" s="94"/>
      <c r="P37" s="94"/>
      <c r="Q37" s="95"/>
      <c r="R37" s="95"/>
      <c r="S37" s="94"/>
      <c r="T37" s="94"/>
      <c r="U37" s="94"/>
    </row>
    <row r="38" spans="4:21" ht="15" customHeight="1">
      <c r="D38" s="93"/>
      <c r="E38" s="93"/>
      <c r="F38" s="93"/>
      <c r="G38" s="285"/>
      <c r="H38" s="285"/>
      <c r="I38" s="284"/>
      <c r="J38" s="284"/>
      <c r="K38" s="94"/>
      <c r="L38" s="94"/>
      <c r="M38" s="94"/>
      <c r="N38" s="94"/>
      <c r="O38" s="94"/>
      <c r="P38" s="94"/>
      <c r="Q38" s="102"/>
      <c r="R38" s="102"/>
      <c r="S38" s="94"/>
      <c r="T38" s="94"/>
      <c r="U38" s="94"/>
    </row>
    <row r="39" spans="4:21" ht="15" customHeight="1">
      <c r="D39" s="93"/>
      <c r="E39" s="93"/>
      <c r="F39" s="93"/>
      <c r="G39" s="264" t="s">
        <v>42</v>
      </c>
      <c r="H39" s="264"/>
      <c r="I39" s="282"/>
      <c r="J39" s="282"/>
      <c r="K39" s="94"/>
      <c r="L39" s="94"/>
      <c r="M39" s="94"/>
      <c r="N39" s="94"/>
      <c r="O39" s="94"/>
      <c r="P39" s="94"/>
      <c r="Q39" s="102"/>
      <c r="R39" s="102"/>
      <c r="S39" s="94"/>
      <c r="T39" s="94"/>
      <c r="U39" s="94"/>
    </row>
    <row r="40" spans="4:21" ht="15" customHeight="1">
      <c r="D40" s="93"/>
      <c r="E40" s="93"/>
      <c r="F40" s="93"/>
      <c r="G40" s="286" cm="1">
        <f t="array" ref="G40">LOOKUP(2,1/(Chicken!F:F="Brown"),Chicken!J:J)</f>
        <v>30</v>
      </c>
      <c r="H40" s="286"/>
      <c r="I40" s="283"/>
      <c r="J40" s="283"/>
      <c r="K40" s="94"/>
      <c r="L40" s="94"/>
      <c r="M40" s="94"/>
      <c r="N40" s="94"/>
      <c r="O40" s="94"/>
      <c r="P40" s="94"/>
      <c r="Q40" s="102"/>
      <c r="R40" s="102"/>
      <c r="S40" s="94"/>
      <c r="T40" s="94"/>
      <c r="U40" s="94"/>
    </row>
    <row r="41" spans="4:21" ht="15" customHeight="1">
      <c r="D41" s="93"/>
      <c r="E41" s="93"/>
      <c r="F41" s="93"/>
      <c r="G41" s="286"/>
      <c r="H41" s="286"/>
      <c r="I41" s="283"/>
      <c r="J41" s="283"/>
      <c r="K41" s="94"/>
      <c r="L41" s="94"/>
      <c r="M41" s="94"/>
      <c r="N41" s="94"/>
      <c r="O41" s="94"/>
      <c r="P41" s="94"/>
      <c r="Q41" s="102"/>
      <c r="R41" s="102"/>
      <c r="S41" s="94"/>
      <c r="T41" s="94"/>
      <c r="U41" s="94"/>
    </row>
    <row r="42" spans="4:21" ht="15" customHeight="1">
      <c r="D42" s="93"/>
      <c r="E42" s="93"/>
      <c r="F42" s="93"/>
      <c r="G42" s="264" t="s">
        <v>89</v>
      </c>
      <c r="H42" s="264"/>
      <c r="I42" s="282"/>
      <c r="J42" s="282"/>
      <c r="K42" s="94"/>
      <c r="L42" s="94"/>
      <c r="M42" s="94"/>
      <c r="N42" s="94"/>
      <c r="O42" s="94"/>
      <c r="P42" s="94"/>
      <c r="Q42" s="102"/>
      <c r="R42" s="102"/>
      <c r="S42" s="94"/>
      <c r="T42" s="94"/>
      <c r="U42" s="94"/>
    </row>
    <row r="43" spans="4:21" ht="15" customHeight="1">
      <c r="D43" s="93"/>
      <c r="E43" s="93"/>
      <c r="F43" s="93"/>
      <c r="G43" s="286" cm="1">
        <f t="array" ref="G43">LOOKUP(2,1/(Chicken!F:F="Brown(13)"),Chicken!J:J)</f>
        <v>0</v>
      </c>
      <c r="H43" s="286"/>
      <c r="I43" s="283"/>
      <c r="J43" s="283"/>
      <c r="K43" s="40"/>
      <c r="L43" s="40"/>
      <c r="M43" s="40"/>
      <c r="N43" s="40"/>
      <c r="O43" s="40"/>
      <c r="P43" s="40"/>
      <c r="Q43" s="96"/>
      <c r="R43" s="96"/>
      <c r="S43" s="96"/>
      <c r="T43" s="96"/>
      <c r="U43" s="96"/>
    </row>
    <row r="44" spans="4:21" ht="15" customHeight="1">
      <c r="D44" s="93"/>
      <c r="E44" s="93"/>
      <c r="F44" s="93"/>
      <c r="G44" s="287"/>
      <c r="H44" s="287"/>
      <c r="I44" s="283"/>
      <c r="J44" s="283"/>
      <c r="K44" s="40"/>
      <c r="L44" s="40"/>
      <c r="M44" s="40"/>
      <c r="N44" s="40"/>
      <c r="O44" s="40"/>
      <c r="P44" s="40"/>
      <c r="Q44" s="96"/>
      <c r="R44" s="96"/>
      <c r="S44" s="96"/>
      <c r="T44" s="96"/>
      <c r="U44" s="96"/>
    </row>
    <row r="45" spans="4:21">
      <c r="G45" s="40"/>
      <c r="H45" s="40"/>
      <c r="I45" s="105"/>
      <c r="J45" s="105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</row>
    <row r="46" spans="4:21">
      <c r="G46" s="306"/>
      <c r="H46" s="306"/>
      <c r="I46" s="105"/>
      <c r="J46" s="105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</row>
    <row r="47" spans="4:21">
      <c r="G47" s="306"/>
      <c r="H47" s="306"/>
      <c r="I47" s="105"/>
      <c r="J47" s="105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</row>
    <row r="48" spans="4:21">
      <c r="G48" s="306"/>
      <c r="H48" s="306"/>
      <c r="I48" s="105"/>
      <c r="J48" s="105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</row>
    <row r="49" spans="7:21">
      <c r="G49" s="306"/>
      <c r="H49" s="306"/>
      <c r="I49" s="105"/>
      <c r="J49" s="105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</row>
    <row r="50" spans="7:21">
      <c r="G50" s="306"/>
      <c r="H50" s="306"/>
      <c r="I50" s="105"/>
      <c r="J50" s="105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</row>
    <row r="51" spans="7:21">
      <c r="G51" s="306"/>
      <c r="H51" s="306"/>
      <c r="I51" s="105"/>
      <c r="J51" s="105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</row>
    <row r="52" spans="7:21">
      <c r="G52" s="306"/>
      <c r="H52" s="306"/>
      <c r="I52" s="105"/>
      <c r="J52" s="105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</row>
    <row r="53" spans="7:21">
      <c r="G53" s="306"/>
      <c r="H53" s="306"/>
      <c r="I53" s="105"/>
      <c r="J53" s="105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</row>
    <row r="54" spans="7:21">
      <c r="G54" s="306"/>
      <c r="H54" s="306"/>
      <c r="I54" s="105"/>
      <c r="J54" s="105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</row>
    <row r="55" spans="7:21">
      <c r="G55" s="306"/>
      <c r="H55" s="306"/>
      <c r="I55" s="105"/>
      <c r="J55" s="105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</row>
    <row r="56" spans="7:21">
      <c r="G56" s="306"/>
      <c r="H56" s="306"/>
      <c r="I56" s="105"/>
      <c r="J56" s="105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</row>
    <row r="57" spans="7:21">
      <c r="G57" s="306"/>
      <c r="H57" s="306"/>
      <c r="I57" s="105"/>
      <c r="J57" s="105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</row>
    <row r="58" spans="7:21">
      <c r="G58" s="306"/>
      <c r="H58" s="306"/>
      <c r="I58" s="105"/>
      <c r="J58" s="105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</row>
    <row r="59" spans="7:21">
      <c r="G59" s="306"/>
      <c r="H59" s="306"/>
      <c r="I59" s="105"/>
      <c r="J59" s="105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</row>
    <row r="60" spans="7:21">
      <c r="G60" s="307"/>
      <c r="H60" s="307"/>
    </row>
    <row r="61" spans="7:21">
      <c r="G61" s="307"/>
      <c r="H61" s="307"/>
    </row>
    <row r="62" spans="7:21">
      <c r="G62" s="307"/>
      <c r="H62" s="307"/>
    </row>
    <row r="63" spans="7:21">
      <c r="G63" s="307"/>
      <c r="H63" s="307"/>
    </row>
    <row r="64" spans="7:21">
      <c r="G64" s="307"/>
      <c r="H64" s="307"/>
    </row>
    <row r="65" spans="7:8">
      <c r="G65" s="307"/>
      <c r="H65" s="307"/>
    </row>
    <row r="66" spans="7:8">
      <c r="G66" s="307"/>
      <c r="H66" s="307"/>
    </row>
    <row r="67" spans="7:8">
      <c r="G67" s="307"/>
      <c r="H67" s="307"/>
    </row>
    <row r="68" spans="7:8">
      <c r="G68" s="307"/>
      <c r="H68" s="307"/>
    </row>
    <row r="69" spans="7:8">
      <c r="G69" s="307"/>
      <c r="H69" s="307"/>
    </row>
    <row r="70" spans="7:8">
      <c r="G70" s="307"/>
      <c r="H70" s="307"/>
    </row>
    <row r="71" spans="7:8">
      <c r="G71" s="307"/>
      <c r="H71" s="307"/>
    </row>
    <row r="72" spans="7:8">
      <c r="G72" s="307"/>
      <c r="H72" s="307"/>
    </row>
    <row r="73" spans="7:8">
      <c r="G73" s="307"/>
      <c r="H73" s="307"/>
    </row>
    <row r="74" spans="7:8">
      <c r="G74" s="307"/>
      <c r="H74" s="307"/>
    </row>
    <row r="75" spans="7:8">
      <c r="G75" s="307"/>
      <c r="H75" s="307"/>
    </row>
    <row r="76" spans="7:8">
      <c r="G76" s="307"/>
      <c r="H76" s="307"/>
    </row>
    <row r="77" spans="7:8">
      <c r="G77" s="307"/>
      <c r="H77" s="307"/>
    </row>
    <row r="78" spans="7:8">
      <c r="G78" s="307"/>
      <c r="H78" s="307"/>
    </row>
    <row r="79" spans="7:8">
      <c r="G79" s="307"/>
      <c r="H79" s="307"/>
    </row>
    <row r="80" spans="7:8">
      <c r="G80" s="307"/>
      <c r="H80" s="307"/>
    </row>
    <row r="81" spans="7:8">
      <c r="G81" s="307"/>
      <c r="H81" s="307"/>
    </row>
    <row r="82" spans="7:8">
      <c r="G82" s="307"/>
      <c r="H82" s="307"/>
    </row>
    <row r="83" spans="7:8">
      <c r="G83" s="307"/>
      <c r="H83" s="307"/>
    </row>
    <row r="84" spans="7:8">
      <c r="G84" s="307"/>
      <c r="H84" s="307"/>
    </row>
    <row r="85" spans="7:8">
      <c r="G85" s="307"/>
      <c r="H85" s="307"/>
    </row>
    <row r="86" spans="7:8">
      <c r="G86" s="307"/>
      <c r="H86" s="307"/>
    </row>
    <row r="87" spans="7:8">
      <c r="G87" s="307"/>
      <c r="H87" s="307"/>
    </row>
    <row r="88" spans="7:8">
      <c r="G88" s="307"/>
      <c r="H88" s="307"/>
    </row>
    <row r="89" spans="7:8">
      <c r="G89" s="307"/>
      <c r="H89" s="307"/>
    </row>
    <row r="90" spans="7:8">
      <c r="G90" s="307"/>
      <c r="H90" s="307"/>
    </row>
    <row r="91" spans="7:8">
      <c r="G91" s="307"/>
      <c r="H91" s="307"/>
    </row>
    <row r="92" spans="7:8">
      <c r="G92" s="307"/>
      <c r="H92" s="307"/>
    </row>
    <row r="93" spans="7:8">
      <c r="G93" s="307"/>
      <c r="H93" s="307"/>
    </row>
    <row r="94" spans="7:8">
      <c r="G94" s="307"/>
      <c r="H94" s="307"/>
    </row>
    <row r="95" spans="7:8">
      <c r="G95" s="307"/>
      <c r="H95" s="307"/>
    </row>
    <row r="96" spans="7:8">
      <c r="G96" s="307"/>
      <c r="H96" s="307"/>
    </row>
    <row r="97" spans="7:8">
      <c r="G97" s="307"/>
      <c r="H97" s="307"/>
    </row>
    <row r="98" spans="7:8">
      <c r="G98" s="307"/>
      <c r="H98" s="307"/>
    </row>
    <row r="99" spans="7:8">
      <c r="G99" s="307"/>
      <c r="H99" s="307"/>
    </row>
    <row r="100" spans="7:8">
      <c r="G100" s="307"/>
      <c r="H100" s="307"/>
    </row>
    <row r="101" spans="7:8">
      <c r="G101" s="307"/>
      <c r="H101" s="307"/>
    </row>
    <row r="102" spans="7:8">
      <c r="G102" s="307"/>
      <c r="H102" s="307"/>
    </row>
    <row r="103" spans="7:8">
      <c r="G103" s="307"/>
      <c r="H103" s="307"/>
    </row>
    <row r="104" spans="7:8">
      <c r="G104" s="307"/>
      <c r="H104" s="307"/>
    </row>
    <row r="105" spans="7:8">
      <c r="G105" s="307"/>
      <c r="H105" s="307"/>
    </row>
    <row r="106" spans="7:8">
      <c r="G106" s="307"/>
      <c r="H106" s="307"/>
    </row>
    <row r="107" spans="7:8">
      <c r="G107" s="307"/>
      <c r="H107" s="307"/>
    </row>
    <row r="108" spans="7:8">
      <c r="G108" s="307"/>
      <c r="H108" s="307"/>
    </row>
    <row r="109" spans="7:8">
      <c r="G109" s="307"/>
      <c r="H109" s="307"/>
    </row>
    <row r="110" spans="7:8">
      <c r="G110" s="307"/>
      <c r="H110" s="307"/>
    </row>
    <row r="111" spans="7:8">
      <c r="G111" s="307"/>
      <c r="H111" s="307"/>
    </row>
    <row r="112" spans="7:8">
      <c r="G112" s="307"/>
      <c r="H112" s="307"/>
    </row>
    <row r="113" spans="7:8">
      <c r="G113" s="307"/>
      <c r="H113" s="307"/>
    </row>
    <row r="114" spans="7:8">
      <c r="G114" s="307"/>
      <c r="H114" s="307"/>
    </row>
    <row r="115" spans="7:8">
      <c r="G115" s="307"/>
      <c r="H115" s="307"/>
    </row>
    <row r="116" spans="7:8">
      <c r="G116" s="307"/>
      <c r="H116" s="307"/>
    </row>
    <row r="117" spans="7:8">
      <c r="G117" s="307"/>
      <c r="H117" s="307"/>
    </row>
    <row r="118" spans="7:8">
      <c r="G118" s="307"/>
      <c r="H118" s="307"/>
    </row>
    <row r="119" spans="7:8">
      <c r="G119" s="307"/>
      <c r="H119" s="307"/>
    </row>
    <row r="120" spans="7:8">
      <c r="G120" s="307"/>
      <c r="H120" s="307"/>
    </row>
    <row r="121" spans="7:8">
      <c r="G121" s="307"/>
      <c r="H121" s="307"/>
    </row>
    <row r="122" spans="7:8">
      <c r="G122" s="307"/>
      <c r="H122" s="307"/>
    </row>
    <row r="123" spans="7:8">
      <c r="G123" s="307"/>
      <c r="H123" s="307"/>
    </row>
    <row r="124" spans="7:8">
      <c r="G124" s="307"/>
      <c r="H124" s="307"/>
    </row>
    <row r="125" spans="7:8">
      <c r="G125" s="307"/>
      <c r="H125" s="307"/>
    </row>
    <row r="126" spans="7:8">
      <c r="G126" s="307"/>
      <c r="H126" s="307"/>
    </row>
    <row r="127" spans="7:8">
      <c r="G127" s="307"/>
      <c r="H127" s="307"/>
    </row>
    <row r="128" spans="7:8">
      <c r="G128" s="307"/>
      <c r="H128" s="307"/>
    </row>
    <row r="129" spans="7:8">
      <c r="G129" s="307"/>
      <c r="H129" s="307"/>
    </row>
    <row r="130" spans="7:8">
      <c r="G130" s="307"/>
      <c r="H130" s="307"/>
    </row>
    <row r="131" spans="7:8">
      <c r="G131" s="307"/>
      <c r="H131" s="307"/>
    </row>
    <row r="132" spans="7:8">
      <c r="G132" s="307"/>
      <c r="H132" s="307"/>
    </row>
    <row r="133" spans="7:8">
      <c r="G133" s="307"/>
      <c r="H133" s="307"/>
    </row>
    <row r="134" spans="7:8">
      <c r="G134" s="307"/>
      <c r="H134" s="307"/>
    </row>
    <row r="135" spans="7:8">
      <c r="G135" s="307"/>
      <c r="H135" s="307"/>
    </row>
    <row r="136" spans="7:8">
      <c r="G136" s="307"/>
      <c r="H136" s="307"/>
    </row>
    <row r="137" spans="7:8">
      <c r="G137" s="307"/>
      <c r="H137" s="307"/>
    </row>
    <row r="138" spans="7:8">
      <c r="G138" s="307"/>
      <c r="H138" s="307"/>
    </row>
    <row r="139" spans="7:8">
      <c r="G139" s="307"/>
      <c r="H139" s="307"/>
    </row>
    <row r="140" spans="7:8">
      <c r="G140" s="307"/>
      <c r="H140" s="307"/>
    </row>
    <row r="141" spans="7:8">
      <c r="G141" s="307"/>
      <c r="H141" s="307"/>
    </row>
    <row r="142" spans="7:8">
      <c r="G142" s="307"/>
      <c r="H142" s="307"/>
    </row>
    <row r="143" spans="7:8">
      <c r="G143" s="307"/>
      <c r="H143" s="307"/>
    </row>
    <row r="144" spans="7:8">
      <c r="G144" s="307"/>
      <c r="H144" s="307"/>
    </row>
    <row r="145" spans="7:8">
      <c r="G145" s="307"/>
      <c r="H145" s="307"/>
    </row>
    <row r="146" spans="7:8">
      <c r="G146" s="307"/>
      <c r="H146" s="307"/>
    </row>
    <row r="147" spans="7:8">
      <c r="G147" s="307"/>
      <c r="H147" s="307"/>
    </row>
    <row r="148" spans="7:8">
      <c r="G148" s="307"/>
      <c r="H148" s="307"/>
    </row>
    <row r="149" spans="7:8">
      <c r="G149" s="307"/>
      <c r="H149" s="307"/>
    </row>
    <row r="150" spans="7:8">
      <c r="G150" s="307"/>
      <c r="H150" s="307"/>
    </row>
    <row r="151" spans="7:8">
      <c r="G151" s="307"/>
      <c r="H151" s="307"/>
    </row>
    <row r="152" spans="7:8">
      <c r="G152" s="307"/>
      <c r="H152" s="307"/>
    </row>
    <row r="153" spans="7:8">
      <c r="G153" s="307"/>
      <c r="H153" s="307"/>
    </row>
    <row r="154" spans="7:8">
      <c r="G154" s="307"/>
      <c r="H154" s="307"/>
    </row>
    <row r="155" spans="7:8">
      <c r="G155" s="307"/>
      <c r="H155" s="307"/>
    </row>
    <row r="156" spans="7:8">
      <c r="G156" s="307"/>
      <c r="H156" s="307"/>
    </row>
    <row r="157" spans="7:8">
      <c r="G157" s="307"/>
      <c r="H157" s="307"/>
    </row>
    <row r="158" spans="7:8">
      <c r="G158" s="307"/>
      <c r="H158" s="307"/>
    </row>
    <row r="159" spans="7:8">
      <c r="G159" s="307"/>
      <c r="H159" s="307"/>
    </row>
    <row r="160" spans="7:8">
      <c r="G160" s="307"/>
      <c r="H160" s="307"/>
    </row>
    <row r="161" spans="7:8">
      <c r="G161" s="307"/>
      <c r="H161" s="307"/>
    </row>
    <row r="162" spans="7:8">
      <c r="G162" s="307"/>
      <c r="H162" s="307"/>
    </row>
    <row r="163" spans="7:8">
      <c r="G163" s="307"/>
      <c r="H163" s="307"/>
    </row>
    <row r="164" spans="7:8">
      <c r="G164" s="307"/>
      <c r="H164" s="307"/>
    </row>
    <row r="165" spans="7:8">
      <c r="G165" s="307"/>
      <c r="H165" s="307"/>
    </row>
    <row r="166" spans="7:8">
      <c r="G166" s="307"/>
      <c r="H166" s="307"/>
    </row>
    <row r="167" spans="7:8">
      <c r="G167" s="307"/>
      <c r="H167" s="307"/>
    </row>
    <row r="168" spans="7:8">
      <c r="G168" s="307"/>
      <c r="H168" s="307"/>
    </row>
    <row r="169" spans="7:8">
      <c r="G169" s="307"/>
      <c r="H169" s="307"/>
    </row>
    <row r="170" spans="7:8">
      <c r="G170" s="307"/>
      <c r="H170" s="307"/>
    </row>
    <row r="171" spans="7:8">
      <c r="G171" s="307"/>
      <c r="H171" s="307"/>
    </row>
    <row r="172" spans="7:8">
      <c r="G172" s="307"/>
      <c r="H172" s="307"/>
    </row>
    <row r="173" spans="7:8">
      <c r="G173" s="307"/>
      <c r="H173" s="307"/>
    </row>
    <row r="174" spans="7:8">
      <c r="G174" s="307"/>
      <c r="H174" s="307"/>
    </row>
    <row r="175" spans="7:8">
      <c r="G175" s="307"/>
      <c r="H175" s="307"/>
    </row>
    <row r="176" spans="7:8">
      <c r="G176" s="307"/>
      <c r="H176" s="307"/>
    </row>
    <row r="177" spans="7:8">
      <c r="G177" s="307"/>
      <c r="H177" s="307"/>
    </row>
    <row r="178" spans="7:8">
      <c r="G178" s="307"/>
      <c r="H178" s="307"/>
    </row>
    <row r="179" spans="7:8">
      <c r="G179" s="307"/>
      <c r="H179" s="307"/>
    </row>
    <row r="180" spans="7:8">
      <c r="G180" s="307"/>
      <c r="H180" s="307"/>
    </row>
    <row r="181" spans="7:8">
      <c r="G181" s="307"/>
      <c r="H181" s="307"/>
    </row>
    <row r="182" spans="7:8">
      <c r="G182" s="307"/>
      <c r="H182" s="307"/>
    </row>
    <row r="183" spans="7:8">
      <c r="G183" s="307"/>
      <c r="H183" s="307"/>
    </row>
    <row r="184" spans="7:8">
      <c r="G184" s="307"/>
      <c r="H184" s="307"/>
    </row>
    <row r="185" spans="7:8">
      <c r="G185" s="307"/>
      <c r="H185" s="307"/>
    </row>
    <row r="186" spans="7:8">
      <c r="G186" s="307"/>
      <c r="H186" s="307"/>
    </row>
    <row r="187" spans="7:8">
      <c r="G187" s="307"/>
      <c r="H187" s="307"/>
    </row>
    <row r="188" spans="7:8">
      <c r="G188" s="307"/>
      <c r="H188" s="307"/>
    </row>
    <row r="189" spans="7:8">
      <c r="G189" s="307"/>
      <c r="H189" s="307"/>
    </row>
    <row r="190" spans="7:8">
      <c r="G190" s="307"/>
      <c r="H190" s="307"/>
    </row>
  </sheetData>
  <mergeCells count="126"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41"/>
  <sheetViews>
    <sheetView topLeftCell="A211" zoomScale="80" zoomScaleNormal="80" workbookViewId="0">
      <selection activeCell="G223" sqref="G223"/>
    </sheetView>
  </sheetViews>
  <sheetFormatPr defaultRowHeight="14.4"/>
  <cols>
    <col min="1" max="1" width="32.88671875" style="28" customWidth="1"/>
    <col min="2" max="2" width="28.44140625" style="31" customWidth="1"/>
    <col min="3" max="4" width="28.44140625" style="72" customWidth="1"/>
    <col min="5" max="5" width="37" customWidth="1"/>
    <col min="6" max="7" width="28.44140625" customWidth="1"/>
    <col min="8" max="8" width="28.44140625" style="29" customWidth="1"/>
    <col min="9" max="9" width="25.6640625" style="40" customWidth="1"/>
  </cols>
  <sheetData>
    <row r="1" spans="1:9" ht="25.8">
      <c r="A1" s="23" t="s">
        <v>22</v>
      </c>
      <c r="B1" s="32" t="s">
        <v>21</v>
      </c>
      <c r="C1" s="71" t="s">
        <v>20</v>
      </c>
      <c r="D1" s="71" t="s">
        <v>19</v>
      </c>
      <c r="E1" s="24" t="s">
        <v>12</v>
      </c>
      <c r="F1" s="24" t="s">
        <v>13</v>
      </c>
      <c r="G1" s="25" t="s">
        <v>11</v>
      </c>
      <c r="H1" s="109" t="s">
        <v>10</v>
      </c>
      <c r="I1" s="79" t="s">
        <v>27</v>
      </c>
    </row>
    <row r="2" spans="1:9" s="19" customFormat="1" ht="31.5" customHeight="1">
      <c r="A2" s="26">
        <v>46143.896122685182</v>
      </c>
      <c r="B2" s="30" t="s">
        <v>0</v>
      </c>
      <c r="C2" s="18">
        <v>7</v>
      </c>
      <c r="D2" s="18">
        <v>6276</v>
      </c>
      <c r="E2" s="17" t="s">
        <v>38</v>
      </c>
      <c r="F2" s="17" t="s">
        <v>29</v>
      </c>
      <c r="G2" s="17" t="s">
        <v>3</v>
      </c>
      <c r="H2" s="27" t="s">
        <v>18</v>
      </c>
      <c r="I2" s="110"/>
    </row>
    <row r="3" spans="1:9" s="19" customFormat="1" ht="31.5" customHeight="1">
      <c r="A3" s="26">
        <v>46143.928553240738</v>
      </c>
      <c r="B3" s="30" t="s">
        <v>0</v>
      </c>
      <c r="C3" s="18">
        <v>5</v>
      </c>
      <c r="D3" s="18">
        <v>41660</v>
      </c>
      <c r="E3" s="17" t="s">
        <v>48</v>
      </c>
      <c r="F3" s="17" t="s">
        <v>29</v>
      </c>
      <c r="G3" s="17" t="s">
        <v>4</v>
      </c>
      <c r="H3" s="27" t="s">
        <v>18</v>
      </c>
      <c r="I3" s="110"/>
    </row>
    <row r="4" spans="1:9" s="19" customFormat="1" ht="31.5" customHeight="1">
      <c r="A4" s="26">
        <v>46143.978541666664</v>
      </c>
      <c r="B4" s="30" t="s">
        <v>0</v>
      </c>
      <c r="C4" s="18">
        <v>5</v>
      </c>
      <c r="D4" s="18">
        <v>425</v>
      </c>
      <c r="E4" s="17" t="s">
        <v>68</v>
      </c>
      <c r="F4" s="17"/>
      <c r="G4" s="17" t="s">
        <v>60</v>
      </c>
      <c r="H4" s="27" t="s">
        <v>18</v>
      </c>
      <c r="I4" s="110"/>
    </row>
    <row r="5" spans="1:9" s="19" customFormat="1" ht="31.5" customHeight="1">
      <c r="A5" s="26">
        <v>46143.978935185187</v>
      </c>
      <c r="B5" s="30" t="s">
        <v>0</v>
      </c>
      <c r="C5" s="18">
        <v>15</v>
      </c>
      <c r="D5" s="18">
        <v>13978</v>
      </c>
      <c r="E5" s="17" t="s">
        <v>59</v>
      </c>
      <c r="F5" s="17"/>
      <c r="G5" s="17" t="s">
        <v>5</v>
      </c>
      <c r="H5" s="27" t="s">
        <v>18</v>
      </c>
      <c r="I5" s="110"/>
    </row>
    <row r="6" spans="1:9" s="19" customFormat="1" ht="31.5" customHeight="1">
      <c r="A6" s="26">
        <v>46144.352731481478</v>
      </c>
      <c r="B6" s="30" t="s">
        <v>0</v>
      </c>
      <c r="C6" s="18">
        <v>5</v>
      </c>
      <c r="D6" s="18">
        <v>41655</v>
      </c>
      <c r="E6" s="17" t="s">
        <v>48</v>
      </c>
      <c r="F6" s="17" t="s">
        <v>29</v>
      </c>
      <c r="G6" s="17" t="s">
        <v>4</v>
      </c>
      <c r="H6" s="27" t="s">
        <v>18</v>
      </c>
      <c r="I6" s="110"/>
    </row>
    <row r="7" spans="1:9" s="19" customFormat="1" ht="31.5" customHeight="1">
      <c r="A7" s="26">
        <v>46144.417997685188</v>
      </c>
      <c r="B7" s="30" t="s">
        <v>0</v>
      </c>
      <c r="C7" s="18">
        <v>20</v>
      </c>
      <c r="D7" s="18">
        <v>405</v>
      </c>
      <c r="E7" s="17" t="s">
        <v>68</v>
      </c>
      <c r="F7" s="17"/>
      <c r="G7" s="17" t="s">
        <v>60</v>
      </c>
      <c r="H7" s="27" t="s">
        <v>18</v>
      </c>
      <c r="I7" s="110"/>
    </row>
    <row r="8" spans="1:9" s="19" customFormat="1" ht="31.5" customHeight="1">
      <c r="A8" s="26">
        <v>46144.603807870371</v>
      </c>
      <c r="B8" s="30" t="s">
        <v>0</v>
      </c>
      <c r="C8" s="18">
        <v>70</v>
      </c>
      <c r="D8" s="18">
        <v>47430</v>
      </c>
      <c r="E8" s="17" t="s">
        <v>24</v>
      </c>
      <c r="F8" s="17" t="s">
        <v>29</v>
      </c>
      <c r="G8" s="17" t="s">
        <v>2</v>
      </c>
      <c r="H8" s="27" t="s">
        <v>18</v>
      </c>
      <c r="I8" s="110"/>
    </row>
    <row r="9" spans="1:9" s="19" customFormat="1" ht="31.5" customHeight="1">
      <c r="A9" s="26">
        <v>46144.604641203703</v>
      </c>
      <c r="B9" s="30" t="s">
        <v>1</v>
      </c>
      <c r="C9" s="18">
        <v>0</v>
      </c>
      <c r="D9" s="18">
        <v>2410</v>
      </c>
      <c r="E9" s="17" t="s">
        <v>45</v>
      </c>
      <c r="F9" s="17" t="s">
        <v>32</v>
      </c>
      <c r="G9" s="17" t="s">
        <v>2</v>
      </c>
      <c r="H9" s="27" t="s">
        <v>18</v>
      </c>
      <c r="I9" s="110"/>
    </row>
    <row r="10" spans="1:9" s="19" customFormat="1" ht="31.5" customHeight="1">
      <c r="A10" s="26">
        <v>46144.604988425926</v>
      </c>
      <c r="B10" s="30" t="s">
        <v>0</v>
      </c>
      <c r="C10" s="18">
        <v>3</v>
      </c>
      <c r="D10" s="18">
        <v>2407</v>
      </c>
      <c r="E10" s="17" t="s">
        <v>45</v>
      </c>
      <c r="F10" s="17" t="s">
        <v>32</v>
      </c>
      <c r="G10" s="17" t="s">
        <v>2</v>
      </c>
      <c r="H10" s="2" t="s">
        <v>18</v>
      </c>
      <c r="I10" s="110"/>
    </row>
    <row r="11" spans="1:9" s="19" customFormat="1" ht="31.5" customHeight="1" thickBot="1">
      <c r="A11" s="26">
        <v>46144.637280092589</v>
      </c>
      <c r="B11" s="30" t="s">
        <v>0</v>
      </c>
      <c r="C11" s="18">
        <v>6</v>
      </c>
      <c r="D11" s="76">
        <v>47424</v>
      </c>
      <c r="E11" s="17" t="s">
        <v>24</v>
      </c>
      <c r="F11" s="17" t="s">
        <v>29</v>
      </c>
      <c r="G11" s="17" t="s">
        <v>2</v>
      </c>
      <c r="H11" s="2" t="s">
        <v>18</v>
      </c>
      <c r="I11" s="110"/>
    </row>
    <row r="12" spans="1:9" s="19" customFormat="1" ht="31.5" customHeight="1" thickBot="1">
      <c r="A12" s="26">
        <v>46145.352083333331</v>
      </c>
      <c r="B12" s="30" t="s">
        <v>0</v>
      </c>
      <c r="C12" s="74">
        <v>90</v>
      </c>
      <c r="D12" s="78">
        <v>13888</v>
      </c>
      <c r="E12" s="75" t="s">
        <v>59</v>
      </c>
      <c r="F12" s="17"/>
      <c r="G12" s="17" t="s">
        <v>5</v>
      </c>
      <c r="H12" s="2" t="s">
        <v>18</v>
      </c>
      <c r="I12" s="110"/>
    </row>
    <row r="13" spans="1:9" s="19" customFormat="1" ht="31.5" customHeight="1">
      <c r="A13" s="26">
        <v>46145.357349537036</v>
      </c>
      <c r="B13" s="30" t="s">
        <v>0</v>
      </c>
      <c r="C13" s="18">
        <v>1</v>
      </c>
      <c r="D13" s="77">
        <v>32356</v>
      </c>
      <c r="E13" s="17" t="s">
        <v>28</v>
      </c>
      <c r="F13" s="17" t="s">
        <v>29</v>
      </c>
      <c r="G13" s="17" t="s">
        <v>2</v>
      </c>
      <c r="H13" s="2" t="s">
        <v>18</v>
      </c>
      <c r="I13" s="110"/>
    </row>
    <row r="14" spans="1:9" s="19" customFormat="1" ht="31.5" customHeight="1">
      <c r="A14" s="26">
        <v>46145.358229166668</v>
      </c>
      <c r="B14" s="30" t="s">
        <v>0</v>
      </c>
      <c r="C14" s="18">
        <v>1</v>
      </c>
      <c r="D14" s="18">
        <v>399</v>
      </c>
      <c r="E14" s="17" t="s">
        <v>37</v>
      </c>
      <c r="F14" s="17"/>
      <c r="G14" s="17" t="s">
        <v>80</v>
      </c>
      <c r="H14" s="2" t="s">
        <v>79</v>
      </c>
      <c r="I14" s="110"/>
    </row>
    <row r="15" spans="1:9" s="19" customFormat="1" ht="31.5" customHeight="1">
      <c r="A15" s="26">
        <v>46145.358530092592</v>
      </c>
      <c r="B15" s="30" t="s">
        <v>0</v>
      </c>
      <c r="C15" s="18">
        <v>2</v>
      </c>
      <c r="D15" s="18">
        <v>1998</v>
      </c>
      <c r="E15" s="17" t="s">
        <v>87</v>
      </c>
      <c r="F15" s="17"/>
      <c r="G15" s="17" t="s">
        <v>78</v>
      </c>
      <c r="H15" s="2" t="s">
        <v>79</v>
      </c>
      <c r="I15" s="110"/>
    </row>
    <row r="16" spans="1:9" s="19" customFormat="1" ht="31.5" customHeight="1">
      <c r="A16" s="26">
        <v>46145.3594212963</v>
      </c>
      <c r="B16" s="30" t="s">
        <v>0</v>
      </c>
      <c r="C16" s="18">
        <v>8</v>
      </c>
      <c r="D16" s="18">
        <v>62</v>
      </c>
      <c r="E16" s="17" t="s">
        <v>37</v>
      </c>
      <c r="F16" s="17"/>
      <c r="G16" s="17" t="s">
        <v>4</v>
      </c>
      <c r="H16" s="2" t="s">
        <v>23</v>
      </c>
      <c r="I16" s="110"/>
    </row>
    <row r="17" spans="1:9" s="19" customFormat="1" ht="31.5" customHeight="1">
      <c r="A17" s="26">
        <v>46145.485925925925</v>
      </c>
      <c r="B17" s="30" t="s">
        <v>0</v>
      </c>
      <c r="C17" s="18">
        <v>1</v>
      </c>
      <c r="D17" s="18">
        <v>398</v>
      </c>
      <c r="E17" s="17" t="s">
        <v>37</v>
      </c>
      <c r="F17" s="17"/>
      <c r="G17" s="17" t="s">
        <v>80</v>
      </c>
      <c r="H17" s="2" t="s">
        <v>79</v>
      </c>
      <c r="I17" s="110"/>
    </row>
    <row r="18" spans="1:9" s="19" customFormat="1" ht="31.5" customHeight="1">
      <c r="A18" s="26">
        <v>46145.490023148152</v>
      </c>
      <c r="B18" s="30" t="s">
        <v>0</v>
      </c>
      <c r="C18" s="18">
        <v>8000</v>
      </c>
      <c r="D18" s="18">
        <v>5888</v>
      </c>
      <c r="E18" s="17" t="s">
        <v>59</v>
      </c>
      <c r="F18" s="17"/>
      <c r="G18" s="17" t="s">
        <v>5</v>
      </c>
      <c r="H18" s="2" t="s">
        <v>18</v>
      </c>
      <c r="I18" s="110"/>
    </row>
    <row r="19" spans="1:9" s="19" customFormat="1" ht="31.5" customHeight="1">
      <c r="A19" s="26">
        <v>46146.578668981485</v>
      </c>
      <c r="B19" s="30" t="s">
        <v>0</v>
      </c>
      <c r="C19" s="18">
        <v>8</v>
      </c>
      <c r="D19" s="18">
        <v>390</v>
      </c>
      <c r="E19" s="17" t="s">
        <v>37</v>
      </c>
      <c r="F19" s="17"/>
      <c r="G19" s="17" t="s">
        <v>80</v>
      </c>
      <c r="H19" s="2" t="s">
        <v>79</v>
      </c>
      <c r="I19" s="110"/>
    </row>
    <row r="20" spans="1:9" s="19" customFormat="1" ht="31.5" customHeight="1">
      <c r="A20" s="26">
        <v>46146.578935185185</v>
      </c>
      <c r="B20" s="30" t="s">
        <v>0</v>
      </c>
      <c r="C20" s="18">
        <v>3</v>
      </c>
      <c r="D20" s="18">
        <v>1995</v>
      </c>
      <c r="E20" s="17" t="s">
        <v>87</v>
      </c>
      <c r="F20" s="17"/>
      <c r="G20" s="17" t="s">
        <v>78</v>
      </c>
      <c r="H20" s="2" t="s">
        <v>79</v>
      </c>
      <c r="I20" s="110"/>
    </row>
    <row r="21" spans="1:9" s="19" customFormat="1" ht="31.5" customHeight="1">
      <c r="A21" s="26">
        <v>46146.581782407404</v>
      </c>
      <c r="B21" s="30" t="s">
        <v>0</v>
      </c>
      <c r="C21" s="18">
        <v>2</v>
      </c>
      <c r="D21" s="18">
        <v>4151</v>
      </c>
      <c r="E21" s="17" t="s">
        <v>30</v>
      </c>
      <c r="F21" s="17" t="s">
        <v>29</v>
      </c>
      <c r="G21" s="17" t="s">
        <v>2</v>
      </c>
      <c r="H21" s="2" t="s">
        <v>18</v>
      </c>
      <c r="I21" s="110"/>
    </row>
    <row r="22" spans="1:9" s="19" customFormat="1" ht="31.5" customHeight="1">
      <c r="A22" s="26">
        <v>46146.583078703705</v>
      </c>
      <c r="B22" s="30" t="s">
        <v>0</v>
      </c>
      <c r="C22" s="18">
        <v>5</v>
      </c>
      <c r="D22" s="18">
        <v>30928</v>
      </c>
      <c r="E22" s="17" t="s">
        <v>52</v>
      </c>
      <c r="F22" s="17" t="s">
        <v>29</v>
      </c>
      <c r="G22" s="17" t="s">
        <v>4</v>
      </c>
      <c r="H22" s="2" t="s">
        <v>18</v>
      </c>
      <c r="I22" s="110"/>
    </row>
    <row r="23" spans="1:9" s="19" customFormat="1" ht="31.5" customHeight="1">
      <c r="A23" s="26">
        <v>46146.584988425922</v>
      </c>
      <c r="B23" s="30" t="s">
        <v>0</v>
      </c>
      <c r="C23" s="18">
        <v>1210</v>
      </c>
      <c r="D23" s="18">
        <v>10009</v>
      </c>
      <c r="E23" s="17" t="s">
        <v>49</v>
      </c>
      <c r="F23" s="17" t="s">
        <v>29</v>
      </c>
      <c r="G23" s="17" t="s">
        <v>4</v>
      </c>
      <c r="H23" s="27" t="s">
        <v>18</v>
      </c>
      <c r="I23" s="110"/>
    </row>
    <row r="24" spans="1:9" s="19" customFormat="1" ht="31.5" customHeight="1">
      <c r="A24" s="26">
        <v>46146.701238425929</v>
      </c>
      <c r="B24" s="30" t="s">
        <v>0</v>
      </c>
      <c r="C24" s="18">
        <v>74</v>
      </c>
      <c r="D24" s="18">
        <v>30854</v>
      </c>
      <c r="E24" s="17" t="s">
        <v>52</v>
      </c>
      <c r="F24" s="17" t="s">
        <v>29</v>
      </c>
      <c r="G24" s="17" t="s">
        <v>4</v>
      </c>
      <c r="H24" s="27" t="s">
        <v>18</v>
      </c>
      <c r="I24" s="110"/>
    </row>
    <row r="25" spans="1:9" s="19" customFormat="1" ht="31.5" customHeight="1">
      <c r="A25" s="26">
        <v>46146.762719907405</v>
      </c>
      <c r="B25" s="30" t="s">
        <v>0</v>
      </c>
      <c r="C25" s="18">
        <v>25</v>
      </c>
      <c r="D25" s="18">
        <v>30829</v>
      </c>
      <c r="E25" s="17" t="s">
        <v>52</v>
      </c>
      <c r="F25" s="17" t="s">
        <v>29</v>
      </c>
      <c r="G25" s="17" t="s">
        <v>4</v>
      </c>
      <c r="H25" s="27" t="s">
        <v>18</v>
      </c>
      <c r="I25" s="110"/>
    </row>
    <row r="26" spans="1:9" s="19" customFormat="1" ht="31.5" customHeight="1">
      <c r="A26" s="26">
        <v>46148.340208333335</v>
      </c>
      <c r="B26" s="30" t="s">
        <v>0</v>
      </c>
      <c r="C26" s="18">
        <v>205</v>
      </c>
      <c r="D26" s="18">
        <v>28035</v>
      </c>
      <c r="E26" s="17" t="s">
        <v>46</v>
      </c>
      <c r="F26" s="17" t="s">
        <v>29</v>
      </c>
      <c r="G26" s="17" t="s">
        <v>4</v>
      </c>
      <c r="H26" s="27" t="s">
        <v>18</v>
      </c>
      <c r="I26" s="110"/>
    </row>
    <row r="27" spans="1:9" s="19" customFormat="1" ht="31.5" customHeight="1">
      <c r="A27" s="26">
        <v>46148.340729166666</v>
      </c>
      <c r="B27" s="30" t="s">
        <v>0</v>
      </c>
      <c r="C27" s="18">
        <v>3605</v>
      </c>
      <c r="D27" s="18">
        <v>27224</v>
      </c>
      <c r="E27" s="17" t="s">
        <v>52</v>
      </c>
      <c r="F27" s="17" t="s">
        <v>29</v>
      </c>
      <c r="G27" s="17" t="s">
        <v>4</v>
      </c>
      <c r="H27" s="27" t="s">
        <v>18</v>
      </c>
      <c r="I27" s="110"/>
    </row>
    <row r="28" spans="1:9" s="19" customFormat="1" ht="31.5" customHeight="1">
      <c r="A28" s="26">
        <v>46148.341064814813</v>
      </c>
      <c r="B28" s="30" t="s">
        <v>0</v>
      </c>
      <c r="C28" s="18">
        <v>805</v>
      </c>
      <c r="D28" s="18">
        <v>25695</v>
      </c>
      <c r="E28" s="17" t="s">
        <v>47</v>
      </c>
      <c r="F28" s="17" t="s">
        <v>29</v>
      </c>
      <c r="G28" s="17" t="s">
        <v>4</v>
      </c>
      <c r="H28" s="27" t="s">
        <v>18</v>
      </c>
      <c r="I28" s="110"/>
    </row>
    <row r="29" spans="1:9" s="19" customFormat="1" ht="31.5" customHeight="1">
      <c r="A29" s="26">
        <v>46148.341423611113</v>
      </c>
      <c r="B29" s="30" t="s">
        <v>0</v>
      </c>
      <c r="C29" s="18">
        <v>2205</v>
      </c>
      <c r="D29" s="18">
        <v>7890</v>
      </c>
      <c r="E29" s="17" t="s">
        <v>54</v>
      </c>
      <c r="F29" s="17" t="s">
        <v>29</v>
      </c>
      <c r="G29" s="17" t="s">
        <v>4</v>
      </c>
      <c r="H29" s="27" t="s">
        <v>18</v>
      </c>
      <c r="I29" s="110"/>
    </row>
    <row r="30" spans="1:9" s="19" customFormat="1" ht="31.5" customHeight="1">
      <c r="A30" s="26">
        <v>46148.341736111113</v>
      </c>
      <c r="B30" s="30" t="s">
        <v>0</v>
      </c>
      <c r="C30" s="18">
        <v>7</v>
      </c>
      <c r="D30" s="18">
        <v>27217</v>
      </c>
      <c r="E30" s="17" t="s">
        <v>52</v>
      </c>
      <c r="F30" s="17" t="s">
        <v>29</v>
      </c>
      <c r="G30" s="17" t="s">
        <v>4</v>
      </c>
      <c r="H30" s="27" t="s">
        <v>18</v>
      </c>
      <c r="I30" s="110"/>
    </row>
    <row r="31" spans="1:9" s="19" customFormat="1" ht="31.5" customHeight="1">
      <c r="A31" s="26">
        <v>46148.342569444445</v>
      </c>
      <c r="B31" s="30" t="s">
        <v>0</v>
      </c>
      <c r="C31" s="18">
        <v>6005</v>
      </c>
      <c r="D31" s="18">
        <v>21212</v>
      </c>
      <c r="E31" s="17" t="s">
        <v>52</v>
      </c>
      <c r="F31" s="17" t="s">
        <v>29</v>
      </c>
      <c r="G31" s="17" t="s">
        <v>4</v>
      </c>
      <c r="H31" s="27" t="s">
        <v>18</v>
      </c>
      <c r="I31" s="110"/>
    </row>
    <row r="32" spans="1:9" s="19" customFormat="1" ht="31.5" customHeight="1">
      <c r="A32" s="26">
        <v>46148.342870370368</v>
      </c>
      <c r="B32" s="30" t="s">
        <v>0</v>
      </c>
      <c r="C32" s="18">
        <v>2005</v>
      </c>
      <c r="D32" s="18">
        <v>8004</v>
      </c>
      <c r="E32" s="17" t="s">
        <v>49</v>
      </c>
      <c r="F32" s="17" t="s">
        <v>29</v>
      </c>
      <c r="G32" s="17" t="s">
        <v>4</v>
      </c>
      <c r="H32" s="27" t="s">
        <v>18</v>
      </c>
      <c r="I32" s="110"/>
    </row>
    <row r="33" spans="1:9" s="19" customFormat="1" ht="31.5" customHeight="1">
      <c r="A33" s="26">
        <v>46148.345127314817</v>
      </c>
      <c r="B33" s="30" t="s">
        <v>0</v>
      </c>
      <c r="C33" s="18">
        <v>7</v>
      </c>
      <c r="D33" s="18">
        <v>1988</v>
      </c>
      <c r="E33" s="17" t="s">
        <v>87</v>
      </c>
      <c r="F33" s="17"/>
      <c r="G33" s="17" t="s">
        <v>78</v>
      </c>
      <c r="H33" s="27" t="s">
        <v>79</v>
      </c>
      <c r="I33" s="110"/>
    </row>
    <row r="34" spans="1:9" s="19" customFormat="1" ht="31.5" customHeight="1">
      <c r="A34" s="26">
        <v>46148.345335648148</v>
      </c>
      <c r="B34" s="30" t="s">
        <v>0</v>
      </c>
      <c r="C34" s="18">
        <v>16</v>
      </c>
      <c r="D34" s="18">
        <v>374</v>
      </c>
      <c r="E34" s="17" t="s">
        <v>37</v>
      </c>
      <c r="F34" s="17"/>
      <c r="G34" s="17" t="s">
        <v>80</v>
      </c>
      <c r="H34" s="27" t="s">
        <v>79</v>
      </c>
      <c r="I34" s="110"/>
    </row>
    <row r="35" spans="1:9" s="19" customFormat="1" ht="31.5" customHeight="1">
      <c r="A35" s="26">
        <v>46148.345891203702</v>
      </c>
      <c r="B35" s="30" t="s">
        <v>0</v>
      </c>
      <c r="C35" s="18">
        <v>5</v>
      </c>
      <c r="D35" s="18">
        <v>1983</v>
      </c>
      <c r="E35" s="17" t="s">
        <v>87</v>
      </c>
      <c r="F35" s="17"/>
      <c r="G35" s="17" t="s">
        <v>78</v>
      </c>
      <c r="H35" s="27" t="s">
        <v>79</v>
      </c>
      <c r="I35" s="110"/>
    </row>
    <row r="36" spans="1:9" s="19" customFormat="1" ht="31.5" customHeight="1">
      <c r="A36" s="26">
        <v>46148.346180555556</v>
      </c>
      <c r="B36" s="30" t="s">
        <v>0</v>
      </c>
      <c r="C36" s="18">
        <v>4</v>
      </c>
      <c r="D36" s="18">
        <v>370</v>
      </c>
      <c r="E36" s="17" t="s">
        <v>37</v>
      </c>
      <c r="F36" s="17"/>
      <c r="G36" s="17" t="s">
        <v>80</v>
      </c>
      <c r="H36" s="27" t="s">
        <v>79</v>
      </c>
      <c r="I36" s="110"/>
    </row>
    <row r="37" spans="1:9" s="19" customFormat="1" ht="31.5" customHeight="1">
      <c r="A37" s="26">
        <v>46148.34642361111</v>
      </c>
      <c r="B37" s="30" t="s">
        <v>0</v>
      </c>
      <c r="C37" s="18">
        <v>5</v>
      </c>
      <c r="D37" s="18">
        <v>395</v>
      </c>
      <c r="E37" s="17" t="s">
        <v>24</v>
      </c>
      <c r="F37" s="17"/>
      <c r="G37" s="17" t="s">
        <v>80</v>
      </c>
      <c r="H37" s="27" t="s">
        <v>79</v>
      </c>
      <c r="I37" s="110"/>
    </row>
    <row r="38" spans="1:9" s="19" customFormat="1" ht="31.5" customHeight="1">
      <c r="A38" s="26">
        <v>46148.389965277776</v>
      </c>
      <c r="B38" s="83" t="s">
        <v>0</v>
      </c>
      <c r="C38" s="18">
        <v>25</v>
      </c>
      <c r="D38" s="18">
        <v>21187</v>
      </c>
      <c r="E38" s="17" t="s">
        <v>52</v>
      </c>
      <c r="F38" s="17" t="s">
        <v>29</v>
      </c>
      <c r="G38" s="17" t="s">
        <v>4</v>
      </c>
      <c r="H38" s="2" t="s">
        <v>18</v>
      </c>
      <c r="I38" s="110"/>
    </row>
    <row r="39" spans="1:9" s="19" customFormat="1" ht="31.5" customHeight="1">
      <c r="A39" s="26">
        <v>46148.392071759263</v>
      </c>
      <c r="B39" s="83" t="s">
        <v>0</v>
      </c>
      <c r="C39" s="18">
        <v>20</v>
      </c>
      <c r="D39" s="18">
        <v>385</v>
      </c>
      <c r="E39" s="17" t="s">
        <v>68</v>
      </c>
      <c r="F39" s="17"/>
      <c r="G39" s="17" t="s">
        <v>60</v>
      </c>
      <c r="H39" s="2" t="s">
        <v>18</v>
      </c>
      <c r="I39" s="110"/>
    </row>
    <row r="40" spans="1:9" s="19" customFormat="1" ht="31.5" customHeight="1">
      <c r="A40" s="26">
        <v>46148.41511574074</v>
      </c>
      <c r="B40" s="83" t="s">
        <v>0</v>
      </c>
      <c r="C40" s="18">
        <v>10</v>
      </c>
      <c r="D40" s="18">
        <v>7880</v>
      </c>
      <c r="E40" s="17" t="s">
        <v>54</v>
      </c>
      <c r="F40" s="17" t="s">
        <v>29</v>
      </c>
      <c r="G40" s="17" t="s">
        <v>4</v>
      </c>
      <c r="H40" s="2" t="s">
        <v>18</v>
      </c>
      <c r="I40" s="110"/>
    </row>
    <row r="41" spans="1:9" s="19" customFormat="1" ht="31.5" customHeight="1">
      <c r="A41" s="26">
        <v>46148.651388888888</v>
      </c>
      <c r="B41" s="83" t="s">
        <v>0</v>
      </c>
      <c r="C41" s="18">
        <v>10</v>
      </c>
      <c r="D41" s="18">
        <v>375</v>
      </c>
      <c r="E41" s="17" t="s">
        <v>68</v>
      </c>
      <c r="F41" s="17"/>
      <c r="G41" s="17" t="s">
        <v>60</v>
      </c>
      <c r="H41" s="2" t="s">
        <v>18</v>
      </c>
      <c r="I41" s="110"/>
    </row>
    <row r="42" spans="1:9" s="19" customFormat="1" ht="31.5" customHeight="1">
      <c r="A42" s="26">
        <v>46151.367962962962</v>
      </c>
      <c r="B42" s="83" t="s">
        <v>0</v>
      </c>
      <c r="C42" s="18">
        <v>81</v>
      </c>
      <c r="D42" s="18">
        <v>7799</v>
      </c>
      <c r="E42" s="17" t="s">
        <v>54</v>
      </c>
      <c r="F42" s="17" t="s">
        <v>29</v>
      </c>
      <c r="G42" s="17" t="s">
        <v>4</v>
      </c>
      <c r="H42" s="2" t="s">
        <v>18</v>
      </c>
      <c r="I42" s="110"/>
    </row>
    <row r="43" spans="1:9" s="19" customFormat="1" ht="31.5" customHeight="1">
      <c r="A43" s="26">
        <v>46151.370312500003</v>
      </c>
      <c r="B43" s="83" t="s">
        <v>0</v>
      </c>
      <c r="C43" s="18">
        <v>7</v>
      </c>
      <c r="D43" s="18">
        <v>28028</v>
      </c>
      <c r="E43" s="17" t="s">
        <v>46</v>
      </c>
      <c r="F43" s="17" t="s">
        <v>29</v>
      </c>
      <c r="G43" s="17" t="s">
        <v>4</v>
      </c>
      <c r="H43" s="2" t="s">
        <v>18</v>
      </c>
      <c r="I43" s="110"/>
    </row>
    <row r="44" spans="1:9" s="19" customFormat="1" ht="31.5" customHeight="1">
      <c r="A44" s="26">
        <v>46151.371678240743</v>
      </c>
      <c r="B44" s="83" t="s">
        <v>0</v>
      </c>
      <c r="C44" s="18">
        <v>60</v>
      </c>
      <c r="D44" s="18">
        <v>5828</v>
      </c>
      <c r="E44" s="17" t="s">
        <v>59</v>
      </c>
      <c r="F44" s="17"/>
      <c r="G44" s="17" t="s">
        <v>5</v>
      </c>
      <c r="H44" s="2" t="s">
        <v>18</v>
      </c>
      <c r="I44" s="110"/>
    </row>
    <row r="45" spans="1:9" s="19" customFormat="1" ht="31.5" customHeight="1">
      <c r="A45" s="26">
        <v>46151.372164351851</v>
      </c>
      <c r="B45" s="83" t="s">
        <v>0</v>
      </c>
      <c r="C45" s="18">
        <v>30</v>
      </c>
      <c r="D45" s="18">
        <v>8017</v>
      </c>
      <c r="E45" s="17" t="s">
        <v>41</v>
      </c>
      <c r="F45" s="17" t="s">
        <v>29</v>
      </c>
      <c r="G45" s="17" t="s">
        <v>3</v>
      </c>
      <c r="H45" s="2" t="s">
        <v>18</v>
      </c>
      <c r="I45" s="110"/>
    </row>
    <row r="46" spans="1:9" s="19" customFormat="1" ht="31.5" customHeight="1">
      <c r="A46" s="26">
        <v>46151.372685185182</v>
      </c>
      <c r="B46" s="83" t="s">
        <v>0</v>
      </c>
      <c r="C46" s="18">
        <v>20</v>
      </c>
      <c r="D46" s="18">
        <v>355</v>
      </c>
      <c r="E46" s="17" t="s">
        <v>68</v>
      </c>
      <c r="F46" s="17"/>
      <c r="G46" s="17" t="s">
        <v>60</v>
      </c>
      <c r="H46" s="2" t="s">
        <v>18</v>
      </c>
      <c r="I46" s="110"/>
    </row>
    <row r="47" spans="1:9" s="19" customFormat="1" ht="31.5" customHeight="1">
      <c r="A47" s="26">
        <v>46151.375231481485</v>
      </c>
      <c r="B47" s="83" t="s">
        <v>0</v>
      </c>
      <c r="C47" s="18">
        <v>2</v>
      </c>
      <c r="D47" s="18">
        <v>393</v>
      </c>
      <c r="E47" s="17" t="s">
        <v>24</v>
      </c>
      <c r="F47" s="17"/>
      <c r="G47" s="17" t="s">
        <v>80</v>
      </c>
      <c r="H47" s="2" t="s">
        <v>79</v>
      </c>
      <c r="I47" s="110"/>
    </row>
    <row r="48" spans="1:9" s="19" customFormat="1" ht="31.5" customHeight="1">
      <c r="A48" s="26">
        <v>46151.375555555554</v>
      </c>
      <c r="B48" s="83" t="s">
        <v>0</v>
      </c>
      <c r="C48" s="18">
        <v>5</v>
      </c>
      <c r="D48" s="18">
        <v>1978</v>
      </c>
      <c r="E48" s="17" t="s">
        <v>87</v>
      </c>
      <c r="F48" s="17"/>
      <c r="G48" s="17" t="s">
        <v>78</v>
      </c>
      <c r="H48" s="2" t="s">
        <v>79</v>
      </c>
      <c r="I48" s="110"/>
    </row>
    <row r="49" spans="1:9" s="19" customFormat="1" ht="31.5" customHeight="1">
      <c r="A49" s="26">
        <v>46151.37945601852</v>
      </c>
      <c r="B49" s="83" t="s">
        <v>0</v>
      </c>
      <c r="C49" s="18">
        <v>8</v>
      </c>
      <c r="D49" s="18">
        <v>1456</v>
      </c>
      <c r="E49" s="17" t="s">
        <v>86</v>
      </c>
      <c r="F49" s="17"/>
      <c r="G49" s="17" t="s">
        <v>72</v>
      </c>
      <c r="H49" s="2" t="s">
        <v>79</v>
      </c>
      <c r="I49" s="110"/>
    </row>
    <row r="50" spans="1:9" s="19" customFormat="1" ht="31.5" customHeight="1">
      <c r="A50" s="26">
        <v>46151.379756944443</v>
      </c>
      <c r="B50" s="83" t="s">
        <v>0</v>
      </c>
      <c r="C50" s="18">
        <v>2</v>
      </c>
      <c r="D50" s="18">
        <v>1454</v>
      </c>
      <c r="E50" s="17" t="s">
        <v>86</v>
      </c>
      <c r="F50" s="17"/>
      <c r="G50" s="17" t="s">
        <v>72</v>
      </c>
      <c r="H50" s="2" t="s">
        <v>79</v>
      </c>
      <c r="I50" s="110"/>
    </row>
    <row r="51" spans="1:9" s="19" customFormat="1" ht="31.5" customHeight="1">
      <c r="A51" s="26">
        <v>46151.381608796299</v>
      </c>
      <c r="B51" s="83" t="s">
        <v>0</v>
      </c>
      <c r="C51" s="18">
        <v>100</v>
      </c>
      <c r="D51" s="18">
        <v>5728</v>
      </c>
      <c r="E51" s="17" t="s">
        <v>59</v>
      </c>
      <c r="F51" s="17"/>
      <c r="G51" s="17" t="s">
        <v>5</v>
      </c>
      <c r="H51" s="2" t="s">
        <v>18</v>
      </c>
      <c r="I51" s="110"/>
    </row>
    <row r="52" spans="1:9" s="19" customFormat="1" ht="31.5" customHeight="1">
      <c r="A52" s="26">
        <v>46151.383136574077</v>
      </c>
      <c r="B52" s="83" t="s">
        <v>0</v>
      </c>
      <c r="C52" s="18">
        <v>6</v>
      </c>
      <c r="D52" s="18">
        <v>5722</v>
      </c>
      <c r="E52" s="17" t="s">
        <v>59</v>
      </c>
      <c r="F52" s="17"/>
      <c r="G52" s="17" t="s">
        <v>5</v>
      </c>
      <c r="H52" s="27" t="s">
        <v>18</v>
      </c>
      <c r="I52" s="110"/>
    </row>
    <row r="53" spans="1:9" s="19" customFormat="1" ht="31.5" customHeight="1">
      <c r="A53" s="26">
        <v>46151.383634259262</v>
      </c>
      <c r="B53" s="83" t="s">
        <v>0</v>
      </c>
      <c r="C53" s="18">
        <v>205</v>
      </c>
      <c r="D53" s="18">
        <v>64327</v>
      </c>
      <c r="E53" s="17" t="s">
        <v>40</v>
      </c>
      <c r="F53" s="17" t="s">
        <v>29</v>
      </c>
      <c r="G53" s="17" t="s">
        <v>3</v>
      </c>
      <c r="H53" s="27" t="s">
        <v>18</v>
      </c>
      <c r="I53" s="110"/>
    </row>
    <row r="54" spans="1:9" s="19" customFormat="1" ht="31.5" customHeight="1">
      <c r="A54" s="26">
        <v>46151.392280092594</v>
      </c>
      <c r="B54" s="83" t="s">
        <v>0</v>
      </c>
      <c r="C54" s="18">
        <v>1605</v>
      </c>
      <c r="D54" s="18">
        <v>9181</v>
      </c>
      <c r="E54" s="17" t="s">
        <v>50</v>
      </c>
      <c r="F54" s="17" t="s">
        <v>29</v>
      </c>
      <c r="G54" s="17" t="s">
        <v>92</v>
      </c>
      <c r="H54" s="27" t="s">
        <v>18</v>
      </c>
      <c r="I54" s="110"/>
    </row>
    <row r="55" spans="1:9" s="19" customFormat="1" ht="31.5" customHeight="1">
      <c r="A55" s="26">
        <v>46151.392650462964</v>
      </c>
      <c r="B55" s="83" t="s">
        <v>0</v>
      </c>
      <c r="C55" s="18">
        <v>1005</v>
      </c>
      <c r="D55" s="18">
        <v>27023</v>
      </c>
      <c r="E55" s="17" t="s">
        <v>46</v>
      </c>
      <c r="F55" s="17" t="s">
        <v>29</v>
      </c>
      <c r="G55" s="17" t="s">
        <v>4</v>
      </c>
      <c r="H55" s="27" t="s">
        <v>18</v>
      </c>
      <c r="I55" s="110"/>
    </row>
    <row r="56" spans="1:9" s="19" customFormat="1" ht="31.5" customHeight="1">
      <c r="A56" s="26">
        <v>46151.392905092594</v>
      </c>
      <c r="B56" s="83" t="s">
        <v>0</v>
      </c>
      <c r="C56" s="18">
        <v>605</v>
      </c>
      <c r="D56" s="18">
        <v>7194</v>
      </c>
      <c r="E56" s="17" t="s">
        <v>54</v>
      </c>
      <c r="F56" s="17" t="s">
        <v>29</v>
      </c>
      <c r="G56" s="17" t="s">
        <v>4</v>
      </c>
      <c r="H56" s="27" t="s">
        <v>18</v>
      </c>
      <c r="I56" s="110"/>
    </row>
    <row r="57" spans="1:9" s="19" customFormat="1" ht="31.5" customHeight="1">
      <c r="A57" s="26">
        <v>46151.393240740741</v>
      </c>
      <c r="B57" s="83" t="s">
        <v>0</v>
      </c>
      <c r="C57" s="18">
        <v>165</v>
      </c>
      <c r="D57" s="18">
        <v>5557</v>
      </c>
      <c r="E57" s="17" t="s">
        <v>59</v>
      </c>
      <c r="F57" s="17"/>
      <c r="G57" s="17" t="s">
        <v>5</v>
      </c>
      <c r="H57" s="27" t="s">
        <v>18</v>
      </c>
      <c r="I57" s="110"/>
    </row>
    <row r="58" spans="1:9" s="19" customFormat="1" ht="31.5" customHeight="1">
      <c r="A58" s="26">
        <v>46151.394571759258</v>
      </c>
      <c r="B58" s="83" t="s">
        <v>0</v>
      </c>
      <c r="C58" s="18">
        <v>205</v>
      </c>
      <c r="D58" s="18">
        <v>47393</v>
      </c>
      <c r="E58" s="17" t="s">
        <v>28</v>
      </c>
      <c r="F58" s="17" t="s">
        <v>29</v>
      </c>
      <c r="G58" s="17" t="s">
        <v>3</v>
      </c>
      <c r="H58" s="27" t="s">
        <v>18</v>
      </c>
      <c r="I58" s="110"/>
    </row>
    <row r="59" spans="1:9" s="19" customFormat="1" ht="31.5" customHeight="1">
      <c r="A59" s="26">
        <v>46151.394942129627</v>
      </c>
      <c r="B59" s="83" t="s">
        <v>0</v>
      </c>
      <c r="C59" s="18">
        <v>3005</v>
      </c>
      <c r="D59" s="18">
        <v>66373</v>
      </c>
      <c r="E59" s="17" t="s">
        <v>37</v>
      </c>
      <c r="F59" s="17" t="s">
        <v>29</v>
      </c>
      <c r="G59" s="17" t="s">
        <v>3</v>
      </c>
      <c r="H59" s="27" t="s">
        <v>18</v>
      </c>
      <c r="I59" s="110"/>
    </row>
    <row r="60" spans="1:9" s="19" customFormat="1" ht="31.5" customHeight="1">
      <c r="A60" s="26">
        <v>46151.395254629628</v>
      </c>
      <c r="B60" s="83" t="s">
        <v>0</v>
      </c>
      <c r="C60" s="18">
        <v>165</v>
      </c>
      <c r="D60" s="18">
        <v>2581</v>
      </c>
      <c r="E60" s="17" t="s">
        <v>24</v>
      </c>
      <c r="F60" s="17" t="s">
        <v>29</v>
      </c>
      <c r="G60" s="17" t="s">
        <v>3</v>
      </c>
      <c r="H60" s="27" t="s">
        <v>18</v>
      </c>
      <c r="I60" s="110"/>
    </row>
    <row r="61" spans="1:9" s="19" customFormat="1" ht="31.5" customHeight="1">
      <c r="A61" s="26">
        <v>46151.395868055559</v>
      </c>
      <c r="B61" s="83" t="s">
        <v>0</v>
      </c>
      <c r="C61" s="18">
        <v>165</v>
      </c>
      <c r="D61" s="18">
        <v>7739</v>
      </c>
      <c r="E61" s="17" t="s">
        <v>31</v>
      </c>
      <c r="F61" s="17" t="s">
        <v>29</v>
      </c>
      <c r="G61" s="17" t="s">
        <v>3</v>
      </c>
      <c r="H61" s="27" t="s">
        <v>18</v>
      </c>
      <c r="I61" s="110"/>
    </row>
    <row r="62" spans="1:9" s="19" customFormat="1" ht="31.5" customHeight="1">
      <c r="A62" s="26">
        <v>46151.396215277775</v>
      </c>
      <c r="B62" s="83" t="s">
        <v>0</v>
      </c>
      <c r="C62" s="18">
        <v>45</v>
      </c>
      <c r="D62" s="18">
        <v>64282</v>
      </c>
      <c r="E62" s="17" t="s">
        <v>40</v>
      </c>
      <c r="F62" s="17" t="s">
        <v>29</v>
      </c>
      <c r="G62" s="17" t="s">
        <v>3</v>
      </c>
      <c r="H62" s="27" t="s">
        <v>18</v>
      </c>
      <c r="I62" s="110"/>
    </row>
    <row r="63" spans="1:9" s="19" customFormat="1" ht="31.5" customHeight="1">
      <c r="A63" s="26">
        <v>46151.396458333336</v>
      </c>
      <c r="B63" s="83" t="s">
        <v>0</v>
      </c>
      <c r="C63" s="18">
        <v>40</v>
      </c>
      <c r="D63" s="18">
        <v>5517</v>
      </c>
      <c r="E63" s="17" t="s">
        <v>59</v>
      </c>
      <c r="F63" s="17"/>
      <c r="G63" s="17" t="s">
        <v>5</v>
      </c>
      <c r="H63" s="27" t="s">
        <v>18</v>
      </c>
      <c r="I63" s="110"/>
    </row>
    <row r="64" spans="1:9" s="19" customFormat="1" ht="31.5" customHeight="1">
      <c r="A64" s="26">
        <v>46151.397222222222</v>
      </c>
      <c r="B64" s="83" t="s">
        <v>0</v>
      </c>
      <c r="C64" s="18">
        <v>8</v>
      </c>
      <c r="D64" s="18">
        <v>7731</v>
      </c>
      <c r="E64" s="17" t="s">
        <v>31</v>
      </c>
      <c r="F64" s="17" t="s">
        <v>29</v>
      </c>
      <c r="G64" s="17" t="s">
        <v>3</v>
      </c>
      <c r="H64" s="27" t="s">
        <v>18</v>
      </c>
      <c r="I64" s="110"/>
    </row>
    <row r="65" spans="1:9" s="19" customFormat="1" ht="31.5" customHeight="1">
      <c r="A65" s="26">
        <v>46151.398229166669</v>
      </c>
      <c r="B65" s="83" t="s">
        <v>0</v>
      </c>
      <c r="C65" s="18">
        <v>30</v>
      </c>
      <c r="D65" s="18">
        <v>66343</v>
      </c>
      <c r="E65" s="17" t="s">
        <v>37</v>
      </c>
      <c r="F65" s="17" t="s">
        <v>29</v>
      </c>
      <c r="G65" s="17" t="s">
        <v>3</v>
      </c>
      <c r="H65" s="27" t="s">
        <v>18</v>
      </c>
      <c r="I65" s="110"/>
    </row>
    <row r="66" spans="1:9" s="19" customFormat="1" ht="31.5" customHeight="1">
      <c r="A66" s="26">
        <v>46151.3987037037</v>
      </c>
      <c r="B66" s="83" t="s">
        <v>0</v>
      </c>
      <c r="C66" s="18">
        <v>5</v>
      </c>
      <c r="D66" s="18">
        <v>9176</v>
      </c>
      <c r="E66" s="17" t="s">
        <v>50</v>
      </c>
      <c r="F66" s="17" t="s">
        <v>29</v>
      </c>
      <c r="G66" s="17" t="s">
        <v>4</v>
      </c>
      <c r="H66" s="27" t="s">
        <v>18</v>
      </c>
      <c r="I66" s="110"/>
    </row>
    <row r="67" spans="1:9" s="19" customFormat="1" ht="31.5" customHeight="1">
      <c r="A67" s="26">
        <v>46151.402824074074</v>
      </c>
      <c r="B67" s="83" t="s">
        <v>0</v>
      </c>
      <c r="C67" s="18">
        <v>410</v>
      </c>
      <c r="D67" s="18">
        <v>46983</v>
      </c>
      <c r="E67" s="17" t="s">
        <v>28</v>
      </c>
      <c r="F67" s="17" t="s">
        <v>29</v>
      </c>
      <c r="G67" s="17" t="s">
        <v>3</v>
      </c>
      <c r="H67" s="27" t="s">
        <v>18</v>
      </c>
      <c r="I67" s="110"/>
    </row>
    <row r="68" spans="1:9" s="19" customFormat="1" ht="31.5" customHeight="1">
      <c r="A68" s="26">
        <v>46151.403090277781</v>
      </c>
      <c r="B68" s="83" t="s">
        <v>0</v>
      </c>
      <c r="C68" s="18">
        <v>85</v>
      </c>
      <c r="D68" s="18">
        <v>2496</v>
      </c>
      <c r="E68" s="17" t="s">
        <v>24</v>
      </c>
      <c r="F68" s="17" t="s">
        <v>29</v>
      </c>
      <c r="G68" s="17" t="s">
        <v>3</v>
      </c>
      <c r="H68" s="27" t="s">
        <v>18</v>
      </c>
      <c r="I68" s="110"/>
    </row>
    <row r="69" spans="1:9" s="19" customFormat="1" ht="31.5" customHeight="1">
      <c r="A69" s="26">
        <v>46151.406678240739</v>
      </c>
      <c r="B69" s="83" t="s">
        <v>0</v>
      </c>
      <c r="C69" s="18">
        <v>85</v>
      </c>
      <c r="D69" s="18">
        <v>6191</v>
      </c>
      <c r="E69" s="17" t="s">
        <v>38</v>
      </c>
      <c r="F69" s="17" t="s">
        <v>29</v>
      </c>
      <c r="G69" s="17" t="s">
        <v>3</v>
      </c>
      <c r="H69" s="27" t="s">
        <v>18</v>
      </c>
      <c r="I69" s="110"/>
    </row>
    <row r="70" spans="1:9" s="19" customFormat="1" ht="31.5" customHeight="1">
      <c r="A70" s="26">
        <v>46151.409571759257</v>
      </c>
      <c r="B70" s="83" t="s">
        <v>1</v>
      </c>
      <c r="C70" s="18">
        <v>34</v>
      </c>
      <c r="D70" s="18">
        <v>75</v>
      </c>
      <c r="E70" s="17" t="s">
        <v>42</v>
      </c>
      <c r="F70" s="17" t="s">
        <v>29</v>
      </c>
      <c r="G70" s="17" t="s">
        <v>3</v>
      </c>
      <c r="H70" s="27" t="s">
        <v>18</v>
      </c>
      <c r="I70" s="110"/>
    </row>
    <row r="71" spans="1:9" s="19" customFormat="1" ht="31.5" customHeight="1">
      <c r="A71" s="26">
        <v>46151.409733796296</v>
      </c>
      <c r="B71" s="83" t="s">
        <v>0</v>
      </c>
      <c r="C71" s="18">
        <v>45</v>
      </c>
      <c r="D71" s="18">
        <v>30</v>
      </c>
      <c r="E71" s="17" t="s">
        <v>42</v>
      </c>
      <c r="F71" s="17" t="s">
        <v>29</v>
      </c>
      <c r="G71" s="17" t="s">
        <v>3</v>
      </c>
      <c r="H71" s="27" t="s">
        <v>18</v>
      </c>
      <c r="I71" s="110"/>
    </row>
    <row r="72" spans="1:9" s="19" customFormat="1" ht="31.5" customHeight="1">
      <c r="A72" s="26">
        <v>46151.436111111114</v>
      </c>
      <c r="B72" s="83" t="s">
        <v>0</v>
      </c>
      <c r="C72" s="18">
        <v>125</v>
      </c>
      <c r="D72" s="18">
        <v>64157</v>
      </c>
      <c r="E72" s="17" t="s">
        <v>40</v>
      </c>
      <c r="F72" s="17" t="s">
        <v>29</v>
      </c>
      <c r="G72" s="17" t="s">
        <v>3</v>
      </c>
      <c r="H72" s="27" t="s">
        <v>18</v>
      </c>
      <c r="I72" s="110"/>
    </row>
    <row r="73" spans="1:9" s="19" customFormat="1" ht="31.5" customHeight="1">
      <c r="A73" s="26">
        <v>46151.436747685184</v>
      </c>
      <c r="B73" s="83" t="s">
        <v>0</v>
      </c>
      <c r="C73" s="18">
        <v>205</v>
      </c>
      <c r="D73" s="18">
        <v>66138</v>
      </c>
      <c r="E73" s="17" t="s">
        <v>37</v>
      </c>
      <c r="F73" s="17" t="s">
        <v>29</v>
      </c>
      <c r="G73" s="17" t="s">
        <v>3</v>
      </c>
      <c r="H73" s="27" t="s">
        <v>18</v>
      </c>
      <c r="I73" s="110"/>
    </row>
    <row r="74" spans="1:9" s="19" customFormat="1" ht="31.5" customHeight="1">
      <c r="A74" s="26">
        <v>46151.437638888892</v>
      </c>
      <c r="B74" s="83" t="s">
        <v>0</v>
      </c>
      <c r="C74" s="18">
        <v>125</v>
      </c>
      <c r="D74" s="18">
        <v>20604</v>
      </c>
      <c r="E74" s="17" t="s">
        <v>37</v>
      </c>
      <c r="F74" s="17"/>
      <c r="G74" s="17" t="s">
        <v>5</v>
      </c>
      <c r="H74" s="27" t="s">
        <v>18</v>
      </c>
      <c r="I74" s="110"/>
    </row>
    <row r="75" spans="1:9" s="19" customFormat="1" ht="31.5" customHeight="1">
      <c r="A75" s="26">
        <v>46151.439444444448</v>
      </c>
      <c r="B75" s="83" t="s">
        <v>0</v>
      </c>
      <c r="C75" s="18">
        <v>21</v>
      </c>
      <c r="D75" s="18">
        <v>47403</v>
      </c>
      <c r="E75" s="17" t="s">
        <v>24</v>
      </c>
      <c r="F75" s="17" t="s">
        <v>29</v>
      </c>
      <c r="G75" s="17" t="s">
        <v>2</v>
      </c>
      <c r="H75" s="27" t="s">
        <v>18</v>
      </c>
      <c r="I75" s="110"/>
    </row>
    <row r="76" spans="1:9" s="19" customFormat="1" ht="31.5" customHeight="1">
      <c r="A76" s="26">
        <v>46151.439699074072</v>
      </c>
      <c r="B76" s="83" t="s">
        <v>0</v>
      </c>
      <c r="C76" s="18">
        <v>21</v>
      </c>
      <c r="D76" s="18">
        <v>4130</v>
      </c>
      <c r="E76" s="17" t="s">
        <v>30</v>
      </c>
      <c r="F76" s="17" t="s">
        <v>29</v>
      </c>
      <c r="G76" s="17" t="s">
        <v>2</v>
      </c>
      <c r="H76" s="27" t="s">
        <v>18</v>
      </c>
      <c r="I76" s="110"/>
    </row>
    <row r="77" spans="1:9" s="19" customFormat="1" ht="31.5" customHeight="1">
      <c r="A77" s="26">
        <v>46151.440636574072</v>
      </c>
      <c r="B77" s="83" t="s">
        <v>0</v>
      </c>
      <c r="C77" s="18">
        <v>205</v>
      </c>
      <c r="D77" s="18">
        <v>63952</v>
      </c>
      <c r="E77" s="17" t="s">
        <v>40</v>
      </c>
      <c r="F77" s="17" t="s">
        <v>29</v>
      </c>
      <c r="G77" s="17" t="s">
        <v>3</v>
      </c>
      <c r="H77" s="27" t="s">
        <v>18</v>
      </c>
      <c r="I77" s="110"/>
    </row>
    <row r="78" spans="1:9" s="19" customFormat="1" ht="31.5" customHeight="1">
      <c r="A78" s="26">
        <v>46151.44090277778</v>
      </c>
      <c r="B78" s="83" t="s">
        <v>0</v>
      </c>
      <c r="C78" s="18">
        <v>605</v>
      </c>
      <c r="D78" s="18">
        <v>1802</v>
      </c>
      <c r="E78" s="17" t="s">
        <v>45</v>
      </c>
      <c r="F78" s="17" t="s">
        <v>32</v>
      </c>
      <c r="G78" s="17" t="s">
        <v>2</v>
      </c>
      <c r="H78" s="27" t="s">
        <v>18</v>
      </c>
      <c r="I78" s="110"/>
    </row>
    <row r="79" spans="1:9" s="19" customFormat="1" ht="31.5" customHeight="1">
      <c r="A79" s="26">
        <v>46151.441284722219</v>
      </c>
      <c r="B79" s="83" t="s">
        <v>0</v>
      </c>
      <c r="C79" s="18">
        <v>7</v>
      </c>
      <c r="D79" s="18">
        <v>27016</v>
      </c>
      <c r="E79" s="17" t="s">
        <v>46</v>
      </c>
      <c r="F79" s="17" t="s">
        <v>29</v>
      </c>
      <c r="G79" s="17" t="s">
        <v>4</v>
      </c>
      <c r="H79" s="27" t="s">
        <v>18</v>
      </c>
      <c r="I79" s="110"/>
    </row>
    <row r="80" spans="1:9" s="19" customFormat="1" ht="31.5" customHeight="1">
      <c r="A80" s="26">
        <v>46151.44158564815</v>
      </c>
      <c r="B80" s="83" t="s">
        <v>0</v>
      </c>
      <c r="C80" s="18">
        <v>10</v>
      </c>
      <c r="D80" s="18">
        <v>345</v>
      </c>
      <c r="E80" s="17" t="s">
        <v>68</v>
      </c>
      <c r="F80" s="17"/>
      <c r="G80" s="17" t="s">
        <v>60</v>
      </c>
      <c r="H80" s="27" t="s">
        <v>18</v>
      </c>
      <c r="I80" s="110"/>
    </row>
    <row r="81" spans="1:9" s="19" customFormat="1" ht="31.5" customHeight="1">
      <c r="A81" s="26">
        <v>46151.44189814815</v>
      </c>
      <c r="B81" s="83" t="s">
        <v>0</v>
      </c>
      <c r="C81" s="18">
        <v>8</v>
      </c>
      <c r="D81" s="18">
        <v>337</v>
      </c>
      <c r="E81" s="17" t="s">
        <v>68</v>
      </c>
      <c r="F81" s="17"/>
      <c r="G81" s="17" t="s">
        <v>60</v>
      </c>
      <c r="H81" s="27" t="s">
        <v>18</v>
      </c>
      <c r="I81" s="110"/>
    </row>
    <row r="82" spans="1:9" s="19" customFormat="1" ht="31.5" customHeight="1">
      <c r="A82" s="26">
        <v>46151.460949074077</v>
      </c>
      <c r="B82" s="83" t="s">
        <v>0</v>
      </c>
      <c r="C82" s="18">
        <v>8</v>
      </c>
      <c r="D82" s="18">
        <v>7723</v>
      </c>
      <c r="E82" s="17" t="s">
        <v>31</v>
      </c>
      <c r="F82" s="17" t="s">
        <v>29</v>
      </c>
      <c r="G82" s="17" t="s">
        <v>3</v>
      </c>
      <c r="H82" s="27" t="s">
        <v>18</v>
      </c>
      <c r="I82" s="110"/>
    </row>
    <row r="83" spans="1:9" s="19" customFormat="1" ht="31.5" customHeight="1">
      <c r="A83" s="26">
        <v>46151.4612037037</v>
      </c>
      <c r="B83" s="83" t="s">
        <v>0</v>
      </c>
      <c r="C83" s="18">
        <v>2</v>
      </c>
      <c r="D83" s="18">
        <v>2494</v>
      </c>
      <c r="E83" s="17" t="s">
        <v>24</v>
      </c>
      <c r="F83" s="17" t="s">
        <v>29</v>
      </c>
      <c r="G83" s="17" t="s">
        <v>3</v>
      </c>
      <c r="H83" s="27" t="s">
        <v>18</v>
      </c>
      <c r="I83" s="110"/>
    </row>
    <row r="84" spans="1:9" s="19" customFormat="1" ht="31.5" customHeight="1">
      <c r="A84" s="26">
        <v>46151.461550925924</v>
      </c>
      <c r="B84" s="83" t="s">
        <v>0</v>
      </c>
      <c r="C84" s="18">
        <v>13</v>
      </c>
      <c r="D84" s="18">
        <v>20591</v>
      </c>
      <c r="E84" s="17" t="s">
        <v>37</v>
      </c>
      <c r="F84" s="17"/>
      <c r="G84" s="17" t="s">
        <v>5</v>
      </c>
      <c r="H84" s="27" t="s">
        <v>18</v>
      </c>
      <c r="I84" s="110"/>
    </row>
    <row r="85" spans="1:9" s="19" customFormat="1" ht="31.5" customHeight="1">
      <c r="A85" s="26">
        <v>46151.461701388886</v>
      </c>
      <c r="B85" s="83" t="s">
        <v>0</v>
      </c>
      <c r="C85" s="18">
        <v>60</v>
      </c>
      <c r="D85" s="18">
        <v>5457</v>
      </c>
      <c r="E85" s="17" t="s">
        <v>59</v>
      </c>
      <c r="F85" s="17"/>
      <c r="G85" s="17" t="s">
        <v>5</v>
      </c>
      <c r="H85" s="27" t="s">
        <v>18</v>
      </c>
      <c r="I85" s="110"/>
    </row>
    <row r="86" spans="1:9" s="19" customFormat="1" ht="31.5" customHeight="1">
      <c r="A86" s="26">
        <v>46152.421284722222</v>
      </c>
      <c r="B86" s="83" t="s">
        <v>0</v>
      </c>
      <c r="C86" s="18">
        <v>9</v>
      </c>
      <c r="D86" s="18">
        <v>1445</v>
      </c>
      <c r="E86" s="17" t="s">
        <v>86</v>
      </c>
      <c r="F86" s="17"/>
      <c r="G86" s="17" t="s">
        <v>72</v>
      </c>
      <c r="H86" s="27" t="s">
        <v>79</v>
      </c>
      <c r="I86" s="73"/>
    </row>
    <row r="87" spans="1:9" s="19" customFormat="1" ht="31.5" customHeight="1">
      <c r="A87" s="26">
        <v>46152.421597222223</v>
      </c>
      <c r="B87" s="83" t="s">
        <v>0</v>
      </c>
      <c r="C87" s="18">
        <v>4</v>
      </c>
      <c r="D87" s="18">
        <v>1974</v>
      </c>
      <c r="E87" s="17" t="s">
        <v>87</v>
      </c>
      <c r="F87" s="17"/>
      <c r="G87" s="17" t="s">
        <v>78</v>
      </c>
      <c r="H87" s="27" t="s">
        <v>79</v>
      </c>
      <c r="I87" s="73"/>
    </row>
    <row r="88" spans="1:9" s="19" customFormat="1" ht="31.5" customHeight="1">
      <c r="A88" s="26">
        <v>46152.437858796293</v>
      </c>
      <c r="B88" s="83" t="s">
        <v>0</v>
      </c>
      <c r="C88" s="18">
        <v>2825</v>
      </c>
      <c r="D88" s="18">
        <v>44158</v>
      </c>
      <c r="E88" s="17" t="s">
        <v>28</v>
      </c>
      <c r="F88" s="17" t="s">
        <v>29</v>
      </c>
      <c r="G88" s="17" t="s">
        <v>3</v>
      </c>
      <c r="H88" s="27" t="s">
        <v>18</v>
      </c>
      <c r="I88" s="73"/>
    </row>
    <row r="89" spans="1:9" s="19" customFormat="1" ht="31.5" customHeight="1">
      <c r="A89" s="26">
        <v>46152.438206018516</v>
      </c>
      <c r="B89" s="83" t="s">
        <v>0</v>
      </c>
      <c r="C89" s="18">
        <v>285</v>
      </c>
      <c r="D89" s="18">
        <v>8095</v>
      </c>
      <c r="E89" s="17" t="s">
        <v>36</v>
      </c>
      <c r="F89" s="17" t="s">
        <v>29</v>
      </c>
      <c r="G89" s="17" t="s">
        <v>3</v>
      </c>
      <c r="H89" s="27" t="s">
        <v>18</v>
      </c>
      <c r="I89" s="73"/>
    </row>
    <row r="90" spans="1:9" s="19" customFormat="1" ht="31.5" customHeight="1">
      <c r="A90" s="26">
        <v>46152.438622685186</v>
      </c>
      <c r="B90" s="83" t="s">
        <v>0</v>
      </c>
      <c r="C90" s="18">
        <v>855</v>
      </c>
      <c r="D90" s="18">
        <v>65283</v>
      </c>
      <c r="E90" s="17" t="s">
        <v>37</v>
      </c>
      <c r="F90" s="17" t="s">
        <v>29</v>
      </c>
      <c r="G90" s="17" t="s">
        <v>3</v>
      </c>
      <c r="H90" s="27" t="s">
        <v>18</v>
      </c>
      <c r="I90" s="73"/>
    </row>
    <row r="91" spans="1:9" s="19" customFormat="1" ht="31.5" customHeight="1">
      <c r="A91" s="26">
        <v>46152.439016203702</v>
      </c>
      <c r="B91" s="83" t="s">
        <v>0</v>
      </c>
      <c r="C91" s="18">
        <v>105</v>
      </c>
      <c r="D91" s="18">
        <v>384</v>
      </c>
      <c r="E91" s="17" t="s">
        <v>39</v>
      </c>
      <c r="F91" s="17" t="s">
        <v>29</v>
      </c>
      <c r="G91" s="17" t="s">
        <v>3</v>
      </c>
      <c r="H91" s="27" t="s">
        <v>18</v>
      </c>
      <c r="I91" s="73"/>
    </row>
    <row r="92" spans="1:9" s="19" customFormat="1" ht="31.5" customHeight="1">
      <c r="A92" s="26">
        <v>46152.439247685186</v>
      </c>
      <c r="B92" s="83" t="s">
        <v>0</v>
      </c>
      <c r="C92" s="18">
        <v>45</v>
      </c>
      <c r="D92" s="18">
        <v>6146</v>
      </c>
      <c r="E92" s="17" t="s">
        <v>38</v>
      </c>
      <c r="F92" s="17" t="s">
        <v>29</v>
      </c>
      <c r="G92" s="17" t="s">
        <v>3</v>
      </c>
      <c r="H92" s="27" t="s">
        <v>18</v>
      </c>
      <c r="I92" s="73"/>
    </row>
    <row r="93" spans="1:9" s="19" customFormat="1" ht="31.5" customHeight="1">
      <c r="A93" s="26">
        <v>46152.441747685189</v>
      </c>
      <c r="B93" s="83" t="s">
        <v>0</v>
      </c>
      <c r="C93" s="18">
        <v>245</v>
      </c>
      <c r="D93" s="18">
        <v>32111</v>
      </c>
      <c r="E93" s="17" t="s">
        <v>28</v>
      </c>
      <c r="F93" s="17" t="s">
        <v>29</v>
      </c>
      <c r="G93" s="17" t="s">
        <v>2</v>
      </c>
      <c r="H93" s="27" t="s">
        <v>18</v>
      </c>
      <c r="I93" s="73"/>
    </row>
    <row r="94" spans="1:9" s="19" customFormat="1" ht="31.5" customHeight="1">
      <c r="A94" s="115">
        <v>46152.63521990741</v>
      </c>
      <c r="B94" s="83" t="s">
        <v>0</v>
      </c>
      <c r="C94" s="18">
        <v>15</v>
      </c>
      <c r="D94" s="18">
        <v>322</v>
      </c>
      <c r="E94" s="17" t="s">
        <v>68</v>
      </c>
      <c r="F94" s="17"/>
      <c r="G94" s="17" t="s">
        <v>60</v>
      </c>
      <c r="H94" s="17" t="s">
        <v>18</v>
      </c>
      <c r="I94" s="73"/>
    </row>
    <row r="95" spans="1:9" s="19" customFormat="1" ht="31.5" customHeight="1">
      <c r="A95" s="115">
        <v>46153.340949074074</v>
      </c>
      <c r="B95" s="83" t="s">
        <v>0</v>
      </c>
      <c r="C95" s="18">
        <v>1</v>
      </c>
      <c r="D95" s="18">
        <v>1444</v>
      </c>
      <c r="E95" s="17" t="s">
        <v>86</v>
      </c>
      <c r="F95" s="17"/>
      <c r="G95" s="17" t="s">
        <v>72</v>
      </c>
      <c r="H95" s="17" t="s">
        <v>79</v>
      </c>
      <c r="I95" s="73"/>
    </row>
    <row r="96" spans="1:9" s="19" customFormat="1" ht="31.5" customHeight="1">
      <c r="A96" s="115">
        <v>46153.341099537036</v>
      </c>
      <c r="B96" s="83" t="s">
        <v>0</v>
      </c>
      <c r="C96" s="18">
        <v>1</v>
      </c>
      <c r="D96" s="18">
        <v>1973</v>
      </c>
      <c r="E96" s="17" t="s">
        <v>87</v>
      </c>
      <c r="F96" s="17"/>
      <c r="G96" s="17" t="s">
        <v>78</v>
      </c>
      <c r="H96" s="17" t="s">
        <v>79</v>
      </c>
      <c r="I96" s="73"/>
    </row>
    <row r="97" spans="1:9" s="19" customFormat="1" ht="31.5" customHeight="1">
      <c r="A97" s="115">
        <v>46153.397465277776</v>
      </c>
      <c r="B97" s="83" t="s">
        <v>0</v>
      </c>
      <c r="C97" s="18">
        <v>10</v>
      </c>
      <c r="D97" s="18">
        <v>312</v>
      </c>
      <c r="E97" s="17" t="s">
        <v>68</v>
      </c>
      <c r="F97" s="17"/>
      <c r="G97" s="17" t="s">
        <v>60</v>
      </c>
      <c r="H97" s="17" t="s">
        <v>18</v>
      </c>
      <c r="I97" s="73"/>
    </row>
    <row r="98" spans="1:9" s="19" customFormat="1" ht="31.5" customHeight="1">
      <c r="A98" s="115">
        <v>46153.408310185187</v>
      </c>
      <c r="B98" s="83" t="s">
        <v>0</v>
      </c>
      <c r="C98" s="18">
        <v>485</v>
      </c>
      <c r="D98" s="18">
        <v>43673</v>
      </c>
      <c r="E98" s="17" t="s">
        <v>28</v>
      </c>
      <c r="F98" s="17" t="s">
        <v>29</v>
      </c>
      <c r="G98" s="17" t="s">
        <v>3</v>
      </c>
      <c r="H98" s="17" t="s">
        <v>18</v>
      </c>
      <c r="I98" s="73"/>
    </row>
    <row r="99" spans="1:9" s="19" customFormat="1" ht="31.5" customHeight="1">
      <c r="A99" s="115">
        <v>46153.408668981479</v>
      </c>
      <c r="B99" s="83" t="s">
        <v>0</v>
      </c>
      <c r="C99" s="18">
        <v>325</v>
      </c>
      <c r="D99" s="18">
        <v>2169</v>
      </c>
      <c r="E99" s="17" t="s">
        <v>24</v>
      </c>
      <c r="F99" s="17" t="s">
        <v>29</v>
      </c>
      <c r="G99" s="17" t="s">
        <v>3</v>
      </c>
      <c r="H99" s="17" t="s">
        <v>18</v>
      </c>
      <c r="I99" s="73"/>
    </row>
    <row r="100" spans="1:9" s="19" customFormat="1" ht="31.5" customHeight="1">
      <c r="A100" s="115">
        <v>46153.41</v>
      </c>
      <c r="B100" s="83" t="s">
        <v>0</v>
      </c>
      <c r="C100" s="18">
        <v>66</v>
      </c>
      <c r="D100" s="18">
        <v>5450</v>
      </c>
      <c r="E100" s="17" t="s">
        <v>42</v>
      </c>
      <c r="F100" s="17" t="s">
        <v>29</v>
      </c>
      <c r="G100" s="17" t="s">
        <v>5</v>
      </c>
      <c r="H100" s="17" t="s">
        <v>18</v>
      </c>
      <c r="I100" s="73"/>
    </row>
    <row r="101" spans="1:9" ht="40.5" customHeight="1">
      <c r="A101" s="115">
        <v>46153.410243055558</v>
      </c>
      <c r="B101" s="83" t="s">
        <v>0</v>
      </c>
      <c r="C101" s="18">
        <v>85</v>
      </c>
      <c r="D101" s="18">
        <v>4668</v>
      </c>
      <c r="E101" s="17" t="s">
        <v>36</v>
      </c>
      <c r="F101" s="17" t="s">
        <v>29</v>
      </c>
      <c r="G101" s="17" t="s">
        <v>2</v>
      </c>
      <c r="H101" s="17" t="s">
        <v>18</v>
      </c>
    </row>
    <row r="102" spans="1:9" ht="40.5" customHeight="1">
      <c r="A102" s="115">
        <v>46153.410474537035</v>
      </c>
      <c r="B102" s="83" t="s">
        <v>0</v>
      </c>
      <c r="C102" s="18">
        <v>80</v>
      </c>
      <c r="D102" s="18">
        <v>6865</v>
      </c>
      <c r="E102" s="17" t="s">
        <v>24</v>
      </c>
      <c r="F102" s="17" t="s">
        <v>29</v>
      </c>
      <c r="G102" s="17" t="s">
        <v>5</v>
      </c>
      <c r="H102" s="17" t="s">
        <v>18</v>
      </c>
    </row>
    <row r="103" spans="1:9" ht="40.5" customHeight="1">
      <c r="A103" s="115">
        <v>46153.423252314817</v>
      </c>
      <c r="B103" s="83" t="s">
        <v>0</v>
      </c>
      <c r="C103" s="18">
        <v>6</v>
      </c>
      <c r="D103" s="18">
        <v>306</v>
      </c>
      <c r="E103" s="17" t="s">
        <v>68</v>
      </c>
      <c r="F103" s="17"/>
      <c r="G103" s="17" t="s">
        <v>60</v>
      </c>
      <c r="H103" s="17" t="s">
        <v>18</v>
      </c>
    </row>
    <row r="104" spans="1:9" ht="40.5" customHeight="1">
      <c r="A104" s="115">
        <v>46153.569953703707</v>
      </c>
      <c r="B104" s="83" t="s">
        <v>0</v>
      </c>
      <c r="C104" s="18">
        <v>28</v>
      </c>
      <c r="D104" s="18">
        <v>5429</v>
      </c>
      <c r="E104" s="17" t="s">
        <v>59</v>
      </c>
      <c r="F104" s="17"/>
      <c r="G104" s="17" t="s">
        <v>5</v>
      </c>
      <c r="H104" s="17" t="s">
        <v>18</v>
      </c>
    </row>
    <row r="105" spans="1:9" ht="40.5" customHeight="1">
      <c r="A105" s="115">
        <v>46153.570289351854</v>
      </c>
      <c r="B105" s="83" t="s">
        <v>0</v>
      </c>
      <c r="C105" s="18">
        <v>45</v>
      </c>
      <c r="D105" s="18">
        <v>47358</v>
      </c>
      <c r="E105" s="17" t="s">
        <v>24</v>
      </c>
      <c r="F105" s="17" t="s">
        <v>29</v>
      </c>
      <c r="G105" s="17" t="s">
        <v>2</v>
      </c>
      <c r="H105" s="17" t="s">
        <v>18</v>
      </c>
    </row>
    <row r="106" spans="1:9" ht="40.5" customHeight="1">
      <c r="A106" s="115">
        <v>46153.570625</v>
      </c>
      <c r="B106" s="30" t="s">
        <v>0</v>
      </c>
      <c r="C106" s="18">
        <v>450</v>
      </c>
      <c r="D106" s="18">
        <v>3680</v>
      </c>
      <c r="E106" s="17" t="s">
        <v>30</v>
      </c>
      <c r="F106" s="17" t="s">
        <v>29</v>
      </c>
      <c r="G106" s="17" t="s">
        <v>2</v>
      </c>
      <c r="H106" s="17" t="s">
        <v>18</v>
      </c>
    </row>
    <row r="107" spans="1:9" ht="40.5" customHeight="1">
      <c r="A107" s="115">
        <v>46153.570821759262</v>
      </c>
      <c r="B107" s="83" t="s">
        <v>0</v>
      </c>
      <c r="C107" s="18">
        <v>405</v>
      </c>
      <c r="D107" s="18">
        <v>1397</v>
      </c>
      <c r="E107" s="17" t="s">
        <v>45</v>
      </c>
      <c r="F107" s="17" t="s">
        <v>32</v>
      </c>
      <c r="G107" s="17" t="s">
        <v>2</v>
      </c>
      <c r="H107" s="17" t="s">
        <v>18</v>
      </c>
    </row>
    <row r="108" spans="1:9" ht="40.5" customHeight="1">
      <c r="A108" s="115">
        <v>46153.606249999997</v>
      </c>
      <c r="B108" s="83" t="s">
        <v>0</v>
      </c>
      <c r="C108" s="18">
        <v>5</v>
      </c>
      <c r="D108" s="18">
        <v>43668</v>
      </c>
      <c r="E108" s="17" t="s">
        <v>28</v>
      </c>
      <c r="F108" s="17" t="s">
        <v>29</v>
      </c>
      <c r="G108" s="17" t="s">
        <v>3</v>
      </c>
      <c r="H108" s="17" t="s">
        <v>18</v>
      </c>
    </row>
    <row r="109" spans="1:9" ht="40.5" customHeight="1">
      <c r="A109" s="115">
        <v>46153.61041666667</v>
      </c>
      <c r="B109" s="83" t="s">
        <v>0</v>
      </c>
      <c r="C109" s="18">
        <v>2</v>
      </c>
      <c r="D109" s="18">
        <v>1442</v>
      </c>
      <c r="E109" s="17" t="s">
        <v>86</v>
      </c>
      <c r="F109" s="17" t="s">
        <v>83</v>
      </c>
      <c r="G109" s="17" t="s">
        <v>72</v>
      </c>
      <c r="H109" s="17" t="s">
        <v>79</v>
      </c>
    </row>
    <row r="110" spans="1:9" ht="40.5" customHeight="1">
      <c r="A110" s="115">
        <v>46153.610717592594</v>
      </c>
      <c r="B110" s="83" t="s">
        <v>0</v>
      </c>
      <c r="C110" s="18">
        <v>1</v>
      </c>
      <c r="D110" s="18">
        <v>1972</v>
      </c>
      <c r="E110" s="17" t="s">
        <v>87</v>
      </c>
      <c r="F110" s="17" t="s">
        <v>76</v>
      </c>
      <c r="G110" s="17" t="s">
        <v>78</v>
      </c>
      <c r="H110" s="17" t="s">
        <v>79</v>
      </c>
    </row>
    <row r="111" spans="1:9" ht="40.5" customHeight="1">
      <c r="A111" s="115">
        <v>46153.614652777775</v>
      </c>
      <c r="B111" s="83" t="s">
        <v>0</v>
      </c>
      <c r="C111" s="18">
        <v>1</v>
      </c>
      <c r="D111" s="18">
        <v>1441</v>
      </c>
      <c r="E111" s="17" t="s">
        <v>86</v>
      </c>
      <c r="F111" s="17" t="s">
        <v>83</v>
      </c>
      <c r="G111" s="17" t="s">
        <v>72</v>
      </c>
      <c r="H111" s="17" t="s">
        <v>79</v>
      </c>
    </row>
    <row r="112" spans="1:9" ht="40.5" customHeight="1">
      <c r="A112" s="115">
        <v>46153.637013888889</v>
      </c>
      <c r="B112" s="83" t="s">
        <v>0</v>
      </c>
      <c r="C112" s="18">
        <v>1</v>
      </c>
      <c r="D112" s="18">
        <v>1440</v>
      </c>
      <c r="E112" s="17" t="s">
        <v>86</v>
      </c>
      <c r="F112" s="17" t="s">
        <v>83</v>
      </c>
      <c r="G112" s="17" t="s">
        <v>72</v>
      </c>
      <c r="H112" s="17" t="s">
        <v>79</v>
      </c>
    </row>
    <row r="113" spans="1:8" ht="40.5" customHeight="1">
      <c r="A113" s="115">
        <v>46155.347534722219</v>
      </c>
      <c r="B113" s="83" t="s">
        <v>0</v>
      </c>
      <c r="C113" s="18">
        <v>5</v>
      </c>
      <c r="D113" s="18">
        <v>301</v>
      </c>
      <c r="E113" s="17" t="s">
        <v>68</v>
      </c>
      <c r="F113" s="17"/>
      <c r="G113" s="17" t="s">
        <v>60</v>
      </c>
      <c r="H113" s="17" t="s">
        <v>18</v>
      </c>
    </row>
    <row r="114" spans="1:8" ht="40.5" customHeight="1">
      <c r="A114" s="147">
        <v>46155.347824074073</v>
      </c>
      <c r="B114" s="31" t="s">
        <v>0</v>
      </c>
      <c r="C114" s="72">
        <v>9</v>
      </c>
      <c r="D114" s="72">
        <v>292</v>
      </c>
      <c r="E114" t="s">
        <v>68</v>
      </c>
      <c r="G114" t="s">
        <v>60</v>
      </c>
      <c r="H114" s="29" t="s">
        <v>18</v>
      </c>
    </row>
    <row r="115" spans="1:8" ht="40.5" customHeight="1">
      <c r="A115" s="147">
        <v>46155.350671296299</v>
      </c>
      <c r="B115" s="31" t="s">
        <v>0</v>
      </c>
      <c r="C115" s="72">
        <v>405</v>
      </c>
      <c r="D115" s="72">
        <v>7690</v>
      </c>
      <c r="E115" t="s">
        <v>36</v>
      </c>
      <c r="F115" t="s">
        <v>29</v>
      </c>
      <c r="G115" t="s">
        <v>3</v>
      </c>
      <c r="H115" s="29" t="s">
        <v>18</v>
      </c>
    </row>
    <row r="116" spans="1:8" ht="40.5" customHeight="1">
      <c r="A116" s="147">
        <v>46155.351006944446</v>
      </c>
      <c r="B116" s="31" t="s">
        <v>0</v>
      </c>
      <c r="C116" s="72">
        <v>605</v>
      </c>
      <c r="D116" s="72">
        <v>1564</v>
      </c>
      <c r="E116" t="s">
        <v>24</v>
      </c>
      <c r="F116" t="s">
        <v>29</v>
      </c>
      <c r="G116" t="s">
        <v>3</v>
      </c>
      <c r="H116" s="29" t="s">
        <v>18</v>
      </c>
    </row>
    <row r="117" spans="1:8" ht="40.5" customHeight="1">
      <c r="A117" s="147">
        <v>46155.3512962963</v>
      </c>
      <c r="B117" s="31" t="s">
        <v>0</v>
      </c>
      <c r="C117" s="72">
        <v>5</v>
      </c>
      <c r="D117" s="72">
        <v>43663</v>
      </c>
      <c r="E117" t="s">
        <v>28</v>
      </c>
      <c r="F117" t="s">
        <v>29</v>
      </c>
      <c r="G117" t="s">
        <v>3</v>
      </c>
      <c r="H117" s="29" t="s">
        <v>18</v>
      </c>
    </row>
    <row r="118" spans="1:8" ht="40.5" customHeight="1">
      <c r="A118" s="147">
        <v>46155.351574074077</v>
      </c>
      <c r="B118" s="31" t="s">
        <v>0</v>
      </c>
      <c r="C118" s="72">
        <v>5</v>
      </c>
      <c r="D118" s="72">
        <v>6860</v>
      </c>
      <c r="E118" t="s">
        <v>24</v>
      </c>
      <c r="F118" t="s">
        <v>29</v>
      </c>
      <c r="G118" t="s">
        <v>5</v>
      </c>
      <c r="H118" s="29" t="s">
        <v>18</v>
      </c>
    </row>
    <row r="119" spans="1:8" ht="40.5" customHeight="1">
      <c r="A119" s="147">
        <v>46155.352129629631</v>
      </c>
      <c r="B119" s="31" t="s">
        <v>0</v>
      </c>
      <c r="C119" s="72">
        <v>165</v>
      </c>
      <c r="D119" s="72">
        <v>63787</v>
      </c>
      <c r="E119" t="s">
        <v>40</v>
      </c>
      <c r="F119" t="s">
        <v>29</v>
      </c>
      <c r="G119" t="s">
        <v>3</v>
      </c>
      <c r="H119" s="29" t="s">
        <v>18</v>
      </c>
    </row>
    <row r="120" spans="1:8" ht="40.5" customHeight="1">
      <c r="A120" s="147">
        <v>46155.352835648147</v>
      </c>
      <c r="B120" s="31" t="s">
        <v>0</v>
      </c>
      <c r="C120" s="72">
        <v>125</v>
      </c>
      <c r="D120" s="72">
        <v>7466</v>
      </c>
      <c r="E120" t="s">
        <v>56</v>
      </c>
      <c r="F120" t="s">
        <v>57</v>
      </c>
      <c r="G120" t="s">
        <v>5</v>
      </c>
      <c r="H120" s="29" t="s">
        <v>18</v>
      </c>
    </row>
    <row r="121" spans="1:8" ht="40.5" customHeight="1">
      <c r="A121" s="147">
        <v>46155.353518518517</v>
      </c>
      <c r="B121" s="31" t="s">
        <v>0</v>
      </c>
      <c r="C121" s="72">
        <v>205</v>
      </c>
      <c r="D121" s="72">
        <v>63582</v>
      </c>
      <c r="E121" t="s">
        <v>40</v>
      </c>
      <c r="F121" t="s">
        <v>29</v>
      </c>
      <c r="G121" t="s">
        <v>3</v>
      </c>
      <c r="H121" s="29" t="s">
        <v>18</v>
      </c>
    </row>
    <row r="122" spans="1:8" ht="40.5" customHeight="1">
      <c r="A122" s="147">
        <v>46155.353703703702</v>
      </c>
      <c r="B122" s="31" t="s">
        <v>0</v>
      </c>
      <c r="C122" s="72">
        <v>245</v>
      </c>
      <c r="D122" s="72">
        <v>43418</v>
      </c>
      <c r="E122" t="s">
        <v>28</v>
      </c>
      <c r="F122" t="s">
        <v>29</v>
      </c>
      <c r="G122" t="s">
        <v>3</v>
      </c>
      <c r="H122" s="29" t="s">
        <v>18</v>
      </c>
    </row>
    <row r="123" spans="1:8" ht="40.5" customHeight="1">
      <c r="A123" s="147">
        <v>46155.353877314818</v>
      </c>
      <c r="B123" s="31" t="s">
        <v>0</v>
      </c>
      <c r="C123" s="72">
        <v>45</v>
      </c>
      <c r="D123" s="72">
        <v>339</v>
      </c>
      <c r="E123" t="s">
        <v>39</v>
      </c>
      <c r="F123" t="s">
        <v>29</v>
      </c>
      <c r="G123" t="s">
        <v>3</v>
      </c>
      <c r="H123" s="29" t="s">
        <v>18</v>
      </c>
    </row>
    <row r="124" spans="1:8" ht="40.5" customHeight="1">
      <c r="A124" s="147">
        <v>46155.354409722226</v>
      </c>
      <c r="B124" s="31" t="s">
        <v>0</v>
      </c>
      <c r="C124" s="72">
        <v>205</v>
      </c>
      <c r="D124" s="72">
        <v>65078</v>
      </c>
      <c r="E124" t="s">
        <v>37</v>
      </c>
      <c r="F124" t="s">
        <v>29</v>
      </c>
      <c r="G124" t="s">
        <v>3</v>
      </c>
      <c r="H124" s="29" t="s">
        <v>18</v>
      </c>
    </row>
    <row r="125" spans="1:8" ht="40.5" customHeight="1">
      <c r="A125" s="147">
        <v>46155.355173611111</v>
      </c>
      <c r="B125" s="31" t="s">
        <v>0</v>
      </c>
      <c r="C125" s="72">
        <v>85</v>
      </c>
      <c r="D125" s="72">
        <v>20506</v>
      </c>
      <c r="E125" t="s">
        <v>37</v>
      </c>
      <c r="F125" t="s">
        <v>29</v>
      </c>
      <c r="G125" t="s">
        <v>5</v>
      </c>
      <c r="H125" s="29" t="s">
        <v>18</v>
      </c>
    </row>
    <row r="126" spans="1:8" ht="40.5" customHeight="1">
      <c r="A126" s="147">
        <v>46155.356226851851</v>
      </c>
      <c r="B126" s="31" t="s">
        <v>0</v>
      </c>
      <c r="C126" s="72">
        <v>2</v>
      </c>
      <c r="D126" s="72">
        <v>1438</v>
      </c>
      <c r="E126" t="s">
        <v>86</v>
      </c>
      <c r="F126" t="s">
        <v>83</v>
      </c>
      <c r="G126" t="s">
        <v>72</v>
      </c>
      <c r="H126" s="29" t="s">
        <v>79</v>
      </c>
    </row>
    <row r="127" spans="1:8" ht="40.5" customHeight="1">
      <c r="A127" s="147">
        <v>46155.356388888889</v>
      </c>
      <c r="B127" s="31" t="s">
        <v>0</v>
      </c>
      <c r="C127" s="72">
        <v>1</v>
      </c>
      <c r="D127" s="72">
        <v>1971</v>
      </c>
      <c r="E127" t="s">
        <v>87</v>
      </c>
      <c r="F127" t="s">
        <v>76</v>
      </c>
      <c r="G127" t="s">
        <v>78</v>
      </c>
      <c r="H127" s="29" t="s">
        <v>79</v>
      </c>
    </row>
    <row r="128" spans="1:8" ht="40.5" customHeight="1">
      <c r="A128" s="147">
        <v>46155.511921296296</v>
      </c>
      <c r="B128" s="31" t="s">
        <v>0</v>
      </c>
      <c r="C128" s="72">
        <v>3</v>
      </c>
      <c r="D128" s="72">
        <v>6857</v>
      </c>
      <c r="E128" t="s">
        <v>24</v>
      </c>
      <c r="F128" t="s">
        <v>29</v>
      </c>
      <c r="G128" t="s">
        <v>5</v>
      </c>
      <c r="H128" s="29" t="s">
        <v>18</v>
      </c>
    </row>
    <row r="129" spans="1:8" ht="40.5" customHeight="1">
      <c r="A129" s="147">
        <v>46155.58048611111</v>
      </c>
      <c r="B129" s="31" t="s">
        <v>0</v>
      </c>
      <c r="C129" s="72">
        <v>12</v>
      </c>
      <c r="D129" s="72">
        <v>5417</v>
      </c>
      <c r="E129" t="s">
        <v>59</v>
      </c>
    </row>
    <row r="130" spans="1:8" ht="40.5" customHeight="1">
      <c r="A130" s="147">
        <v>46155.713043981479</v>
      </c>
      <c r="B130" s="31" t="s">
        <v>0</v>
      </c>
      <c r="C130" s="72">
        <v>85</v>
      </c>
      <c r="D130" s="72">
        <v>6061</v>
      </c>
      <c r="E130" t="s">
        <v>38</v>
      </c>
      <c r="F130" t="s">
        <v>29</v>
      </c>
      <c r="G130" t="s">
        <v>3</v>
      </c>
      <c r="H130" s="29" t="s">
        <v>18</v>
      </c>
    </row>
    <row r="131" spans="1:8" ht="40.5" customHeight="1">
      <c r="A131" s="147">
        <v>46155.71366898148</v>
      </c>
      <c r="B131" s="31" t="s">
        <v>0</v>
      </c>
      <c r="C131" s="72">
        <v>965</v>
      </c>
      <c r="D131" s="72">
        <v>62617</v>
      </c>
      <c r="E131" t="s">
        <v>40</v>
      </c>
      <c r="F131" t="s">
        <v>29</v>
      </c>
      <c r="G131" t="s">
        <v>3</v>
      </c>
      <c r="H131" s="29" t="s">
        <v>18</v>
      </c>
    </row>
    <row r="132" spans="1:8" ht="40.5" customHeight="1">
      <c r="A132" s="147">
        <v>46155.713900462964</v>
      </c>
      <c r="B132" s="31" t="s">
        <v>0</v>
      </c>
      <c r="C132" s="72">
        <v>205</v>
      </c>
      <c r="D132" s="72">
        <v>7812</v>
      </c>
      <c r="E132" t="s">
        <v>41</v>
      </c>
      <c r="F132" t="s">
        <v>29</v>
      </c>
      <c r="G132" t="s">
        <v>3</v>
      </c>
      <c r="H132" s="29" t="s">
        <v>18</v>
      </c>
    </row>
    <row r="133" spans="1:8" ht="40.5" customHeight="1">
      <c r="A133" s="147">
        <v>46155.714375000003</v>
      </c>
      <c r="B133" s="31" t="s">
        <v>0</v>
      </c>
      <c r="C133" s="72">
        <v>24</v>
      </c>
      <c r="D133" s="72">
        <v>5393</v>
      </c>
      <c r="E133" t="s">
        <v>59</v>
      </c>
      <c r="G133" t="s">
        <v>5</v>
      </c>
      <c r="H133" s="29" t="s">
        <v>18</v>
      </c>
    </row>
    <row r="134" spans="1:8" ht="40.5" customHeight="1">
      <c r="A134" s="147">
        <v>46155.714733796296</v>
      </c>
      <c r="B134" s="31" t="s">
        <v>0</v>
      </c>
      <c r="C134" s="72">
        <v>85</v>
      </c>
      <c r="D134" s="72">
        <v>20421</v>
      </c>
      <c r="E134" t="s">
        <v>37</v>
      </c>
      <c r="F134" t="s">
        <v>29</v>
      </c>
      <c r="G134" t="s">
        <v>5</v>
      </c>
      <c r="H134" s="29" t="s">
        <v>18</v>
      </c>
    </row>
    <row r="135" spans="1:8" ht="40.5" customHeight="1">
      <c r="A135" s="147">
        <v>46155.714999999997</v>
      </c>
      <c r="B135" s="31" t="s">
        <v>0</v>
      </c>
      <c r="C135" s="72">
        <v>245</v>
      </c>
      <c r="D135" s="72">
        <v>6612</v>
      </c>
      <c r="E135" t="s">
        <v>24</v>
      </c>
      <c r="F135" t="s">
        <v>29</v>
      </c>
      <c r="G135" t="s">
        <v>5</v>
      </c>
      <c r="H135" s="29" t="s">
        <v>18</v>
      </c>
    </row>
    <row r="136" spans="1:8" ht="40.5" customHeight="1">
      <c r="A136" s="147">
        <v>46155.715416666666</v>
      </c>
      <c r="B136" s="31" t="s">
        <v>0</v>
      </c>
      <c r="C136" s="72">
        <v>45</v>
      </c>
      <c r="D136" s="72">
        <v>5405</v>
      </c>
      <c r="E136" t="s">
        <v>42</v>
      </c>
      <c r="G136" t="s">
        <v>5</v>
      </c>
      <c r="H136" s="29" t="s">
        <v>18</v>
      </c>
    </row>
    <row r="137" spans="1:8" ht="40.5" customHeight="1">
      <c r="A137" s="147">
        <v>46155.715729166666</v>
      </c>
    </row>
    <row r="138" spans="1:8" ht="40.5" customHeight="1">
      <c r="A138" s="147">
        <v>46155.715995370374</v>
      </c>
    </row>
    <row r="139" spans="1:8" ht="40.5" customHeight="1">
      <c r="A139" s="147">
        <v>46155.716307870367</v>
      </c>
    </row>
    <row r="140" spans="1:8" ht="40.5" customHeight="1">
      <c r="A140" s="147">
        <v>46155.716886574075</v>
      </c>
      <c r="B140" s="31" t="s">
        <v>0</v>
      </c>
      <c r="C140" s="72">
        <v>205</v>
      </c>
      <c r="D140" s="72">
        <v>62412</v>
      </c>
      <c r="E140" t="s">
        <v>40</v>
      </c>
      <c r="F140" t="s">
        <v>29</v>
      </c>
      <c r="G140" t="s">
        <v>3</v>
      </c>
      <c r="H140" s="29" t="s">
        <v>18</v>
      </c>
    </row>
    <row r="141" spans="1:8" ht="40.5" customHeight="1">
      <c r="A141" s="147">
        <v>46155.717037037037</v>
      </c>
      <c r="B141" s="31" t="s">
        <v>0</v>
      </c>
      <c r="C141" s="72">
        <v>1605</v>
      </c>
      <c r="D141" s="72">
        <v>63473</v>
      </c>
      <c r="E141" t="s">
        <v>37</v>
      </c>
      <c r="F141" t="s">
        <v>29</v>
      </c>
      <c r="G141" t="s">
        <v>3</v>
      </c>
      <c r="H141" s="29" t="s">
        <v>18</v>
      </c>
    </row>
    <row r="142" spans="1:8" ht="40.5" customHeight="1">
      <c r="A142" s="147">
        <v>46155.717222222222</v>
      </c>
      <c r="B142" s="31" t="s">
        <v>0</v>
      </c>
      <c r="C142" s="72">
        <v>205</v>
      </c>
      <c r="D142" s="72">
        <v>7485</v>
      </c>
      <c r="E142" t="s">
        <v>36</v>
      </c>
      <c r="F142" t="s">
        <v>29</v>
      </c>
      <c r="G142" t="s">
        <v>3</v>
      </c>
      <c r="H142" s="29" t="s">
        <v>18</v>
      </c>
    </row>
    <row r="143" spans="1:8" ht="40.5" customHeight="1">
      <c r="A143" s="147"/>
    </row>
    <row r="144" spans="1:8" ht="40.5" customHeight="1">
      <c r="A144" s="147">
        <v>46158.364641203705</v>
      </c>
      <c r="B144" s="31" t="s">
        <v>0</v>
      </c>
      <c r="C144" s="72">
        <v>12</v>
      </c>
      <c r="D144" s="72">
        <v>5381</v>
      </c>
      <c r="E144" t="s">
        <v>59</v>
      </c>
      <c r="G144" t="s">
        <v>5</v>
      </c>
      <c r="H144" s="29" t="s">
        <v>18</v>
      </c>
    </row>
    <row r="145" spans="1:8" ht="40.5" customHeight="1">
      <c r="A145" s="147">
        <v>46158.365231481483</v>
      </c>
      <c r="B145" s="31" t="s">
        <v>0</v>
      </c>
      <c r="C145" s="72">
        <v>15</v>
      </c>
      <c r="D145" s="72">
        <v>5366</v>
      </c>
      <c r="E145" t="s">
        <v>59</v>
      </c>
      <c r="G145" t="s">
        <v>5</v>
      </c>
      <c r="H145" s="29" t="s">
        <v>18</v>
      </c>
    </row>
    <row r="146" spans="1:8" ht="40.5" customHeight="1">
      <c r="A146" s="147">
        <v>46158.36681712963</v>
      </c>
      <c r="B146" s="31" t="s">
        <v>0</v>
      </c>
      <c r="C146" s="72">
        <v>76</v>
      </c>
      <c r="D146" s="72">
        <v>43342</v>
      </c>
      <c r="E146" t="s">
        <v>28</v>
      </c>
      <c r="F146" t="s">
        <v>29</v>
      </c>
      <c r="G146" t="s">
        <v>3</v>
      </c>
      <c r="H146" s="29" t="s">
        <v>18</v>
      </c>
    </row>
    <row r="147" spans="1:8" ht="40.5" customHeight="1">
      <c r="A147" s="147">
        <v>46158.367418981485</v>
      </c>
      <c r="B147" s="31" t="s">
        <v>0</v>
      </c>
      <c r="C147" s="72">
        <v>5</v>
      </c>
      <c r="D147" s="72">
        <v>3675</v>
      </c>
      <c r="E147" t="s">
        <v>30</v>
      </c>
      <c r="F147" t="s">
        <v>29</v>
      </c>
      <c r="G147" t="s">
        <v>2</v>
      </c>
      <c r="H147" s="29" t="s">
        <v>18</v>
      </c>
    </row>
    <row r="148" spans="1:8" ht="40.5" customHeight="1">
      <c r="A148" s="147">
        <v>46158.368888888886</v>
      </c>
      <c r="B148" s="31" t="s">
        <v>0</v>
      </c>
      <c r="C148" s="72">
        <v>20</v>
      </c>
      <c r="D148" s="72">
        <v>272</v>
      </c>
      <c r="E148" t="s">
        <v>68</v>
      </c>
      <c r="G148" t="s">
        <v>60</v>
      </c>
      <c r="H148" s="29" t="s">
        <v>18</v>
      </c>
    </row>
    <row r="149" spans="1:8" ht="40.5" customHeight="1">
      <c r="A149" s="147">
        <v>46158.370347222219</v>
      </c>
      <c r="B149" s="31" t="s">
        <v>0</v>
      </c>
      <c r="C149" s="72">
        <v>7</v>
      </c>
      <c r="D149" s="72">
        <v>1431</v>
      </c>
      <c r="E149" t="s">
        <v>86</v>
      </c>
      <c r="F149" t="s">
        <v>83</v>
      </c>
      <c r="G149" t="s">
        <v>72</v>
      </c>
      <c r="H149" s="29" t="s">
        <v>79</v>
      </c>
    </row>
    <row r="150" spans="1:8" ht="40.5" customHeight="1">
      <c r="A150" s="147">
        <v>46158.370509259257</v>
      </c>
      <c r="B150" s="31" t="s">
        <v>0</v>
      </c>
      <c r="C150" s="72">
        <v>3</v>
      </c>
      <c r="D150" s="72">
        <v>1968</v>
      </c>
      <c r="E150" t="s">
        <v>87</v>
      </c>
      <c r="F150" t="s">
        <v>76</v>
      </c>
      <c r="G150" t="s">
        <v>78</v>
      </c>
      <c r="H150" s="29" t="s">
        <v>79</v>
      </c>
    </row>
    <row r="151" spans="1:8" ht="40.5" customHeight="1">
      <c r="A151" s="147">
        <v>46158.371076388888</v>
      </c>
      <c r="B151" s="31" t="s">
        <v>0</v>
      </c>
      <c r="C151" s="72">
        <v>9</v>
      </c>
      <c r="D151" s="72">
        <v>1422</v>
      </c>
      <c r="E151" t="s">
        <v>86</v>
      </c>
      <c r="F151" t="s">
        <v>83</v>
      </c>
      <c r="G151" t="s">
        <v>72</v>
      </c>
      <c r="H151" s="29" t="s">
        <v>79</v>
      </c>
    </row>
    <row r="152" spans="1:8" ht="40.5" customHeight="1">
      <c r="A152" s="147">
        <v>46158.37122685185</v>
      </c>
      <c r="B152" s="31" t="s">
        <v>0</v>
      </c>
      <c r="C152" s="72">
        <v>4</v>
      </c>
      <c r="D152" s="72">
        <v>1964</v>
      </c>
      <c r="E152" t="s">
        <v>87</v>
      </c>
      <c r="F152" t="s">
        <v>76</v>
      </c>
      <c r="G152" t="s">
        <v>78</v>
      </c>
      <c r="H152" s="29" t="s">
        <v>79</v>
      </c>
    </row>
    <row r="153" spans="1:8" ht="40.5" customHeight="1">
      <c r="A153" s="147">
        <v>46158.371516203704</v>
      </c>
      <c r="B153" s="31" t="s">
        <v>0</v>
      </c>
      <c r="C153" s="72">
        <v>2</v>
      </c>
      <c r="D153" s="72">
        <v>1962</v>
      </c>
      <c r="E153" t="s">
        <v>87</v>
      </c>
      <c r="F153" t="s">
        <v>76</v>
      </c>
      <c r="G153" t="s">
        <v>78</v>
      </c>
      <c r="H153" s="29" t="s">
        <v>79</v>
      </c>
    </row>
    <row r="154" spans="1:8" ht="40.5" customHeight="1">
      <c r="A154" s="147">
        <v>46158.371770833335</v>
      </c>
      <c r="B154" s="31" t="s">
        <v>0</v>
      </c>
      <c r="C154" s="72">
        <v>5</v>
      </c>
      <c r="D154" s="72">
        <v>1417</v>
      </c>
      <c r="E154" t="s">
        <v>86</v>
      </c>
      <c r="F154" t="s">
        <v>83</v>
      </c>
      <c r="G154" t="s">
        <v>72</v>
      </c>
      <c r="H154" s="29" t="s">
        <v>79</v>
      </c>
    </row>
    <row r="155" spans="1:8" ht="40.5" customHeight="1">
      <c r="A155" s="147">
        <v>46158.37296296296</v>
      </c>
      <c r="B155" s="31" t="s">
        <v>1</v>
      </c>
      <c r="C155" s="72">
        <v>0</v>
      </c>
      <c r="D155" s="72">
        <v>1</v>
      </c>
      <c r="E155" t="s">
        <v>67</v>
      </c>
      <c r="G155" t="s">
        <v>60</v>
      </c>
      <c r="H155" s="29" t="s">
        <v>18</v>
      </c>
    </row>
    <row r="156" spans="1:8" ht="40.5" customHeight="1">
      <c r="A156" s="147">
        <v>46158.373217592591</v>
      </c>
      <c r="B156" s="31" t="s">
        <v>0</v>
      </c>
      <c r="C156" s="72">
        <v>999</v>
      </c>
      <c r="D156" s="72">
        <v>-998</v>
      </c>
      <c r="E156" t="s">
        <v>67</v>
      </c>
      <c r="G156" t="s">
        <v>60</v>
      </c>
      <c r="H156" s="29" t="s">
        <v>18</v>
      </c>
    </row>
    <row r="157" spans="1:8" ht="40.5" customHeight="1">
      <c r="A157" s="147">
        <v>46158.373298611114</v>
      </c>
      <c r="B157" s="31" t="s">
        <v>1</v>
      </c>
      <c r="C157" s="72">
        <v>9</v>
      </c>
      <c r="D157" s="72">
        <v>10</v>
      </c>
      <c r="E157" t="s">
        <v>67</v>
      </c>
      <c r="G157" t="s">
        <v>60</v>
      </c>
      <c r="H157" s="29" t="s">
        <v>18</v>
      </c>
    </row>
    <row r="158" spans="1:8" ht="40.5" customHeight="1">
      <c r="A158" s="147">
        <v>46158.373506944445</v>
      </c>
      <c r="B158" s="31" t="s">
        <v>1</v>
      </c>
      <c r="C158" s="72">
        <v>999</v>
      </c>
      <c r="D158" s="72">
        <v>1000</v>
      </c>
      <c r="E158" t="s">
        <v>67</v>
      </c>
      <c r="G158" t="s">
        <v>60</v>
      </c>
      <c r="H158" s="29" t="s">
        <v>18</v>
      </c>
    </row>
    <row r="159" spans="1:8" ht="40.5" customHeight="1">
      <c r="A159" s="147">
        <v>46158.373726851853</v>
      </c>
      <c r="B159" s="31" t="s">
        <v>1</v>
      </c>
      <c r="C159" s="72">
        <v>1500</v>
      </c>
      <c r="D159" s="72">
        <v>1772</v>
      </c>
      <c r="E159" t="s">
        <v>68</v>
      </c>
      <c r="G159" t="s">
        <v>60</v>
      </c>
      <c r="H159" s="29" t="s">
        <v>18</v>
      </c>
    </row>
    <row r="160" spans="1:8" ht="40.5" customHeight="1">
      <c r="A160" s="147">
        <v>46158.374895833331</v>
      </c>
      <c r="B160" s="31" t="s">
        <v>0</v>
      </c>
      <c r="C160" s="72">
        <v>85</v>
      </c>
      <c r="D160" s="72">
        <v>6527</v>
      </c>
      <c r="E160" t="s">
        <v>24</v>
      </c>
      <c r="F160" t="s">
        <v>29</v>
      </c>
      <c r="G160" t="s">
        <v>5</v>
      </c>
      <c r="H160" s="29" t="s">
        <v>18</v>
      </c>
    </row>
    <row r="161" spans="1:8" ht="40.5" customHeight="1">
      <c r="A161" s="147">
        <v>46158.375625000001</v>
      </c>
      <c r="B161" s="31" t="s">
        <v>0</v>
      </c>
      <c r="C161" s="72">
        <v>2005</v>
      </c>
      <c r="D161" s="72">
        <v>61468</v>
      </c>
      <c r="E161" t="s">
        <v>37</v>
      </c>
      <c r="F161" t="s">
        <v>29</v>
      </c>
      <c r="G161" t="s">
        <v>3</v>
      </c>
      <c r="H161" s="29" t="s">
        <v>18</v>
      </c>
    </row>
    <row r="162" spans="1:8" ht="40.5" customHeight="1">
      <c r="A162" s="147">
        <v>46158.375821759262</v>
      </c>
      <c r="B162" s="31" t="s">
        <v>0</v>
      </c>
      <c r="C162" s="72">
        <v>8</v>
      </c>
      <c r="D162" s="72">
        <v>5358</v>
      </c>
      <c r="E162" t="s">
        <v>59</v>
      </c>
      <c r="G162" t="s">
        <v>5</v>
      </c>
      <c r="H162" s="29" t="s">
        <v>18</v>
      </c>
    </row>
    <row r="163" spans="1:8" ht="40.5" customHeight="1">
      <c r="A163" s="147">
        <v>46158.376145833332</v>
      </c>
      <c r="B163" s="31" t="s">
        <v>0</v>
      </c>
      <c r="C163" s="72">
        <v>4405</v>
      </c>
      <c r="D163" s="72">
        <v>57063</v>
      </c>
      <c r="E163" t="s">
        <v>37</v>
      </c>
      <c r="F163" t="s">
        <v>29</v>
      </c>
      <c r="G163" t="s">
        <v>3</v>
      </c>
      <c r="H163" s="29" t="s">
        <v>18</v>
      </c>
    </row>
    <row r="164" spans="1:8" ht="40.5" customHeight="1">
      <c r="A164" s="147">
        <v>46158.376319444447</v>
      </c>
      <c r="B164" s="31" t="s">
        <v>0</v>
      </c>
      <c r="C164" s="72">
        <v>885</v>
      </c>
      <c r="D164" s="72">
        <v>42457</v>
      </c>
      <c r="E164" t="s">
        <v>28</v>
      </c>
      <c r="F164" t="s">
        <v>29</v>
      </c>
      <c r="G164" t="s">
        <v>3</v>
      </c>
      <c r="H164" s="29" t="s">
        <v>18</v>
      </c>
    </row>
    <row r="165" spans="1:8" ht="40.5" customHeight="1">
      <c r="A165" s="147">
        <v>46158.37699074074</v>
      </c>
      <c r="B165" s="31" t="s">
        <v>0</v>
      </c>
      <c r="C165" s="72">
        <v>9</v>
      </c>
      <c r="D165" s="72">
        <v>1763</v>
      </c>
      <c r="E165" t="s">
        <v>68</v>
      </c>
      <c r="G165" t="s">
        <v>60</v>
      </c>
      <c r="H165" s="29" t="s">
        <v>18</v>
      </c>
    </row>
    <row r="166" spans="1:8" ht="40.5" customHeight="1">
      <c r="A166" s="147">
        <v>46158.377245370371</v>
      </c>
      <c r="B166" s="31" t="s">
        <v>0</v>
      </c>
      <c r="C166" s="72">
        <v>47</v>
      </c>
      <c r="D166" s="72">
        <v>57016</v>
      </c>
      <c r="E166" t="s">
        <v>37</v>
      </c>
      <c r="F166" t="s">
        <v>29</v>
      </c>
      <c r="G166" t="s">
        <v>3</v>
      </c>
      <c r="H166" s="29" t="s">
        <v>18</v>
      </c>
    </row>
    <row r="167" spans="1:8" ht="40.5" customHeight="1">
      <c r="A167" s="147">
        <v>46158.37740740741</v>
      </c>
      <c r="B167" s="31" t="s">
        <v>0</v>
      </c>
      <c r="C167" s="72">
        <v>40</v>
      </c>
      <c r="D167" s="72">
        <v>1723</v>
      </c>
      <c r="E167" t="s">
        <v>68</v>
      </c>
      <c r="G167" t="s">
        <v>60</v>
      </c>
      <c r="H167" s="29" t="s">
        <v>18</v>
      </c>
    </row>
    <row r="168" spans="1:8" ht="40.5" customHeight="1">
      <c r="A168" s="147">
        <v>46158.512060185189</v>
      </c>
      <c r="B168" s="31" t="s">
        <v>0</v>
      </c>
      <c r="C168" s="72">
        <v>20</v>
      </c>
      <c r="D168" s="72">
        <v>1703</v>
      </c>
      <c r="E168" t="s">
        <v>68</v>
      </c>
      <c r="G168" t="s">
        <v>60</v>
      </c>
      <c r="H168" s="29" t="s">
        <v>18</v>
      </c>
    </row>
    <row r="169" spans="1:8" ht="40.5" customHeight="1">
      <c r="A169" s="147">
        <v>46158.639918981484</v>
      </c>
      <c r="B169" s="31" t="s">
        <v>0</v>
      </c>
      <c r="C169" s="72">
        <v>125</v>
      </c>
      <c r="D169" s="72">
        <v>5936</v>
      </c>
      <c r="E169" t="s">
        <v>38</v>
      </c>
      <c r="F169" t="s">
        <v>29</v>
      </c>
      <c r="G169" t="s">
        <v>3</v>
      </c>
      <c r="H169" s="29" t="s">
        <v>18</v>
      </c>
    </row>
    <row r="170" spans="1:8" ht="40.5" customHeight="1">
      <c r="A170" s="147">
        <v>46158.640289351853</v>
      </c>
      <c r="B170" s="31" t="s">
        <v>0</v>
      </c>
      <c r="C170" s="72">
        <v>61</v>
      </c>
      <c r="D170" s="72">
        <v>7662</v>
      </c>
      <c r="E170" t="s">
        <v>31</v>
      </c>
      <c r="F170" t="s">
        <v>29</v>
      </c>
      <c r="G170" t="s">
        <v>3</v>
      </c>
      <c r="H170" s="29" t="s">
        <v>18</v>
      </c>
    </row>
    <row r="171" spans="1:8" ht="40.5" customHeight="1">
      <c r="A171" s="147">
        <v>46159.431226851855</v>
      </c>
      <c r="B171" s="31" t="s">
        <v>0</v>
      </c>
      <c r="C171" s="72">
        <v>1</v>
      </c>
      <c r="D171" s="72">
        <v>1416</v>
      </c>
      <c r="E171" t="s">
        <v>86</v>
      </c>
      <c r="F171" t="s">
        <v>83</v>
      </c>
      <c r="G171" t="s">
        <v>72</v>
      </c>
      <c r="H171" s="29" t="s">
        <v>79</v>
      </c>
    </row>
    <row r="172" spans="1:8" ht="40.5" customHeight="1">
      <c r="A172" s="147">
        <v>46159.431655092594</v>
      </c>
      <c r="B172" s="31" t="s">
        <v>0</v>
      </c>
      <c r="C172" s="72">
        <v>2</v>
      </c>
      <c r="D172" s="72">
        <v>1701</v>
      </c>
      <c r="E172" t="s">
        <v>68</v>
      </c>
      <c r="G172" t="s">
        <v>60</v>
      </c>
      <c r="H172" s="29" t="s">
        <v>18</v>
      </c>
    </row>
    <row r="173" spans="1:8" ht="40.5" customHeight="1">
      <c r="A173" s="147">
        <v>46160.40253472222</v>
      </c>
      <c r="B173" s="31" t="s">
        <v>0</v>
      </c>
      <c r="C173" s="72">
        <v>45</v>
      </c>
      <c r="D173" s="72">
        <v>6482</v>
      </c>
      <c r="E173" t="s">
        <v>24</v>
      </c>
      <c r="F173" t="s">
        <v>29</v>
      </c>
      <c r="G173" t="s">
        <v>5</v>
      </c>
      <c r="H173" s="29" t="s">
        <v>18</v>
      </c>
    </row>
    <row r="174" spans="1:8" ht="40.5" customHeight="1">
      <c r="A174" s="147">
        <v>46160.405243055553</v>
      </c>
      <c r="B174" s="31" t="s">
        <v>0</v>
      </c>
      <c r="C174" s="72">
        <v>55</v>
      </c>
      <c r="D174" s="72">
        <v>1509</v>
      </c>
      <c r="E174" t="s">
        <v>24</v>
      </c>
      <c r="F174" t="s">
        <v>29</v>
      </c>
      <c r="G174" t="s">
        <v>3</v>
      </c>
      <c r="H174" s="29" t="s">
        <v>18</v>
      </c>
    </row>
    <row r="175" spans="1:8" ht="40.5" customHeight="1">
      <c r="A175" s="147">
        <v>46160.405393518522</v>
      </c>
      <c r="B175" s="31" t="s">
        <v>0</v>
      </c>
      <c r="C175" s="72">
        <v>205</v>
      </c>
      <c r="D175" s="72">
        <v>5731</v>
      </c>
      <c r="E175" t="s">
        <v>38</v>
      </c>
      <c r="F175" t="s">
        <v>29</v>
      </c>
      <c r="G175" t="s">
        <v>3</v>
      </c>
      <c r="H175" s="29" t="s">
        <v>18</v>
      </c>
    </row>
    <row r="176" spans="1:8" ht="40.5" customHeight="1">
      <c r="A176" s="147">
        <v>46160.405509259261</v>
      </c>
      <c r="B176" s="31" t="s">
        <v>0</v>
      </c>
      <c r="C176" s="72">
        <v>125</v>
      </c>
      <c r="D176" s="72">
        <v>7537</v>
      </c>
      <c r="E176" t="s">
        <v>31</v>
      </c>
      <c r="F176" t="s">
        <v>29</v>
      </c>
      <c r="G176" t="s">
        <v>3</v>
      </c>
      <c r="H176" s="29" t="s">
        <v>18</v>
      </c>
    </row>
    <row r="177" spans="1:8" ht="40.5" customHeight="1">
      <c r="A177" s="147">
        <v>46160.405868055554</v>
      </c>
      <c r="B177" s="31" t="s">
        <v>0</v>
      </c>
      <c r="C177" s="72">
        <v>1005</v>
      </c>
      <c r="D177" s="72">
        <v>41452</v>
      </c>
      <c r="E177" t="s">
        <v>28</v>
      </c>
      <c r="F177" t="s">
        <v>29</v>
      </c>
      <c r="G177" t="s">
        <v>3</v>
      </c>
      <c r="H177" s="29" t="s">
        <v>18</v>
      </c>
    </row>
    <row r="178" spans="1:8" ht="40.5" customHeight="1">
      <c r="A178" s="147">
        <v>46160.40730324074</v>
      </c>
      <c r="B178" s="31" t="s">
        <v>0</v>
      </c>
      <c r="C178" s="72">
        <v>2</v>
      </c>
      <c r="D178" s="72">
        <v>3673</v>
      </c>
      <c r="E178" t="s">
        <v>30</v>
      </c>
      <c r="F178" t="s">
        <v>29</v>
      </c>
      <c r="G178" t="s">
        <v>2</v>
      </c>
      <c r="H178" s="29" t="s">
        <v>18</v>
      </c>
    </row>
    <row r="179" spans="1:8" ht="40.5" customHeight="1">
      <c r="A179" s="147">
        <v>46160.408622685187</v>
      </c>
      <c r="B179" s="31" t="s">
        <v>0</v>
      </c>
      <c r="C179" s="72">
        <v>11</v>
      </c>
      <c r="D179" s="72">
        <v>5394</v>
      </c>
      <c r="E179" t="s">
        <v>42</v>
      </c>
      <c r="F179" t="s">
        <v>29</v>
      </c>
      <c r="G179" t="s">
        <v>5</v>
      </c>
      <c r="H179" s="29" t="s">
        <v>18</v>
      </c>
    </row>
    <row r="180" spans="1:8" ht="40.5" customHeight="1">
      <c r="A180" s="147">
        <v>46160.408668981479</v>
      </c>
      <c r="B180" s="31" t="s">
        <v>0</v>
      </c>
      <c r="C180" s="72">
        <v>11</v>
      </c>
      <c r="D180" s="72">
        <v>5347</v>
      </c>
      <c r="E180" t="s">
        <v>59</v>
      </c>
      <c r="F180" t="s">
        <v>29</v>
      </c>
      <c r="G180" t="s">
        <v>5</v>
      </c>
      <c r="H180" s="29" t="s">
        <v>18</v>
      </c>
    </row>
    <row r="181" spans="1:8" ht="40.5" customHeight="1">
      <c r="A181" s="147">
        <v>46162.345300925925</v>
      </c>
      <c r="B181" s="31" t="s">
        <v>0</v>
      </c>
      <c r="C181" s="72">
        <v>405</v>
      </c>
      <c r="D181" s="72">
        <v>992</v>
      </c>
      <c r="E181" t="s">
        <v>45</v>
      </c>
      <c r="F181" t="s">
        <v>32</v>
      </c>
      <c r="G181" t="s">
        <v>2</v>
      </c>
      <c r="H181" s="29" t="s">
        <v>18</v>
      </c>
    </row>
    <row r="182" spans="1:8" ht="40.5" customHeight="1">
      <c r="A182" s="147">
        <v>46162.345613425925</v>
      </c>
      <c r="B182" s="31" t="s">
        <v>0</v>
      </c>
      <c r="C182" s="72">
        <v>45</v>
      </c>
      <c r="D182" s="72">
        <v>294</v>
      </c>
      <c r="E182" t="s">
        <v>39</v>
      </c>
      <c r="F182" t="s">
        <v>29</v>
      </c>
      <c r="G182" t="s">
        <v>3</v>
      </c>
      <c r="H182" s="29" t="s">
        <v>18</v>
      </c>
    </row>
    <row r="183" spans="1:8" ht="40.5" customHeight="1">
      <c r="A183" s="147">
        <v>46162.345925925925</v>
      </c>
      <c r="B183" s="31" t="s">
        <v>0</v>
      </c>
      <c r="C183" s="72">
        <v>125</v>
      </c>
      <c r="D183" s="72">
        <v>41327</v>
      </c>
      <c r="E183" t="s">
        <v>28</v>
      </c>
      <c r="F183" t="s">
        <v>29</v>
      </c>
      <c r="G183" t="s">
        <v>3</v>
      </c>
      <c r="H183" s="29" t="s">
        <v>18</v>
      </c>
    </row>
    <row r="184" spans="1:8" ht="40.5" customHeight="1">
      <c r="A184" s="147">
        <v>46162.346215277779</v>
      </c>
      <c r="B184" s="31" t="s">
        <v>0</v>
      </c>
      <c r="C184" s="72">
        <v>125</v>
      </c>
      <c r="D184" s="72">
        <v>7360</v>
      </c>
      <c r="E184" t="s">
        <v>36</v>
      </c>
      <c r="F184" t="s">
        <v>29</v>
      </c>
      <c r="G184" t="s">
        <v>3</v>
      </c>
      <c r="H184" s="29" t="s">
        <v>18</v>
      </c>
    </row>
    <row r="185" spans="1:8" ht="40.5" customHeight="1">
      <c r="A185" s="147">
        <v>46162.346944444442</v>
      </c>
      <c r="B185" s="31" t="s">
        <v>0</v>
      </c>
      <c r="C185" s="72">
        <v>127</v>
      </c>
      <c r="D185" s="72">
        <v>5220</v>
      </c>
      <c r="E185" t="s">
        <v>59</v>
      </c>
      <c r="F185" t="s">
        <v>29</v>
      </c>
      <c r="G185" t="s">
        <v>5</v>
      </c>
      <c r="H185" s="29" t="s">
        <v>18</v>
      </c>
    </row>
    <row r="186" spans="1:8" ht="40.5" customHeight="1">
      <c r="A186" s="147">
        <v>46162.347187500003</v>
      </c>
      <c r="B186" s="31" t="s">
        <v>0</v>
      </c>
      <c r="C186" s="72">
        <v>45</v>
      </c>
      <c r="D186" s="72">
        <v>20376</v>
      </c>
      <c r="E186" t="s">
        <v>37</v>
      </c>
      <c r="F186" t="s">
        <v>29</v>
      </c>
      <c r="G186" t="s">
        <v>5</v>
      </c>
      <c r="H186" s="29" t="s">
        <v>18</v>
      </c>
    </row>
    <row r="187" spans="1:8" ht="40.5" customHeight="1">
      <c r="A187" s="147">
        <v>46162.34778935185</v>
      </c>
      <c r="B187" s="31" t="s">
        <v>0</v>
      </c>
      <c r="C187" s="72">
        <v>45</v>
      </c>
      <c r="D187" s="72">
        <v>5175</v>
      </c>
      <c r="E187" t="s">
        <v>59</v>
      </c>
      <c r="F187" t="s">
        <v>29</v>
      </c>
      <c r="G187" t="s">
        <v>5</v>
      </c>
      <c r="H187" s="29" t="s">
        <v>18</v>
      </c>
    </row>
    <row r="188" spans="1:8" ht="40.5" customHeight="1">
      <c r="A188" s="147">
        <v>46162.347893518519</v>
      </c>
      <c r="B188" s="31" t="s">
        <v>0</v>
      </c>
      <c r="C188" s="72">
        <v>45</v>
      </c>
      <c r="D188" s="72">
        <v>5349</v>
      </c>
      <c r="E188" t="s">
        <v>42</v>
      </c>
      <c r="F188" t="s">
        <v>29</v>
      </c>
      <c r="G188" t="s">
        <v>5</v>
      </c>
      <c r="H188" s="29" t="s">
        <v>18</v>
      </c>
    </row>
    <row r="189" spans="1:8" ht="40.5" customHeight="1">
      <c r="A189" s="147">
        <v>46162.348506944443</v>
      </c>
      <c r="B189" s="31" t="s">
        <v>0</v>
      </c>
      <c r="C189" s="72">
        <v>2</v>
      </c>
      <c r="D189" s="72">
        <v>3671</v>
      </c>
      <c r="E189" t="s">
        <v>30</v>
      </c>
      <c r="F189" t="s">
        <v>29</v>
      </c>
      <c r="G189" t="s">
        <v>2</v>
      </c>
      <c r="H189" s="29" t="s">
        <v>18</v>
      </c>
    </row>
    <row r="190" spans="1:8" ht="40.5" customHeight="1">
      <c r="A190" s="147">
        <v>46162.348668981482</v>
      </c>
      <c r="B190" s="31" t="s">
        <v>0</v>
      </c>
      <c r="C190" s="72">
        <v>1</v>
      </c>
      <c r="D190" s="72">
        <v>4667</v>
      </c>
      <c r="E190" t="s">
        <v>36</v>
      </c>
      <c r="F190" t="s">
        <v>29</v>
      </c>
      <c r="G190" t="s">
        <v>2</v>
      </c>
      <c r="H190" s="29" t="s">
        <v>18</v>
      </c>
    </row>
    <row r="191" spans="1:8" ht="40.5" customHeight="1">
      <c r="A191" s="147">
        <v>46162.348819444444</v>
      </c>
      <c r="B191" s="31" t="s">
        <v>0</v>
      </c>
      <c r="C191" s="72">
        <v>1</v>
      </c>
      <c r="D191" s="72">
        <v>38159</v>
      </c>
      <c r="E191" t="s">
        <v>38</v>
      </c>
      <c r="F191" t="s">
        <v>29</v>
      </c>
      <c r="G191" t="s">
        <v>2</v>
      </c>
      <c r="H191" s="29" t="s">
        <v>18</v>
      </c>
    </row>
    <row r="192" spans="1:8" ht="40.5" customHeight="1">
      <c r="A192" s="147">
        <v>46162.349247685182</v>
      </c>
      <c r="B192" s="31" t="s">
        <v>0</v>
      </c>
      <c r="C192" s="72">
        <v>45</v>
      </c>
      <c r="D192" s="72">
        <v>56971</v>
      </c>
      <c r="E192" t="s">
        <v>37</v>
      </c>
      <c r="F192" t="s">
        <v>29</v>
      </c>
      <c r="G192" t="s">
        <v>3</v>
      </c>
      <c r="H192" s="29" t="s">
        <v>18</v>
      </c>
    </row>
    <row r="193" spans="1:8" ht="40.5" customHeight="1">
      <c r="A193" s="147">
        <v>46162.349421296298</v>
      </c>
      <c r="B193" s="31" t="s">
        <v>0</v>
      </c>
      <c r="C193" s="72">
        <v>15</v>
      </c>
      <c r="D193" s="72">
        <v>41312</v>
      </c>
      <c r="E193" t="s">
        <v>28</v>
      </c>
      <c r="F193" t="s">
        <v>29</v>
      </c>
      <c r="G193" t="s">
        <v>3</v>
      </c>
      <c r="H193" s="29" t="s">
        <v>18</v>
      </c>
    </row>
    <row r="194" spans="1:8" ht="40.5" customHeight="1">
      <c r="A194" s="147">
        <v>46162.350162037037</v>
      </c>
      <c r="B194" s="31" t="s">
        <v>0</v>
      </c>
      <c r="C194" s="72">
        <v>2</v>
      </c>
      <c r="D194" s="72">
        <v>1414</v>
      </c>
      <c r="E194" t="s">
        <v>86</v>
      </c>
      <c r="F194" t="s">
        <v>83</v>
      </c>
      <c r="G194" t="s">
        <v>72</v>
      </c>
      <c r="H194" s="29" t="s">
        <v>79</v>
      </c>
    </row>
    <row r="195" spans="1:8" ht="40.5" customHeight="1">
      <c r="A195" s="147">
        <v>46162.350335648145</v>
      </c>
      <c r="B195" s="31" t="s">
        <v>0</v>
      </c>
      <c r="C195" s="72">
        <v>1</v>
      </c>
      <c r="D195" s="72">
        <v>1961</v>
      </c>
      <c r="E195" t="s">
        <v>87</v>
      </c>
      <c r="F195" t="s">
        <v>76</v>
      </c>
      <c r="G195" t="s">
        <v>78</v>
      </c>
      <c r="H195" s="29" t="s">
        <v>79</v>
      </c>
    </row>
    <row r="196" spans="1:8" ht="40.5" customHeight="1">
      <c r="A196" s="147">
        <v>46162.350636574076</v>
      </c>
      <c r="B196" s="31" t="s">
        <v>0</v>
      </c>
      <c r="C196" s="72">
        <v>7</v>
      </c>
      <c r="D196" s="72">
        <v>1407</v>
      </c>
      <c r="E196" t="s">
        <v>86</v>
      </c>
      <c r="F196" t="s">
        <v>83</v>
      </c>
      <c r="G196" t="s">
        <v>72</v>
      </c>
      <c r="H196" s="29" t="s">
        <v>79</v>
      </c>
    </row>
    <row r="197" spans="1:8" ht="40.5" customHeight="1">
      <c r="A197" s="147">
        <v>46162.350821759261</v>
      </c>
      <c r="B197" s="31" t="s">
        <v>0</v>
      </c>
      <c r="C197" s="72">
        <v>3</v>
      </c>
      <c r="D197" s="72">
        <v>1958</v>
      </c>
      <c r="E197" t="s">
        <v>87</v>
      </c>
      <c r="F197" t="s">
        <v>76</v>
      </c>
      <c r="G197" t="s">
        <v>78</v>
      </c>
      <c r="H197" s="29" t="s">
        <v>79</v>
      </c>
    </row>
    <row r="198" spans="1:8" ht="40.5" customHeight="1">
      <c r="A198" s="147">
        <v>46162.351064814815</v>
      </c>
      <c r="B198" s="31" t="s">
        <v>0</v>
      </c>
      <c r="C198" s="72">
        <v>3</v>
      </c>
      <c r="D198" s="72">
        <v>1404</v>
      </c>
      <c r="E198" t="s">
        <v>86</v>
      </c>
      <c r="F198" t="s">
        <v>76</v>
      </c>
      <c r="G198" t="s">
        <v>72</v>
      </c>
      <c r="H198" s="29" t="s">
        <v>79</v>
      </c>
    </row>
    <row r="199" spans="1:8" ht="40.5" customHeight="1">
      <c r="A199" s="147">
        <v>46162.35119212963</v>
      </c>
      <c r="B199" s="31" t="s">
        <v>0</v>
      </c>
      <c r="C199" s="72">
        <v>1</v>
      </c>
      <c r="D199" s="72">
        <v>1957</v>
      </c>
      <c r="E199" t="s">
        <v>87</v>
      </c>
      <c r="F199" t="s">
        <v>76</v>
      </c>
      <c r="G199" t="s">
        <v>78</v>
      </c>
      <c r="H199" s="29" t="s">
        <v>79</v>
      </c>
    </row>
    <row r="200" spans="1:8" ht="40.5" customHeight="1">
      <c r="A200" s="147">
        <v>46162.647488425922</v>
      </c>
      <c r="B200" s="31" t="s">
        <v>0</v>
      </c>
      <c r="C200" s="72">
        <v>2</v>
      </c>
      <c r="D200" s="72">
        <v>998</v>
      </c>
      <c r="E200" t="s">
        <v>67</v>
      </c>
      <c r="G200" t="s">
        <v>60</v>
      </c>
      <c r="H200" s="29" t="s">
        <v>18</v>
      </c>
    </row>
    <row r="201" spans="1:8" ht="40.5" customHeight="1">
      <c r="A201" s="147">
        <v>46162.647581018522</v>
      </c>
      <c r="B201" s="31" t="s">
        <v>0</v>
      </c>
      <c r="C201" s="72">
        <v>1</v>
      </c>
      <c r="D201" s="72">
        <v>1700</v>
      </c>
      <c r="E201" t="s">
        <v>68</v>
      </c>
      <c r="G201" t="s">
        <v>60</v>
      </c>
      <c r="H201" s="29" t="s">
        <v>18</v>
      </c>
    </row>
    <row r="202" spans="1:8" ht="40.5" customHeight="1">
      <c r="A202" s="147">
        <v>46162.648287037038</v>
      </c>
      <c r="B202" s="31" t="s">
        <v>0</v>
      </c>
      <c r="C202" s="72">
        <v>1</v>
      </c>
      <c r="D202" s="72">
        <v>5348</v>
      </c>
      <c r="E202" t="s">
        <v>42</v>
      </c>
      <c r="F202" t="s">
        <v>29</v>
      </c>
      <c r="G202" t="s">
        <v>5</v>
      </c>
      <c r="H202" s="29" t="s">
        <v>18</v>
      </c>
    </row>
    <row r="203" spans="1:8" ht="40.5" customHeight="1">
      <c r="A203" s="147">
        <v>46162.6484837963</v>
      </c>
      <c r="B203" s="31" t="s">
        <v>0</v>
      </c>
      <c r="C203" s="72">
        <v>1</v>
      </c>
      <c r="D203" s="72">
        <v>38158</v>
      </c>
      <c r="E203" t="s">
        <v>38</v>
      </c>
      <c r="F203" t="s">
        <v>29</v>
      </c>
      <c r="G203" t="s">
        <v>2</v>
      </c>
      <c r="H203" s="29" t="s">
        <v>18</v>
      </c>
    </row>
    <row r="204" spans="1:8" ht="40.5" customHeight="1">
      <c r="A204" s="147">
        <v>46162.648657407408</v>
      </c>
      <c r="B204" s="31" t="s">
        <v>0</v>
      </c>
      <c r="C204" s="72">
        <v>2</v>
      </c>
      <c r="D204" s="72">
        <v>990</v>
      </c>
      <c r="E204" t="s">
        <v>45</v>
      </c>
      <c r="F204" t="s">
        <v>32</v>
      </c>
      <c r="G204" t="s">
        <v>2</v>
      </c>
      <c r="H204" s="29" t="s">
        <v>18</v>
      </c>
    </row>
    <row r="205" spans="1:8" ht="40.5" customHeight="1">
      <c r="A205" s="147">
        <v>46162.652060185188</v>
      </c>
      <c r="B205" s="31" t="s">
        <v>0</v>
      </c>
      <c r="C205" s="72">
        <v>925</v>
      </c>
      <c r="D205" s="72">
        <v>61487</v>
      </c>
      <c r="E205" t="s">
        <v>40</v>
      </c>
      <c r="F205" t="s">
        <v>29</v>
      </c>
      <c r="G205" t="s">
        <v>3</v>
      </c>
      <c r="H205" s="29" t="s">
        <v>18</v>
      </c>
    </row>
    <row r="206" spans="1:8" ht="40.5" customHeight="1">
      <c r="A206" s="147">
        <v>46162.652673611112</v>
      </c>
      <c r="B206" s="31" t="s">
        <v>0</v>
      </c>
      <c r="C206" s="72">
        <v>405</v>
      </c>
      <c r="D206" s="72">
        <v>61082</v>
      </c>
      <c r="E206" t="s">
        <v>40</v>
      </c>
      <c r="F206" t="s">
        <v>29</v>
      </c>
      <c r="G206" t="s">
        <v>3</v>
      </c>
      <c r="H206" s="29" t="s">
        <v>18</v>
      </c>
    </row>
    <row r="207" spans="1:8" ht="40.5" customHeight="1">
      <c r="A207" s="147">
        <v>46162.652858796297</v>
      </c>
      <c r="B207" s="31" t="s">
        <v>0</v>
      </c>
      <c r="C207" s="72">
        <v>2605</v>
      </c>
      <c r="D207" s="72">
        <v>54366</v>
      </c>
      <c r="E207" t="s">
        <v>37</v>
      </c>
      <c r="F207" t="s">
        <v>29</v>
      </c>
      <c r="G207" t="s">
        <v>3</v>
      </c>
      <c r="H207" s="29" t="s">
        <v>18</v>
      </c>
    </row>
    <row r="208" spans="1:8" ht="40.5" customHeight="1">
      <c r="A208" s="147">
        <v>46162.653402777774</v>
      </c>
      <c r="B208" s="31" t="s">
        <v>0</v>
      </c>
      <c r="C208" s="72">
        <v>6056</v>
      </c>
      <c r="D208" s="72">
        <v>1304</v>
      </c>
      <c r="E208" t="s">
        <v>36</v>
      </c>
      <c r="F208" t="s">
        <v>29</v>
      </c>
      <c r="G208" t="s">
        <v>3</v>
      </c>
      <c r="H208" s="29" t="s">
        <v>18</v>
      </c>
    </row>
    <row r="209" spans="1:8" ht="40.5" customHeight="1">
      <c r="A209" s="147">
        <v>46162.654594907406</v>
      </c>
      <c r="B209" s="31" t="s">
        <v>0</v>
      </c>
      <c r="C209" s="72">
        <v>45</v>
      </c>
      <c r="D209" s="72">
        <v>249</v>
      </c>
      <c r="E209" t="s">
        <v>39</v>
      </c>
      <c r="F209" t="s">
        <v>29</v>
      </c>
      <c r="G209" t="s">
        <v>3</v>
      </c>
      <c r="H209" s="29" t="s">
        <v>18</v>
      </c>
    </row>
    <row r="210" spans="1:8" ht="40.5" customHeight="1">
      <c r="A210" s="147">
        <v>46162.654803240737</v>
      </c>
      <c r="B210" s="31" t="s">
        <v>0</v>
      </c>
      <c r="C210" s="72">
        <v>405</v>
      </c>
      <c r="D210" s="72">
        <v>1104</v>
      </c>
      <c r="E210" t="s">
        <v>24</v>
      </c>
      <c r="F210" t="s">
        <v>29</v>
      </c>
      <c r="G210" t="s">
        <v>3</v>
      </c>
      <c r="H210" s="29" t="s">
        <v>18</v>
      </c>
    </row>
    <row r="211" spans="1:8" ht="40.5" customHeight="1">
      <c r="A211" s="147">
        <v>46162.655011574076</v>
      </c>
      <c r="B211" s="31" t="s">
        <v>0</v>
      </c>
      <c r="C211" s="72">
        <v>405</v>
      </c>
      <c r="D211" s="72">
        <v>5326</v>
      </c>
      <c r="E211" t="s">
        <v>38</v>
      </c>
      <c r="F211" t="s">
        <v>29</v>
      </c>
      <c r="G211" t="s">
        <v>3</v>
      </c>
      <c r="H211" s="29" t="s">
        <v>18</v>
      </c>
    </row>
    <row r="212" spans="1:8" ht="40.5" customHeight="1">
      <c r="A212" s="147">
        <v>46162.65520833333</v>
      </c>
      <c r="B212" s="31" t="s">
        <v>0</v>
      </c>
      <c r="C212" s="72">
        <v>205</v>
      </c>
      <c r="D212" s="72">
        <v>1099</v>
      </c>
      <c r="E212" t="s">
        <v>36</v>
      </c>
      <c r="F212" t="s">
        <v>29</v>
      </c>
      <c r="G212" t="s">
        <v>3</v>
      </c>
      <c r="H212" s="29" t="s">
        <v>18</v>
      </c>
    </row>
    <row r="213" spans="1:8" ht="40.5" customHeight="1">
      <c r="A213" s="147">
        <v>46162.655335648145</v>
      </c>
      <c r="B213" s="31" t="s">
        <v>0</v>
      </c>
      <c r="C213" s="72">
        <v>605</v>
      </c>
      <c r="D213" s="72">
        <v>6932</v>
      </c>
      <c r="E213" t="s">
        <v>31</v>
      </c>
      <c r="F213" t="s">
        <v>29</v>
      </c>
      <c r="G213" t="s">
        <v>3</v>
      </c>
      <c r="H213" s="29" t="s">
        <v>18</v>
      </c>
    </row>
    <row r="214" spans="1:8" ht="40.5" customHeight="1">
      <c r="A214" s="147">
        <v>46162.655578703707</v>
      </c>
      <c r="B214" s="31" t="s">
        <v>0</v>
      </c>
      <c r="C214" s="72">
        <v>245</v>
      </c>
      <c r="D214" s="72">
        <v>60837</v>
      </c>
      <c r="E214" t="s">
        <v>40</v>
      </c>
      <c r="F214" t="s">
        <v>29</v>
      </c>
      <c r="G214" t="s">
        <v>3</v>
      </c>
      <c r="H214" s="29" t="s">
        <v>18</v>
      </c>
    </row>
    <row r="215" spans="1:8" ht="40.5" customHeight="1">
      <c r="A215" s="147">
        <v>46162.655798611115</v>
      </c>
      <c r="B215" s="31" t="s">
        <v>0</v>
      </c>
      <c r="C215" s="72">
        <v>125</v>
      </c>
      <c r="D215" s="72">
        <v>5050</v>
      </c>
      <c r="E215" t="s">
        <v>59</v>
      </c>
      <c r="F215" t="s">
        <v>29</v>
      </c>
      <c r="G215" t="s">
        <v>5</v>
      </c>
      <c r="H215" s="29" t="s">
        <v>18</v>
      </c>
    </row>
    <row r="216" spans="1:8" ht="40.5" customHeight="1">
      <c r="A216" s="147">
        <v>46162.655960648146</v>
      </c>
      <c r="B216" s="31" t="s">
        <v>0</v>
      </c>
      <c r="C216" s="72">
        <v>125</v>
      </c>
      <c r="D216" s="72">
        <v>5223</v>
      </c>
      <c r="E216" t="s">
        <v>42</v>
      </c>
      <c r="F216" t="s">
        <v>29</v>
      </c>
      <c r="G216" t="s">
        <v>5</v>
      </c>
      <c r="H216" s="29" t="s">
        <v>18</v>
      </c>
    </row>
    <row r="217" spans="1:8" ht="40.5" customHeight="1">
      <c r="A217" s="147">
        <v>46162.656898148147</v>
      </c>
      <c r="B217" s="31" t="s">
        <v>0</v>
      </c>
      <c r="C217" s="72">
        <v>2</v>
      </c>
      <c r="D217" s="72">
        <v>1955</v>
      </c>
      <c r="E217" t="s">
        <v>87</v>
      </c>
      <c r="F217" t="s">
        <v>76</v>
      </c>
      <c r="G217" t="s">
        <v>78</v>
      </c>
      <c r="H217" s="29" t="s">
        <v>79</v>
      </c>
    </row>
    <row r="218" spans="1:8">
      <c r="A218" s="147">
        <v>46162.657025462962</v>
      </c>
      <c r="B218" s="31" t="s">
        <v>0</v>
      </c>
      <c r="C218" s="72">
        <v>6</v>
      </c>
      <c r="D218" s="72">
        <v>1398</v>
      </c>
      <c r="E218" t="s">
        <v>86</v>
      </c>
      <c r="F218" t="s">
        <v>83</v>
      </c>
      <c r="G218" t="s">
        <v>72</v>
      </c>
      <c r="H218" s="29" t="s">
        <v>79</v>
      </c>
    </row>
    <row r="219" spans="1:8">
      <c r="A219" s="147">
        <v>46165.347442129627</v>
      </c>
      <c r="B219" s="31" t="s">
        <v>0</v>
      </c>
      <c r="C219" s="72">
        <v>20</v>
      </c>
      <c r="D219" s="72">
        <v>1680</v>
      </c>
      <c r="E219" t="s">
        <v>68</v>
      </c>
      <c r="G219" t="s">
        <v>60</v>
      </c>
      <c r="H219" s="29" t="s">
        <v>18</v>
      </c>
    </row>
    <row r="220" spans="1:8">
      <c r="A220" s="147">
        <v>46165.348229166666</v>
      </c>
      <c r="B220" s="31" t="s">
        <v>0</v>
      </c>
      <c r="C220" s="72">
        <v>2</v>
      </c>
      <c r="D220" s="72">
        <v>1396</v>
      </c>
      <c r="E220" t="s">
        <v>86</v>
      </c>
      <c r="F220" t="s">
        <v>83</v>
      </c>
      <c r="G220" t="s">
        <v>72</v>
      </c>
      <c r="H220" s="29" t="s">
        <v>79</v>
      </c>
    </row>
    <row r="221" spans="1:8">
      <c r="A221" s="147">
        <v>46165.348449074074</v>
      </c>
      <c r="B221" s="31" t="s">
        <v>0</v>
      </c>
      <c r="C221" s="72">
        <v>1</v>
      </c>
      <c r="D221" s="72">
        <v>1954</v>
      </c>
      <c r="E221" t="s">
        <v>87</v>
      </c>
      <c r="F221" t="s">
        <v>83</v>
      </c>
      <c r="G221" t="s">
        <v>78</v>
      </c>
      <c r="H221" s="29" t="s">
        <v>79</v>
      </c>
    </row>
    <row r="222" spans="1:8">
      <c r="A222" s="147">
        <v>46165.349374999998</v>
      </c>
      <c r="B222" s="31" t="s">
        <v>0</v>
      </c>
      <c r="C222" s="72">
        <v>125</v>
      </c>
      <c r="D222" s="72">
        <v>20251</v>
      </c>
      <c r="E222" t="s">
        <v>37</v>
      </c>
      <c r="F222" t="s">
        <v>29</v>
      </c>
      <c r="G222" t="s">
        <v>5</v>
      </c>
      <c r="H222" s="29" t="s">
        <v>18</v>
      </c>
    </row>
    <row r="223" spans="1:8">
      <c r="A223" s="147">
        <v>46165.34951388889</v>
      </c>
      <c r="B223" s="31" t="s">
        <v>0</v>
      </c>
      <c r="C223" s="72">
        <v>85</v>
      </c>
      <c r="D223" s="72">
        <v>6397</v>
      </c>
      <c r="E223" t="s">
        <v>24</v>
      </c>
      <c r="F223" t="s">
        <v>29</v>
      </c>
      <c r="G223" t="s">
        <v>5</v>
      </c>
      <c r="H223" s="29" t="s">
        <v>18</v>
      </c>
    </row>
    <row r="224" spans="1:8">
      <c r="A224" s="147">
        <v>46165.349629629629</v>
      </c>
      <c r="B224" s="31" t="s">
        <v>0</v>
      </c>
      <c r="C224" s="72">
        <v>85</v>
      </c>
      <c r="D224" s="72">
        <v>23928</v>
      </c>
      <c r="E224" t="s">
        <v>36</v>
      </c>
      <c r="F224" t="s">
        <v>29</v>
      </c>
      <c r="G224" t="s">
        <v>5</v>
      </c>
      <c r="H224" s="29" t="s">
        <v>18</v>
      </c>
    </row>
    <row r="225" spans="1:8">
      <c r="A225" s="147">
        <v>46165.35</v>
      </c>
      <c r="B225" s="31" t="s">
        <v>0</v>
      </c>
      <c r="C225" s="72">
        <v>45</v>
      </c>
      <c r="D225" s="72">
        <v>6887</v>
      </c>
      <c r="E225" t="s">
        <v>31</v>
      </c>
      <c r="F225" t="s">
        <v>29</v>
      </c>
      <c r="G225" t="s">
        <v>3</v>
      </c>
      <c r="H225" s="29" t="s">
        <v>18</v>
      </c>
    </row>
    <row r="226" spans="1:8">
      <c r="A226" s="147">
        <v>46165.350208333337</v>
      </c>
      <c r="B226" s="31" t="s">
        <v>0</v>
      </c>
      <c r="C226" s="72">
        <v>125</v>
      </c>
      <c r="D226" s="72">
        <v>5201</v>
      </c>
      <c r="E226" t="s">
        <v>38</v>
      </c>
      <c r="F226" t="s">
        <v>29</v>
      </c>
      <c r="G226" t="s">
        <v>3</v>
      </c>
      <c r="H226" s="29" t="s">
        <v>18</v>
      </c>
    </row>
    <row r="227" spans="1:8">
      <c r="A227" s="147">
        <v>46165.350439814814</v>
      </c>
      <c r="B227" s="31" t="s">
        <v>0</v>
      </c>
      <c r="C227" s="72">
        <v>205</v>
      </c>
      <c r="D227" s="72">
        <v>60632</v>
      </c>
      <c r="E227" t="s">
        <v>40</v>
      </c>
      <c r="F227" t="s">
        <v>29</v>
      </c>
      <c r="G227" t="s">
        <v>3</v>
      </c>
      <c r="H227" s="29" t="s">
        <v>18</v>
      </c>
    </row>
    <row r="228" spans="1:8">
      <c r="A228" s="147">
        <v>46165.350972222222</v>
      </c>
      <c r="B228" s="31" t="s">
        <v>0</v>
      </c>
      <c r="C228" s="72">
        <v>125</v>
      </c>
      <c r="D228" s="72">
        <v>4925</v>
      </c>
      <c r="E228" t="s">
        <v>59</v>
      </c>
      <c r="F228" t="s">
        <v>29</v>
      </c>
      <c r="G228" t="s">
        <v>5</v>
      </c>
      <c r="H228" s="29" t="s">
        <v>18</v>
      </c>
    </row>
    <row r="229" spans="1:8">
      <c r="A229" s="147">
        <v>46165.351956018516</v>
      </c>
      <c r="B229" s="31" t="s">
        <v>0</v>
      </c>
      <c r="C229" s="72">
        <v>45</v>
      </c>
      <c r="D229" s="72">
        <v>3626</v>
      </c>
      <c r="E229" t="s">
        <v>30</v>
      </c>
      <c r="F229" t="s">
        <v>29</v>
      </c>
      <c r="G229" t="s">
        <v>2</v>
      </c>
      <c r="H229" s="29" t="s">
        <v>18</v>
      </c>
    </row>
    <row r="230" spans="1:8">
      <c r="A230" s="147">
        <v>46165.352071759262</v>
      </c>
      <c r="B230" s="31" t="s">
        <v>0</v>
      </c>
      <c r="C230" s="72">
        <v>125</v>
      </c>
      <c r="D230" s="72">
        <v>4542</v>
      </c>
      <c r="E230" t="s">
        <v>36</v>
      </c>
      <c r="F230" t="s">
        <v>29</v>
      </c>
      <c r="G230" t="s">
        <v>2</v>
      </c>
      <c r="H230" s="29" t="s">
        <v>18</v>
      </c>
    </row>
    <row r="231" spans="1:8">
      <c r="A231" s="147">
        <v>46165.352337962962</v>
      </c>
      <c r="B231" s="31" t="s">
        <v>0</v>
      </c>
      <c r="C231" s="72">
        <v>125</v>
      </c>
      <c r="D231" s="72">
        <v>38033</v>
      </c>
      <c r="E231" t="s">
        <v>38</v>
      </c>
      <c r="F231" t="s">
        <v>35</v>
      </c>
      <c r="G231" t="s">
        <v>2</v>
      </c>
      <c r="H231" s="29" t="s">
        <v>18</v>
      </c>
    </row>
    <row r="232" spans="1:8">
      <c r="A232" s="147">
        <v>46165.352511574078</v>
      </c>
      <c r="B232" s="31" t="s">
        <v>0</v>
      </c>
      <c r="C232" s="72">
        <v>85</v>
      </c>
      <c r="D232" s="72">
        <v>905</v>
      </c>
      <c r="E232" t="s">
        <v>45</v>
      </c>
      <c r="F232" t="s">
        <v>32</v>
      </c>
      <c r="G232" t="s">
        <v>2</v>
      </c>
      <c r="H232" s="29" t="s">
        <v>18</v>
      </c>
    </row>
    <row r="233" spans="1:8">
      <c r="A233" s="147">
        <v>46165.35260416667</v>
      </c>
      <c r="B233" s="31" t="s">
        <v>0</v>
      </c>
      <c r="C233" s="72">
        <v>45</v>
      </c>
      <c r="D233" s="72">
        <v>32066</v>
      </c>
      <c r="E233" t="s">
        <v>28</v>
      </c>
      <c r="F233" t="s">
        <v>29</v>
      </c>
      <c r="G233" t="s">
        <v>2</v>
      </c>
      <c r="H233" s="29" t="s">
        <v>18</v>
      </c>
    </row>
    <row r="234" spans="1:8">
      <c r="A234" s="147">
        <v>46165.352835648147</v>
      </c>
      <c r="B234" s="31" t="s">
        <v>0</v>
      </c>
      <c r="C234" s="72">
        <v>205</v>
      </c>
      <c r="D234" s="72">
        <v>47153</v>
      </c>
      <c r="E234" t="s">
        <v>24</v>
      </c>
      <c r="F234" t="s">
        <v>29</v>
      </c>
      <c r="G234" t="s">
        <v>2</v>
      </c>
      <c r="H234" s="29" t="s">
        <v>18</v>
      </c>
    </row>
    <row r="235" spans="1:8">
      <c r="A235" s="147">
        <v>46165.632581018515</v>
      </c>
      <c r="B235" s="31" t="s">
        <v>0</v>
      </c>
      <c r="C235" s="72">
        <v>150</v>
      </c>
      <c r="D235" s="72">
        <v>54216</v>
      </c>
      <c r="E235" t="s">
        <v>37</v>
      </c>
      <c r="F235" t="s">
        <v>29</v>
      </c>
      <c r="G235" t="s">
        <v>3</v>
      </c>
      <c r="H235" s="29" t="s">
        <v>18</v>
      </c>
    </row>
    <row r="236" spans="1:8">
      <c r="A236" s="147">
        <v>46165.6328587963</v>
      </c>
      <c r="B236" s="31" t="s">
        <v>0</v>
      </c>
      <c r="C236" s="72">
        <v>120</v>
      </c>
      <c r="D236" s="72">
        <v>4805</v>
      </c>
      <c r="E236" t="s">
        <v>59</v>
      </c>
      <c r="F236" t="s">
        <v>29</v>
      </c>
      <c r="G236" t="s">
        <v>5</v>
      </c>
      <c r="H236" s="29" t="s">
        <v>18</v>
      </c>
    </row>
    <row r="237" spans="1:8">
      <c r="A237" s="147">
        <v>46165.633379629631</v>
      </c>
      <c r="B237" s="31" t="s">
        <v>0</v>
      </c>
      <c r="C237" s="72">
        <v>65</v>
      </c>
      <c r="D237" s="72">
        <v>5136</v>
      </c>
      <c r="E237" t="s">
        <v>38</v>
      </c>
      <c r="F237" t="s">
        <v>29</v>
      </c>
      <c r="G237" t="s">
        <v>3</v>
      </c>
      <c r="H237" s="29" t="s">
        <v>18</v>
      </c>
    </row>
    <row r="238" spans="1:8">
      <c r="A238" s="147">
        <v>46165.63385416667</v>
      </c>
      <c r="B238" s="31" t="s">
        <v>0</v>
      </c>
      <c r="C238" s="72">
        <v>4</v>
      </c>
      <c r="D238" s="72">
        <v>4538</v>
      </c>
      <c r="E238" t="s">
        <v>36</v>
      </c>
      <c r="F238" t="s">
        <v>29</v>
      </c>
      <c r="G238" t="s">
        <v>2</v>
      </c>
      <c r="H238" s="29" t="s">
        <v>18</v>
      </c>
    </row>
    <row r="239" spans="1:8">
      <c r="A239" s="147">
        <v>46165.634143518517</v>
      </c>
      <c r="B239" s="31" t="s">
        <v>0</v>
      </c>
      <c r="C239" s="72">
        <v>2</v>
      </c>
      <c r="D239" s="72">
        <v>903</v>
      </c>
      <c r="E239" t="s">
        <v>45</v>
      </c>
      <c r="F239" t="s">
        <v>32</v>
      </c>
      <c r="G239" t="s">
        <v>2</v>
      </c>
      <c r="H239" s="29" t="s">
        <v>18</v>
      </c>
    </row>
    <row r="240" spans="1:8">
      <c r="A240" s="147">
        <v>46165.634398148148</v>
      </c>
      <c r="B240" s="31" t="s">
        <v>0</v>
      </c>
      <c r="C240" s="72">
        <v>4</v>
      </c>
      <c r="D240" s="72">
        <v>4534</v>
      </c>
      <c r="E240" t="s">
        <v>36</v>
      </c>
      <c r="F240" t="s">
        <v>29</v>
      </c>
      <c r="G240" t="s">
        <v>2</v>
      </c>
      <c r="H240" s="29" t="s">
        <v>18</v>
      </c>
    </row>
    <row r="241" spans="1:8">
      <c r="A241" s="147">
        <v>46165.635208333333</v>
      </c>
      <c r="B241" s="31" t="s">
        <v>0</v>
      </c>
      <c r="C241" s="72">
        <v>20</v>
      </c>
      <c r="D241" s="72">
        <v>1660</v>
      </c>
      <c r="E241" t="s">
        <v>68</v>
      </c>
      <c r="G241" t="s">
        <v>60</v>
      </c>
      <c r="H241" s="29" t="s">
        <v>18</v>
      </c>
    </row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2026-05-23T11:20:01Z</cp:lastPrinted>
  <dcterms:created xsi:type="dcterms:W3CDTF">2026-04-22T15:27:50Z</dcterms:created>
  <dcterms:modified xsi:type="dcterms:W3CDTF">2026-05-23T16:31:38Z</dcterms:modified>
</cp:coreProperties>
</file>