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ocuments\EST Inventory System\data\2026\05-May\"/>
    </mc:Choice>
  </mc:AlternateContent>
  <xr:revisionPtr revIDLastSave="0" documentId="13_ncr:1_{0517C49F-35FE-45EF-B1FA-26E751454978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allet" sheetId="13" r:id="rId1"/>
    <sheet name="Card" sheetId="14" r:id="rId2"/>
    <sheet name="Shrink" sheetId="15" r:id="rId3"/>
    <sheet name="String" sheetId="17" r:id="rId4"/>
    <sheet name="Stocktaking" sheetId="16" r:id="rId5"/>
    <sheet name="Log" sheetId="8" r:id="rId6"/>
  </sheets>
  <definedNames>
    <definedName name="_xlnm._FilterDatabase" localSheetId="5" hidden="1">Log!$A$1:$H$217</definedName>
    <definedName name="_xlnm.Print_Area" localSheetId="4">Stocktaking!$G$1:$S$29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7" i="16" l="1" a="1"/>
  <c r="R7" i="16" s="1"/>
  <c r="P26" i="16"/>
  <c r="O26" i="16"/>
  <c r="Q21" i="16"/>
  <c r="P21" i="16"/>
  <c r="O21" i="16"/>
  <c r="Q14" i="16"/>
  <c r="P14" i="16"/>
  <c r="O14" i="16"/>
  <c r="Q7" i="16"/>
  <c r="P7" i="16"/>
  <c r="O7" i="16"/>
  <c r="K14" i="16" l="1"/>
  <c r="K7" i="16"/>
  <c r="G21" i="16"/>
  <c r="G14" i="16"/>
  <c r="G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J1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4"/>
            <color indexed="81"/>
            <rFont val="Tahoma"/>
            <family val="2"/>
          </rPr>
          <t>طلب شراء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<sst xmlns="http://schemas.openxmlformats.org/spreadsheetml/2006/main" count="797" uniqueCount="54">
  <si>
    <t>OUT</t>
  </si>
  <si>
    <t>IN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</si>
  <si>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</si>
  <si>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</si>
  <si>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</si>
  <si>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</si>
  <si>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</si>
  <si>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</si>
  <si>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</si>
  <si>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</si>
  <si>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QAA</t>
  </si>
  <si>
    <t>Quantity</t>
  </si>
  <si>
    <t>Process</t>
  </si>
  <si>
    <t>Date-Time</t>
  </si>
  <si>
    <t>Note</t>
  </si>
  <si>
    <t>From-To</t>
  </si>
  <si>
    <t>Pallet</t>
  </si>
  <si>
    <t>Wood</t>
  </si>
  <si>
    <t>Cartoon</t>
  </si>
  <si>
    <t>Card</t>
  </si>
  <si>
    <t>Shrink</t>
  </si>
  <si>
    <t>Machine B</t>
  </si>
  <si>
    <t>Machine S</t>
  </si>
  <si>
    <t>Manual</t>
  </si>
  <si>
    <t>&lt;1028&gt;</t>
  </si>
  <si>
    <t>&lt;1031&gt;</t>
  </si>
  <si>
    <t>&lt;3024&gt;</t>
  </si>
  <si>
    <t>&lt;3023&gt;</t>
  </si>
  <si>
    <t>&lt;3014&gt;</t>
  </si>
  <si>
    <t>&lt;2009&gt;</t>
  </si>
  <si>
    <t>&lt;2013&gt;</t>
  </si>
  <si>
    <t>&lt;1029&gt;</t>
  </si>
  <si>
    <t>&lt;1032&gt;</t>
  </si>
  <si>
    <t>&lt;1016&gt;</t>
  </si>
  <si>
    <t>&lt;3025&gt;</t>
  </si>
  <si>
    <t>null</t>
  </si>
  <si>
    <t>PD</t>
  </si>
  <si>
    <t>OB</t>
  </si>
  <si>
    <t>BS-1028</t>
  </si>
  <si>
    <t>BG-1031</t>
  </si>
  <si>
    <t>LP-3024(5%)</t>
  </si>
  <si>
    <t>LPP-3023</t>
  </si>
  <si>
    <t>LRP-3014</t>
  </si>
  <si>
    <t>PSB-2009</t>
  </si>
  <si>
    <t>PSG-2013</t>
  </si>
  <si>
    <t>BS-1029(5%)</t>
  </si>
  <si>
    <t>BG-1032(5%)</t>
  </si>
  <si>
    <t>BM-1016(0.1%)</t>
  </si>
  <si>
    <t>LM-3025(00.1%)</t>
  </si>
  <si>
    <t>BASE</t>
  </si>
  <si>
    <t>String</t>
  </si>
  <si>
    <t>White</t>
  </si>
  <si>
    <t>No Data</t>
  </si>
  <si>
    <t>موبص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</si>
</sst>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22"/>
      <color rgb="FF006100"/>
      <name val="29LT Bukra Bold Italic"/>
      <family val="2"/>
    </font>
    <font>
      <b/>
      <i/>
      <sz val="22"/>
      <color theme="1"/>
      <name val="Calibri"/>
      <family val="2"/>
      <scheme val="minor"/>
    </font>
    <font>
      <b/>
      <sz val="22"/>
      <color theme="0"/>
      <name val="29LT Bukra Bold Italic"/>
      <family val="2"/>
    </font>
    <font>
      <sz val="28"/>
      <name val="Calibri"/>
      <family val="2"/>
      <scheme val="minor"/>
    </font>
    <font>
      <b/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2"/>
      <name val="29LT Bukra Bold Italic"/>
      <family val="2"/>
    </font>
    <font>
      <b/>
      <i/>
      <sz val="22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4"/>
      <color indexed="81"/>
      <name val="Tahoma"/>
      <family val="2"/>
    </font>
    <font>
      <sz val="24"/>
      <name val="Calibri"/>
      <family val="2"/>
      <scheme val="minor"/>
    </font>
    <font>
      <b/>
      <i/>
      <sz val="20"/>
      <name val="Calibri"/>
      <family val="2"/>
      <scheme val="minor"/>
    </font>
    <font>
      <sz val="11"/>
      <name val="Calibri"/>
      <family val="2"/>
      <scheme val="minor"/>
    </font>
    <font>
      <b/>
      <sz val="22"/>
      <name val="Calibri"/>
      <family val="2"/>
      <scheme val="minor"/>
    </font>
    <font>
      <b/>
      <sz val="8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</fills>
  <borders count="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double">
        <color rgb="FF3F3F3F"/>
      </bottom>
      <diagonal/>
    </border>
    <border>
      <left style="medium">
        <color indexed="64"/>
      </left>
      <right style="double">
        <color rgb="FF3F3F3F"/>
      </right>
      <top style="double">
        <color rgb="FF3F3F3F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double">
        <color rgb="FF3F3F3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4" applyNumberFormat="0" applyAlignment="0" applyProtection="0"/>
    <xf numFmtId="43" fontId="1" fillId="0" borderId="0" applyFont="0" applyFill="0" applyBorder="0" applyAlignment="0" applyProtection="0"/>
    <xf numFmtId="0" fontId="13" fillId="9" borderId="0" applyNumberFormat="0" applyBorder="0" applyAlignment="0" applyProtection="0"/>
  </cellStyleXfs>
  <cellXfs count="207">
    <xf numFmtId="0" fontId="0" fillId="0" borderId="0" xfId="0"/>
    <xf numFmtId="0" fontId="7" fillId="0" borderId="0" xfId="0" applyFont="1"/>
    <xf numFmtId="0" fontId="5" fillId="0" borderId="8" xfId="0" applyFont="1" applyBorder="1" applyAlignment="1">
      <alignment horizontal="center" vertical="center"/>
    </xf>
    <xf numFmtId="0" fontId="8" fillId="5" borderId="11" xfId="1" applyFont="1" applyFill="1" applyBorder="1" applyAlignment="1">
      <alignment horizontal="center" vertical="center"/>
    </xf>
    <xf numFmtId="0" fontId="8" fillId="3" borderId="12" xfId="1" applyFont="1" applyFill="1" applyBorder="1" applyAlignment="1">
      <alignment horizontal="center" vertical="center"/>
    </xf>
    <xf numFmtId="0" fontId="8" fillId="2" borderId="6" xfId="1" applyFont="1" applyBorder="1" applyAlignment="1">
      <alignment horizontal="center" vertical="center"/>
    </xf>
    <xf numFmtId="0" fontId="8" fillId="2" borderId="21" xfId="1" applyFont="1" applyBorder="1" applyAlignment="1">
      <alignment horizontal="center" vertical="center"/>
    </xf>
    <xf numFmtId="0" fontId="8" fillId="2" borderId="22" xfId="1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5" fillId="0" borderId="16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164" fontId="5" fillId="0" borderId="6" xfId="4" applyNumberFormat="1" applyFont="1" applyBorder="1" applyAlignment="1">
      <alignment horizontal="left" vertical="center"/>
    </xf>
    <xf numFmtId="0" fontId="5" fillId="0" borderId="1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164" fontId="7" fillId="0" borderId="2" xfId="4" applyNumberFormat="1" applyFont="1" applyBorder="1" applyAlignment="1">
      <alignment horizontal="center" vertical="center"/>
    </xf>
    <xf numFmtId="0" fontId="0" fillId="0" borderId="2" xfId="0" applyBorder="1"/>
    <xf numFmtId="164" fontId="5" fillId="0" borderId="6" xfId="4" applyNumberFormat="1" applyFont="1" applyBorder="1" applyAlignment="1">
      <alignment horizontal="center" vertical="center"/>
    </xf>
    <xf numFmtId="0" fontId="8" fillId="2" borderId="30" xfId="1" applyFont="1" applyBorder="1" applyAlignment="1">
      <alignment horizontal="center" vertical="center"/>
    </xf>
    <xf numFmtId="0" fontId="8" fillId="2" borderId="31" xfId="1" applyFont="1" applyBorder="1" applyAlignment="1">
      <alignment horizontal="center" vertical="center"/>
    </xf>
    <xf numFmtId="0" fontId="8" fillId="2" borderId="32" xfId="1" applyFont="1" applyBorder="1" applyAlignment="1">
      <alignment horizontal="center" vertical="center"/>
    </xf>
    <xf numFmtId="0" fontId="5" fillId="2" borderId="33" xfId="1" applyFont="1" applyBorder="1" applyAlignment="1">
      <alignment horizontal="center"/>
    </xf>
    <xf numFmtId="22" fontId="7" fillId="0" borderId="7" xfId="0" applyNumberFormat="1" applyFont="1" applyBorder="1" applyAlignment="1">
      <alignment horizontal="center" vertical="center"/>
    </xf>
    <xf numFmtId="0" fontId="0" fillId="0" borderId="7" xfId="0" applyBorder="1"/>
    <xf numFmtId="0" fontId="0" fillId="0" borderId="16" xfId="0" applyBorder="1"/>
    <xf numFmtId="0" fontId="5" fillId="7" borderId="2" xfId="0" applyFont="1" applyFill="1" applyBorder="1" applyAlignment="1">
      <alignment horizontal="center" vertical="center"/>
    </xf>
    <xf numFmtId="0" fontId="12" fillId="7" borderId="2" xfId="0" applyFont="1" applyFill="1" applyBorder="1"/>
    <xf numFmtId="0" fontId="12" fillId="7" borderId="0" xfId="0" applyFont="1" applyFill="1"/>
    <xf numFmtId="0" fontId="8" fillId="2" borderId="1" xfId="1" applyFont="1" applyAlignment="1">
      <alignment horizontal="center" vertical="center"/>
    </xf>
    <xf numFmtId="0" fontId="7" fillId="7" borderId="0" xfId="0" applyFont="1" applyFill="1"/>
    <xf numFmtId="0" fontId="5" fillId="7" borderId="6" xfId="0" applyFont="1" applyFill="1" applyBorder="1" applyAlignment="1">
      <alignment horizontal="center" vertical="center"/>
    </xf>
    <xf numFmtId="0" fontId="0" fillId="7" borderId="0" xfId="0" applyFill="1"/>
    <xf numFmtId="164" fontId="5" fillId="7" borderId="6" xfId="4" applyNumberFormat="1" applyFont="1" applyFill="1" applyBorder="1" applyAlignment="1">
      <alignment horizontal="center" vertical="center"/>
    </xf>
    <xf numFmtId="0" fontId="5" fillId="0" borderId="24" xfId="0" applyFont="1" applyBorder="1" applyAlignment="1">
      <alignment vertical="center"/>
    </xf>
    <xf numFmtId="0" fontId="7" fillId="7" borderId="2" xfId="0" applyFont="1" applyFill="1" applyBorder="1" applyAlignment="1">
      <alignment horizontal="center" vertical="center"/>
    </xf>
    <xf numFmtId="0" fontId="5" fillId="0" borderId="25" xfId="0" applyFont="1" applyBorder="1" applyAlignment="1">
      <alignment horizontal="center" vertical="center"/>
    </xf>
    <xf numFmtId="0" fontId="5" fillId="0" borderId="24" xfId="0" applyFont="1" applyBorder="1" applyAlignment="1">
      <alignment horizontal="center" vertical="center"/>
    </xf>
    <xf numFmtId="0" fontId="5" fillId="0" borderId="23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5" fillId="7" borderId="22" xfId="0" applyFont="1" applyFill="1" applyBorder="1" applyAlignment="1">
      <alignment horizontal="center" vertical="center"/>
    </xf>
    <xf numFmtId="0" fontId="5" fillId="2" borderId="6" xfId="1" applyFont="1" applyBorder="1" applyAlignment="1">
      <alignment horizontal="center" vertical="center"/>
    </xf>
    <xf numFmtId="0" fontId="5" fillId="0" borderId="6" xfId="0" applyFont="1" applyBorder="1" applyAlignment="1">
      <alignment vertical="center"/>
    </xf>
    <xf numFmtId="0" fontId="0" fillId="7" borderId="3" xfId="0" applyFill="1" applyBorder="1"/>
    <xf numFmtId="0" fontId="8" fillId="3" borderId="1" xfId="1" applyFont="1" applyFill="1" applyAlignment="1">
      <alignment horizontal="center" vertical="center"/>
    </xf>
    <xf numFmtId="0" fontId="0" fillId="0" borderId="14" xfId="0" applyBorder="1"/>
    <xf numFmtId="0" fontId="0" fillId="0" borderId="18" xfId="0" applyBorder="1"/>
    <xf numFmtId="0" fontId="0" fillId="0" borderId="19" xfId="0" applyBorder="1"/>
    <xf numFmtId="0" fontId="0" fillId="0" borderId="6" xfId="0" applyBorder="1"/>
    <xf numFmtId="0" fontId="5" fillId="0" borderId="20" xfId="0" applyFont="1" applyBorder="1" applyAlignment="1">
      <alignment horizontal="center" vertical="center"/>
    </xf>
    <xf numFmtId="15" fontId="5" fillId="0" borderId="34" xfId="0" applyNumberFormat="1" applyFont="1" applyBorder="1" applyAlignment="1">
      <alignment horizontal="center" vertical="center"/>
    </xf>
    <xf numFmtId="0" fontId="0" fillId="0" borderId="34" xfId="0" applyBorder="1"/>
    <xf numFmtId="0" fontId="14" fillId="0" borderId="0" xfId="5" applyFont="1" applyFill="1" applyBorder="1" applyAlignment="1">
      <alignment vertical="center"/>
    </xf>
    <xf numFmtId="0" fontId="0" fillId="14" borderId="0" xfId="0" applyFill="1"/>
    <xf numFmtId="0" fontId="15" fillId="0" borderId="0" xfId="0" applyFont="1" applyAlignment="1">
      <alignment vertical="center"/>
    </xf>
    <xf numFmtId="0" fontId="0" fillId="10" borderId="0" xfId="0" applyFill="1"/>
    <xf numFmtId="0" fontId="17" fillId="10" borderId="0" xfId="0" applyFont="1" applyFill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18" fillId="0" borderId="24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0" fontId="21" fillId="10" borderId="0" xfId="0" applyFont="1" applyFill="1"/>
    <xf numFmtId="0" fontId="24" fillId="8" borderId="6" xfId="0" applyFont="1" applyFill="1" applyBorder="1" applyAlignment="1">
      <alignment horizontal="center" vertical="center"/>
    </xf>
    <xf numFmtId="164" fontId="5" fillId="0" borderId="6" xfId="4" applyNumberFormat="1" applyFont="1" applyFill="1" applyBorder="1" applyAlignment="1">
      <alignment horizontal="left" vertical="center"/>
    </xf>
    <xf numFmtId="164" fontId="5" fillId="0" borderId="6" xfId="4" applyNumberFormat="1" applyFont="1" applyFill="1" applyBorder="1" applyAlignment="1">
      <alignment horizontal="center" vertical="center"/>
    </xf>
    <xf numFmtId="15" fontId="5" fillId="0" borderId="25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5" fillId="0" borderId="23" xfId="4" applyNumberFormat="1" applyFont="1" applyBorder="1" applyAlignment="1">
      <alignment horizontal="center" vertical="center"/>
    </xf>
    <xf numFmtId="164" fontId="5" fillId="0" borderId="22" xfId="4" applyNumberFormat="1" applyFont="1" applyBorder="1" applyAlignment="1">
      <alignment horizontal="center" vertical="center"/>
    </xf>
    <xf numFmtId="15" fontId="25" fillId="8" borderId="25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164" fontId="5" fillId="8" borderId="23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center" vertical="center"/>
    </xf>
    <xf numFmtId="164" fontId="5" fillId="8" borderId="6" xfId="4" applyNumberFormat="1" applyFont="1" applyFill="1" applyBorder="1" applyAlignment="1">
      <alignment horizontal="left" vertical="center"/>
    </xf>
    <xf numFmtId="15" fontId="25" fillId="8" borderId="34" xfId="0" applyNumberFormat="1" applyFont="1" applyFill="1" applyBorder="1" applyAlignment="1">
      <alignment horizontal="center" vertical="center"/>
    </xf>
    <xf numFmtId="0" fontId="25" fillId="8" borderId="22" xfId="0" applyFont="1" applyFill="1" applyBorder="1" applyAlignment="1">
      <alignment horizontal="center" vertical="center"/>
    </xf>
    <xf numFmtId="164" fontId="25" fillId="8" borderId="6" xfId="4" applyNumberFormat="1" applyFont="1" applyFill="1" applyBorder="1" applyAlignment="1">
      <alignment horizontal="center" vertical="center"/>
    </xf>
    <xf numFmtId="0" fontId="25" fillId="8" borderId="6" xfId="0" applyFont="1" applyFill="1" applyBorder="1" applyAlignment="1">
      <alignment horizontal="center" vertical="center"/>
    </xf>
    <xf numFmtId="164" fontId="25" fillId="8" borderId="22" xfId="4" applyNumberFormat="1" applyFont="1" applyFill="1" applyBorder="1" applyAlignment="1">
      <alignment horizontal="center" vertical="center"/>
    </xf>
    <xf numFmtId="164" fontId="22" fillId="3" borderId="6" xfId="4" applyNumberFormat="1" applyFont="1" applyFill="1" applyBorder="1" applyAlignment="1">
      <alignment horizontal="left" vertical="center"/>
    </xf>
    <xf numFmtId="0" fontId="12" fillId="0" borderId="8" xfId="0" applyFont="1" applyBorder="1"/>
    <xf numFmtId="0" fontId="12" fillId="0" borderId="17" xfId="0" applyFont="1" applyBorder="1"/>
    <xf numFmtId="0" fontId="8" fillId="2" borderId="2" xfId="1" applyFont="1" applyBorder="1" applyAlignment="1">
      <alignment horizontal="center" vertical="center"/>
    </xf>
    <xf numFmtId="0" fontId="5" fillId="2" borderId="2" xfId="1" applyFont="1" applyBorder="1" applyAlignment="1">
      <alignment horizontal="center" vertical="center"/>
    </xf>
    <xf numFmtId="0" fontId="8" fillId="5" borderId="2" xfId="1" applyFont="1" applyFill="1" applyBorder="1" applyAlignment="1">
      <alignment horizontal="center" vertical="center"/>
    </xf>
    <xf numFmtId="0" fontId="8" fillId="3" borderId="2" xfId="1" applyFont="1" applyFill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8" fillId="0" borderId="2" xfId="4" applyNumberFormat="1" applyFont="1" applyFill="1" applyBorder="1" applyAlignment="1">
      <alignment horizontal="left" vertical="center"/>
    </xf>
    <xf numFmtId="164" fontId="8" fillId="0" borderId="2" xfId="4" applyNumberFormat="1" applyFont="1" applyBorder="1" applyAlignment="1">
      <alignment horizontal="left" vertical="center"/>
    </xf>
    <xf numFmtId="0" fontId="29" fillId="0" borderId="2" xfId="0" applyFont="1" applyBorder="1"/>
    <xf numFmtId="0" fontId="7" fillId="0" borderId="7" xfId="0" applyFont="1" applyBorder="1" applyAlignment="1">
      <alignment horizontal="center" vertical="center"/>
    </xf>
    <xf numFmtId="0" fontId="25" fillId="8" borderId="2" xfId="0" applyFont="1" applyFill="1" applyBorder="1" applyAlignment="1">
      <alignment horizontal="center" vertical="center"/>
    </xf>
    <xf numFmtId="0" fontId="8" fillId="8" borderId="2" xfId="0" applyFont="1" applyFill="1" applyBorder="1" applyAlignment="1">
      <alignment horizontal="center" vertical="center"/>
    </xf>
    <xf numFmtId="164" fontId="8" fillId="8" borderId="2" xfId="4" applyNumberFormat="1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8" fillId="8" borderId="6" xfId="0" applyFont="1" applyFill="1" applyBorder="1" applyAlignment="1">
      <alignment vertical="center"/>
    </xf>
    <xf numFmtId="0" fontId="8" fillId="8" borderId="6" xfId="0" applyFont="1" applyFill="1" applyBorder="1" applyAlignment="1">
      <alignment horizontal="center" vertical="center"/>
    </xf>
    <xf numFmtId="164" fontId="8" fillId="8" borderId="6" xfId="4" applyNumberFormat="1" applyFont="1" applyFill="1" applyBorder="1" applyAlignment="1">
      <alignment horizontal="left" vertical="center"/>
    </xf>
    <xf numFmtId="0" fontId="8" fillId="8" borderId="17" xfId="0" applyFont="1" applyFill="1" applyBorder="1" applyAlignment="1">
      <alignment horizontal="center" vertical="center"/>
    </xf>
    <xf numFmtId="0" fontId="5" fillId="8" borderId="24" xfId="0" applyFont="1" applyFill="1" applyBorder="1" applyAlignment="1">
      <alignment horizontal="center" vertical="center"/>
    </xf>
    <xf numFmtId="0" fontId="20" fillId="8" borderId="6" xfId="0" applyFont="1" applyFill="1" applyBorder="1" applyAlignment="1">
      <alignment horizontal="center" vertical="center"/>
    </xf>
    <xf numFmtId="15" fontId="25" fillId="8" borderId="6" xfId="0" applyNumberFormat="1" applyFont="1" applyFill="1" applyBorder="1" applyAlignment="1">
      <alignment horizontal="center" vertical="center"/>
    </xf>
    <xf numFmtId="0" fontId="5" fillId="8" borderId="6" xfId="0" applyFont="1" applyFill="1" applyBorder="1" applyAlignment="1">
      <alignment vertical="center"/>
    </xf>
    <xf numFmtId="164" fontId="25" fillId="8" borderId="6" xfId="4" applyNumberFormat="1" applyFont="1" applyFill="1" applyBorder="1" applyAlignment="1">
      <alignment horizontal="left" vertical="center"/>
    </xf>
    <xf numFmtId="0" fontId="4" fillId="4" borderId="13" xfId="2" applyFont="1" applyBorder="1" applyAlignment="1">
      <alignment horizontal="center" vertical="center"/>
    </xf>
    <xf numFmtId="0" fontId="4" fillId="4" borderId="14" xfId="2" applyFont="1" applyBorder="1" applyAlignment="1">
      <alignment horizontal="center" vertical="center"/>
    </xf>
    <xf numFmtId="0" fontId="4" fillId="4" borderId="15" xfId="2" applyFont="1" applyBorder="1" applyAlignment="1">
      <alignment horizontal="center" vertical="center"/>
    </xf>
    <xf numFmtId="0" fontId="4" fillId="4" borderId="16" xfId="2" applyFont="1" applyBorder="1" applyAlignment="1">
      <alignment horizontal="center" vertical="center"/>
    </xf>
    <xf numFmtId="0" fontId="4" fillId="4" borderId="0" xfId="2" applyFont="1" applyBorder="1" applyAlignment="1">
      <alignment horizontal="center" vertical="center"/>
    </xf>
    <xf numFmtId="0" fontId="4" fillId="4" borderId="17" xfId="2" applyFont="1" applyBorder="1" applyAlignment="1">
      <alignment horizontal="center" vertical="center"/>
    </xf>
    <xf numFmtId="0" fontId="4" fillId="4" borderId="18" xfId="2" applyFont="1" applyBorder="1" applyAlignment="1">
      <alignment horizontal="center" vertical="center"/>
    </xf>
    <xf numFmtId="0" fontId="4" fillId="4" borderId="19" xfId="2" applyFont="1" applyBorder="1" applyAlignment="1">
      <alignment horizontal="center" vertical="center"/>
    </xf>
    <xf numFmtId="0" fontId="4" fillId="4" borderId="20" xfId="2" applyFont="1" applyBorder="1" applyAlignment="1">
      <alignment horizontal="center" vertical="center"/>
    </xf>
    <xf numFmtId="0" fontId="6" fillId="6" borderId="26" xfId="3" applyFont="1" applyBorder="1" applyAlignment="1">
      <alignment horizontal="center" vertical="center"/>
    </xf>
    <xf numFmtId="0" fontId="6" fillId="6" borderId="27" xfId="3" applyFont="1" applyBorder="1" applyAlignment="1">
      <alignment horizontal="center" vertical="center"/>
    </xf>
    <xf numFmtId="0" fontId="6" fillId="6" borderId="28" xfId="3" applyFont="1" applyBorder="1" applyAlignment="1">
      <alignment horizontal="center" vertical="center"/>
    </xf>
    <xf numFmtId="0" fontId="6" fillId="6" borderId="29" xfId="3" applyFont="1" applyBorder="1" applyAlignment="1">
      <alignment horizontal="center" vertical="center"/>
    </xf>
    <xf numFmtId="0" fontId="7" fillId="0" borderId="34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27" fillId="7" borderId="2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28" fillId="8" borderId="11" xfId="0" applyFont="1" applyFill="1" applyBorder="1" applyAlignment="1">
      <alignment horizontal="center" vertical="center"/>
    </xf>
    <xf numFmtId="0" fontId="28" fillId="8" borderId="12" xfId="0" applyFont="1" applyFill="1" applyBorder="1" applyAlignment="1">
      <alignment horizontal="center" vertical="center"/>
    </xf>
    <xf numFmtId="0" fontId="30" fillId="10" borderId="38" xfId="0" applyFont="1" applyFill="1" applyBorder="1" applyAlignment="1">
      <alignment horizontal="center" vertical="center"/>
    </xf>
    <xf numFmtId="0" fontId="30" fillId="10" borderId="39" xfId="0" applyFont="1" applyFill="1" applyBorder="1" applyAlignment="1">
      <alignment horizontal="center" vertical="center"/>
    </xf>
    <xf numFmtId="0" fontId="30" fillId="10" borderId="7" xfId="0" applyFont="1" applyFill="1" applyBorder="1" applyAlignment="1">
      <alignment horizontal="center" vertical="center"/>
    </xf>
    <xf numFmtId="0" fontId="30" fillId="10" borderId="8" xfId="0" applyFont="1" applyFill="1" applyBorder="1" applyAlignment="1">
      <alignment horizontal="center" vertical="center"/>
    </xf>
    <xf numFmtId="0" fontId="30" fillId="10" borderId="9" xfId="0" applyFont="1" applyFill="1" applyBorder="1" applyAlignment="1">
      <alignment horizontal="center" vertical="center"/>
    </xf>
    <xf numFmtId="0" fontId="30" fillId="10" borderId="10" xfId="0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17" xfId="0" applyFont="1" applyFill="1" applyBorder="1" applyAlignment="1">
      <alignment horizontal="center" vertical="center"/>
    </xf>
    <xf numFmtId="0" fontId="17" fillId="10" borderId="18" xfId="0" applyFont="1" applyFill="1" applyBorder="1" applyAlignment="1">
      <alignment horizontal="center" vertical="center"/>
    </xf>
    <xf numFmtId="0" fontId="17" fillId="10" borderId="19" xfId="0" applyFont="1" applyFill="1" applyBorder="1" applyAlignment="1">
      <alignment horizontal="center" vertical="center"/>
    </xf>
    <xf numFmtId="0" fontId="17" fillId="10" borderId="20" xfId="0" applyFont="1" applyFill="1" applyBorder="1" applyAlignment="1">
      <alignment horizontal="center" vertical="center"/>
    </xf>
    <xf numFmtId="0" fontId="17" fillId="10" borderId="36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17" fillId="10" borderId="37" xfId="0" applyFont="1" applyFill="1" applyBorder="1" applyAlignment="1">
      <alignment horizontal="center" vertical="center"/>
    </xf>
    <xf numFmtId="0" fontId="17" fillId="10" borderId="9" xfId="0" applyFont="1" applyFill="1" applyBorder="1" applyAlignment="1">
      <alignment horizontal="center" vertical="center"/>
    </xf>
    <xf numFmtId="0" fontId="17" fillId="10" borderId="35" xfId="0" applyFont="1" applyFill="1" applyBorder="1" applyAlignment="1">
      <alignment horizontal="center" vertical="center"/>
    </xf>
    <xf numFmtId="0" fontId="17" fillId="10" borderId="10" xfId="0" applyFont="1" applyFill="1" applyBorder="1" applyAlignment="1">
      <alignment horizontal="center" vertical="center"/>
    </xf>
    <xf numFmtId="0" fontId="15" fillId="8" borderId="34" xfId="0" applyFont="1" applyFill="1" applyBorder="1" applyAlignment="1">
      <alignment horizontal="center" vertical="center"/>
    </xf>
    <xf numFmtId="0" fontId="15" fillId="8" borderId="21" xfId="0" applyFont="1" applyFill="1" applyBorder="1" applyAlignment="1">
      <alignment horizontal="center" vertical="center"/>
    </xf>
    <xf numFmtId="0" fontId="15" fillId="8" borderId="22" xfId="0" applyFont="1" applyFill="1" applyBorder="1" applyAlignment="1">
      <alignment horizontal="center" vertical="center"/>
    </xf>
    <xf numFmtId="0" fontId="23" fillId="7" borderId="25" xfId="0" applyFont="1" applyFill="1" applyBorder="1" applyAlignment="1">
      <alignment horizontal="center" vertical="center"/>
    </xf>
    <xf numFmtId="0" fontId="23" fillId="7" borderId="24" xfId="0" applyFont="1" applyFill="1" applyBorder="1" applyAlignment="1">
      <alignment horizontal="center" vertical="center"/>
    </xf>
    <xf numFmtId="0" fontId="23" fillId="7" borderId="23" xfId="0" applyFont="1" applyFill="1" applyBorder="1" applyAlignment="1">
      <alignment horizontal="center" vertical="center"/>
    </xf>
    <xf numFmtId="0" fontId="16" fillId="10" borderId="0" xfId="5" applyFont="1" applyFill="1" applyBorder="1" applyAlignment="1">
      <alignment horizontal="center" vertical="center"/>
    </xf>
    <xf numFmtId="0" fontId="16" fillId="13" borderId="13" xfId="5" applyFont="1" applyFill="1" applyBorder="1" applyAlignment="1">
      <alignment horizontal="center" vertical="center"/>
    </xf>
    <xf numFmtId="0" fontId="16" fillId="13" borderId="14" xfId="5" applyFont="1" applyFill="1" applyBorder="1" applyAlignment="1">
      <alignment horizontal="center" vertical="center"/>
    </xf>
    <xf numFmtId="0" fontId="16" fillId="13" borderId="15" xfId="5" applyFont="1" applyFill="1" applyBorder="1" applyAlignment="1">
      <alignment horizontal="center" vertical="center"/>
    </xf>
    <xf numFmtId="0" fontId="16" fillId="13" borderId="16" xfId="5" applyFont="1" applyFill="1" applyBorder="1" applyAlignment="1">
      <alignment horizontal="center" vertical="center"/>
    </xf>
    <xf numFmtId="0" fontId="16" fillId="13" borderId="0" xfId="5" applyFont="1" applyFill="1" applyBorder="1" applyAlignment="1">
      <alignment horizontal="center" vertical="center"/>
    </xf>
    <xf numFmtId="0" fontId="16" fillId="13" borderId="17" xfId="5" applyFont="1" applyFill="1" applyBorder="1" applyAlignment="1">
      <alignment horizontal="center" vertical="center"/>
    </xf>
    <xf numFmtId="0" fontId="16" fillId="13" borderId="18" xfId="5" applyFont="1" applyFill="1" applyBorder="1" applyAlignment="1">
      <alignment horizontal="center" vertical="center"/>
    </xf>
    <xf numFmtId="0" fontId="16" fillId="13" borderId="19" xfId="5" applyFont="1" applyFill="1" applyBorder="1" applyAlignment="1">
      <alignment horizontal="center" vertical="center"/>
    </xf>
    <xf numFmtId="0" fontId="16" fillId="13" borderId="20" xfId="5" applyFont="1" applyFill="1" applyBorder="1" applyAlignment="1">
      <alignment horizontal="center" vertical="center"/>
    </xf>
    <xf numFmtId="0" fontId="16" fillId="12" borderId="13" xfId="5" applyFont="1" applyFill="1" applyBorder="1" applyAlignment="1">
      <alignment horizontal="center" vertical="center"/>
    </xf>
    <xf numFmtId="0" fontId="16" fillId="12" borderId="14" xfId="5" applyFont="1" applyFill="1" applyBorder="1" applyAlignment="1">
      <alignment horizontal="center" vertical="center"/>
    </xf>
    <xf numFmtId="0" fontId="16" fillId="12" borderId="15" xfId="5" applyFont="1" applyFill="1" applyBorder="1" applyAlignment="1">
      <alignment horizontal="center" vertical="center"/>
    </xf>
    <xf numFmtId="0" fontId="16" fillId="12" borderId="16" xfId="5" applyFont="1" applyFill="1" applyBorder="1" applyAlignment="1">
      <alignment horizontal="center" vertical="center"/>
    </xf>
    <xf numFmtId="0" fontId="16" fillId="12" borderId="0" xfId="5" applyFont="1" applyFill="1" applyBorder="1" applyAlignment="1">
      <alignment horizontal="center" vertical="center"/>
    </xf>
    <xf numFmtId="0" fontId="16" fillId="12" borderId="17" xfId="5" applyFont="1" applyFill="1" applyBorder="1" applyAlignment="1">
      <alignment horizontal="center" vertical="center"/>
    </xf>
    <xf numFmtId="0" fontId="16" fillId="12" borderId="18" xfId="5" applyFont="1" applyFill="1" applyBorder="1" applyAlignment="1">
      <alignment horizontal="center" vertical="center"/>
    </xf>
    <xf numFmtId="0" fontId="16" fillId="12" borderId="19" xfId="5" applyFont="1" applyFill="1" applyBorder="1" applyAlignment="1">
      <alignment horizontal="center" vertical="center"/>
    </xf>
    <xf numFmtId="0" fontId="16" fillId="12" borderId="20" xfId="5" applyFont="1" applyFill="1" applyBorder="1" applyAlignment="1">
      <alignment horizontal="center" vertical="center"/>
    </xf>
    <xf numFmtId="0" fontId="15" fillId="10" borderId="0" xfId="0" applyFont="1" applyFill="1" applyAlignment="1">
      <alignment horizontal="center" vertical="center"/>
    </xf>
    <xf numFmtId="0" fontId="16" fillId="11" borderId="13" xfId="5" applyFont="1" applyFill="1" applyBorder="1" applyAlignment="1">
      <alignment horizontal="center" vertical="center"/>
    </xf>
    <xf numFmtId="0" fontId="16" fillId="11" borderId="14" xfId="5" applyFont="1" applyFill="1" applyBorder="1" applyAlignment="1">
      <alignment horizontal="center" vertical="center"/>
    </xf>
    <xf numFmtId="0" fontId="16" fillId="11" borderId="15" xfId="5" applyFont="1" applyFill="1" applyBorder="1" applyAlignment="1">
      <alignment horizontal="center" vertical="center"/>
    </xf>
    <xf numFmtId="0" fontId="16" fillId="11" borderId="16" xfId="5" applyFont="1" applyFill="1" applyBorder="1" applyAlignment="1">
      <alignment horizontal="center" vertical="center"/>
    </xf>
    <xf numFmtId="0" fontId="16" fillId="11" borderId="0" xfId="5" applyFont="1" applyFill="1" applyBorder="1" applyAlignment="1">
      <alignment horizontal="center" vertical="center"/>
    </xf>
    <xf numFmtId="0" fontId="16" fillId="11" borderId="17" xfId="5" applyFont="1" applyFill="1" applyBorder="1" applyAlignment="1">
      <alignment horizontal="center" vertical="center"/>
    </xf>
    <xf numFmtId="0" fontId="16" fillId="11" borderId="18" xfId="5" applyFont="1" applyFill="1" applyBorder="1" applyAlignment="1">
      <alignment horizontal="center" vertical="center"/>
    </xf>
    <xf numFmtId="0" fontId="16" fillId="11" borderId="19" xfId="5" applyFont="1" applyFill="1" applyBorder="1" applyAlignment="1">
      <alignment horizontal="center" vertical="center"/>
    </xf>
    <xf numFmtId="0" fontId="16" fillId="11" borderId="20" xfId="5" applyFont="1" applyFill="1" applyBorder="1" applyAlignment="1">
      <alignment horizontal="center" vertical="center"/>
    </xf>
    <xf numFmtId="0" fontId="16" fillId="3" borderId="13" xfId="5" applyFont="1" applyFill="1" applyBorder="1" applyAlignment="1">
      <alignment horizontal="center" vertical="center"/>
    </xf>
    <xf numFmtId="0" fontId="16" fillId="3" borderId="14" xfId="5" applyFont="1" applyFill="1" applyBorder="1" applyAlignment="1">
      <alignment horizontal="center" vertical="center"/>
    </xf>
    <xf numFmtId="0" fontId="16" fillId="3" borderId="15" xfId="5" applyFont="1" applyFill="1" applyBorder="1" applyAlignment="1">
      <alignment horizontal="center" vertical="center"/>
    </xf>
    <xf numFmtId="0" fontId="16" fillId="3" borderId="16" xfId="5" applyFont="1" applyFill="1" applyBorder="1" applyAlignment="1">
      <alignment horizontal="center" vertical="center"/>
    </xf>
    <xf numFmtId="0" fontId="16" fillId="3" borderId="0" xfId="5" applyFont="1" applyFill="1" applyBorder="1" applyAlignment="1">
      <alignment horizontal="center" vertical="center"/>
    </xf>
    <xf numFmtId="0" fontId="16" fillId="3" borderId="17" xfId="5" applyFont="1" applyFill="1" applyBorder="1" applyAlignment="1">
      <alignment horizontal="center" vertical="center"/>
    </xf>
    <xf numFmtId="0" fontId="16" fillId="3" borderId="18" xfId="5" applyFont="1" applyFill="1" applyBorder="1" applyAlignment="1">
      <alignment horizontal="center" vertical="center"/>
    </xf>
    <xf numFmtId="0" fontId="16" fillId="3" borderId="19" xfId="5" applyFont="1" applyFill="1" applyBorder="1" applyAlignment="1">
      <alignment horizontal="center" vertical="center"/>
    </xf>
    <xf numFmtId="0" fontId="16" fillId="3" borderId="20" xfId="5" applyFont="1" applyFill="1" applyBorder="1" applyAlignment="1">
      <alignment horizontal="center" vertical="center"/>
    </xf>
    <xf numFmtId="0" fontId="16" fillId="5" borderId="16" xfId="5" applyFont="1" applyFill="1" applyBorder="1" applyAlignment="1">
      <alignment horizontal="center" vertical="center"/>
    </xf>
    <xf numFmtId="0" fontId="16" fillId="5" borderId="0" xfId="5" applyFont="1" applyFill="1" applyBorder="1" applyAlignment="1">
      <alignment horizontal="center" vertical="center"/>
    </xf>
    <xf numFmtId="0" fontId="16" fillId="5" borderId="17" xfId="5" applyFont="1" applyFill="1" applyBorder="1" applyAlignment="1">
      <alignment horizontal="center" vertical="center"/>
    </xf>
    <xf numFmtId="0" fontId="16" fillId="5" borderId="18" xfId="5" applyFont="1" applyFill="1" applyBorder="1" applyAlignment="1">
      <alignment horizontal="center" vertical="center"/>
    </xf>
    <xf numFmtId="0" fontId="16" fillId="5" borderId="19" xfId="5" applyFont="1" applyFill="1" applyBorder="1" applyAlignment="1">
      <alignment horizontal="center" vertical="center"/>
    </xf>
    <xf numFmtId="0" fontId="16" fillId="5" borderId="20" xfId="5" applyFont="1" applyFill="1" applyBorder="1" applyAlignment="1">
      <alignment horizontal="center" vertical="center"/>
    </xf>
    <xf numFmtId="15" fontId="5" fillId="8" borderId="6" xfId="0" applyNumberFormat="1" applyFont="1" applyFill="1" applyBorder="1" applyAlignment="1">
      <alignment horizontal="center" vertical="center"/>
    </xf>
    <xf numFmtId="0" fontId="31" fillId="8" borderId="6" xfId="0" applyFont="1" applyFill="1" applyBorder="1" applyAlignment="1">
      <alignment horizontal="center" vertical="center"/>
    </xf>
    <xf numFmtId="0" fontId="25" fillId="8" borderId="24" xfId="0" applyFont="1" applyFill="1" applyBorder="1" applyAlignment="1">
      <alignment horizontal="center" vertical="center"/>
    </xf>
  </cellXfs>
  <cellStyles count="6">
    <cellStyle name="Accent2" xfId="2" builtinId="33"/>
    <cellStyle name="Check Cell" xfId="3" builtinId="23"/>
    <cellStyle name="Comma" xfId="4" builtinId="3"/>
    <cellStyle name="Good" xfId="5" builtinId="26"/>
    <cellStyle name="Normal" xfId="0" builtinId="0"/>
    <cellStyle name="Note" xfId="1" builtinId="10"/>
  </cellStyles>
  <dxfs count="31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gray0625">
          <bgColor theme="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9" tint="-0.24994659260841701"/>
      </font>
      <fill>
        <patternFill>
          <bgColor theme="9" tint="-0.24994659260841701"/>
        </patternFill>
      </fill>
    </dxf>
    <dxf>
      <font>
        <color theme="9" tint="-0.499984740745262"/>
      </font>
      <fill>
        <patternFill>
          <bgColor theme="9" tint="-0.49998474074526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CC0000"/>
      <color rgb="FFFFFF00"/>
      <color rgb="FFEAEAEA"/>
      <color rgb="FF00B7C0"/>
      <color rgb="FF2200F0"/>
      <color rgb="FF30BAF8"/>
      <color rgb="FF9933FF"/>
      <color rgb="FF1F09BF"/>
      <color rgb="FF000066"/>
      <color rgb="FF79F4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1:M38"/>
  <sheetViews>
    <sheetView topLeftCell="B10" zoomScale="80" zoomScaleNormal="80" workbookViewId="0">
      <selection activeCell="G25" sqref="G25"/>
    </sheetView>
  </sheetViews>
  <sheetFormatPr defaultRowHeight="14.4"/>
  <cols>
    <col min="3" max="3" width="41.44140625" customWidth="1"/>
    <col min="4" max="4" width="23.33203125" style="66" customWidth="1"/>
    <col min="5" max="5" width="26.33203125" style="66" customWidth="1"/>
    <col min="6" max="6" width="13.88671875" style="67" customWidth="1"/>
    <col min="7" max="7" width="16.5546875" style="66" customWidth="1"/>
    <col min="8" max="8" width="20.5546875" style="66" customWidth="1"/>
    <col min="9" max="9" width="22.88671875" style="66" customWidth="1"/>
    <col min="10" max="10" width="42.33203125" style="66" customWidth="1"/>
    <col min="12" max="13" width="16.6640625" customWidth="1"/>
  </cols>
  <sheetData>
    <row r="1" spans="3:13" ht="15" thickBot="1"/>
    <row r="2" spans="3:13" ht="27" customHeight="1" thickBot="1">
      <c r="C2" s="113" t="s">
        <v>16</v>
      </c>
      <c r="D2" s="114"/>
      <c r="E2" s="114"/>
      <c r="F2" s="114"/>
      <c r="G2" s="114"/>
      <c r="H2" s="114"/>
      <c r="I2" s="114"/>
      <c r="J2" s="115"/>
      <c r="K2" s="1"/>
    </row>
    <row r="3" spans="3:13" ht="27" customHeight="1" thickBot="1">
      <c r="C3" s="116"/>
      <c r="D3" s="117"/>
      <c r="E3" s="117"/>
      <c r="F3" s="117"/>
      <c r="G3" s="117"/>
      <c r="H3" s="117"/>
      <c r="I3" s="117"/>
      <c r="J3" s="118"/>
      <c r="K3" s="1"/>
      <c r="L3" s="122" t="s">
        <v>8</v>
      </c>
      <c r="M3" s="123"/>
    </row>
    <row r="4" spans="3:13" ht="27.75" customHeight="1" thickTop="1" thickBot="1">
      <c r="C4" s="119"/>
      <c r="D4" s="120"/>
      <c r="E4" s="120"/>
      <c r="F4" s="120"/>
      <c r="G4" s="120"/>
      <c r="H4" s="120"/>
      <c r="I4" s="120"/>
      <c r="J4" s="121"/>
      <c r="K4" s="1"/>
      <c r="L4" s="124"/>
      <c r="M4" s="125"/>
    </row>
    <row r="5" spans="3:13" ht="26.4" thickBot="1">
      <c r="C5" s="126"/>
      <c r="D5" s="127"/>
      <c r="E5" s="127"/>
      <c r="F5" s="127"/>
      <c r="G5" s="127"/>
      <c r="H5" s="127"/>
      <c r="I5" s="127"/>
      <c r="J5" s="128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5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5">
        <v>46143</v>
      </c>
      <c r="D7" s="8" t="s">
        <v>16</v>
      </c>
      <c r="E7" s="36" t="s">
        <v>18</v>
      </c>
      <c r="F7" s="58" t="s">
        <v>18</v>
      </c>
      <c r="G7" s="8" t="s">
        <v>35</v>
      </c>
      <c r="H7" s="14" t="s">
        <v>36</v>
      </c>
      <c r="I7" s="18">
        <v>7800</v>
      </c>
      <c r="J7" s="69">
        <v>7800</v>
      </c>
      <c r="K7" s="1"/>
      <c r="L7" s="8"/>
      <c r="M7" s="8"/>
    </row>
    <row r="8" spans="3:13" ht="26.4" thickBot="1">
      <c r="C8" s="65">
        <v>46143</v>
      </c>
      <c r="D8" s="8" t="s">
        <v>16</v>
      </c>
      <c r="E8" s="8" t="s">
        <v>17</v>
      </c>
      <c r="F8" s="57" t="s">
        <v>17</v>
      </c>
      <c r="G8" s="8" t="s">
        <v>35</v>
      </c>
      <c r="H8" s="14" t="s">
        <v>37</v>
      </c>
      <c r="I8" s="68">
        <v>250</v>
      </c>
      <c r="J8" s="69">
        <v>250</v>
      </c>
      <c r="K8" s="1"/>
      <c r="L8" s="8"/>
      <c r="M8" s="8"/>
    </row>
    <row r="9" spans="3:13" ht="26.4" thickBot="1">
      <c r="C9" s="70">
        <v>46144</v>
      </c>
      <c r="D9" s="71" t="s">
        <v>16</v>
      </c>
      <c r="E9" s="71"/>
      <c r="F9" s="72"/>
      <c r="G9" s="71" t="s">
        <v>35</v>
      </c>
      <c r="H9" s="73"/>
      <c r="I9" s="74"/>
      <c r="J9" s="75"/>
      <c r="K9" s="1"/>
      <c r="L9" s="31"/>
      <c r="M9" s="31"/>
    </row>
    <row r="10" spans="3:13" ht="26.4" thickBot="1">
      <c r="C10" s="70">
        <v>46145</v>
      </c>
      <c r="D10" s="108" t="s">
        <v>16</v>
      </c>
      <c r="E10" s="71"/>
      <c r="F10" s="72"/>
      <c r="G10" s="71" t="s">
        <v>35</v>
      </c>
      <c r="H10" s="73"/>
      <c r="I10" s="74"/>
      <c r="J10" s="75"/>
      <c r="K10" s="1"/>
      <c r="L10" s="31"/>
      <c r="M10" s="31"/>
    </row>
    <row r="11" spans="3:13" ht="26.4" thickBot="1">
      <c r="C11" s="65">
        <v>46146</v>
      </c>
      <c r="D11" s="8" t="s">
        <v>16</v>
      </c>
      <c r="E11" s="8" t="s">
        <v>17</v>
      </c>
      <c r="F11" s="57" t="s">
        <v>17</v>
      </c>
      <c r="G11" s="8" t="s">
        <v>35</v>
      </c>
      <c r="H11" s="14" t="s">
        <v>36</v>
      </c>
      <c r="I11" s="18">
        <v>250</v>
      </c>
      <c r="J11" s="18">
        <v>240</v>
      </c>
      <c r="K11" s="1"/>
      <c r="L11" s="8"/>
      <c r="M11" s="8"/>
    </row>
    <row r="12" spans="3:13" ht="26.4" thickBot="1">
      <c r="C12" s="65">
        <v>46147</v>
      </c>
      <c r="D12" s="8" t="s">
        <v>16</v>
      </c>
      <c r="E12" s="8" t="s">
        <v>17</v>
      </c>
      <c r="F12" s="58" t="s">
        <v>17</v>
      </c>
      <c r="G12" s="8" t="s">
        <v>35</v>
      </c>
      <c r="H12" s="14" t="s">
        <v>36</v>
      </c>
      <c r="I12" s="18">
        <v>240</v>
      </c>
      <c r="J12" s="18">
        <v>180</v>
      </c>
      <c r="K12" s="1"/>
      <c r="L12" s="8"/>
      <c r="M12" s="8"/>
    </row>
    <row r="13" spans="3:13" ht="26.4" thickBot="1">
      <c r="C13" s="65">
        <v>46147</v>
      </c>
      <c r="D13" s="8" t="s">
        <v>16</v>
      </c>
      <c r="E13" s="8" t="s">
        <v>17</v>
      </c>
      <c r="F13" s="57" t="s">
        <v>17</v>
      </c>
      <c r="G13" s="8" t="s">
        <v>35</v>
      </c>
      <c r="H13" s="14" t="s">
        <v>36</v>
      </c>
      <c r="I13" s="18">
        <v>180</v>
      </c>
      <c r="J13" s="18">
        <v>140</v>
      </c>
      <c r="K13" s="1"/>
      <c r="L13" s="8"/>
      <c r="M13" s="8"/>
    </row>
    <row r="14" spans="3:13" s="32" customFormat="1" ht="26.4" thickBot="1">
      <c r="C14" s="65">
        <v>46147</v>
      </c>
      <c r="D14" s="8" t="s">
        <v>16</v>
      </c>
      <c r="E14" s="8" t="s">
        <v>18</v>
      </c>
      <c r="F14" s="59" t="s">
        <v>18</v>
      </c>
      <c r="G14" s="8" t="s">
        <v>35</v>
      </c>
      <c r="H14" s="14" t="s">
        <v>36</v>
      </c>
      <c r="I14" s="18">
        <v>7800</v>
      </c>
      <c r="J14" s="18">
        <v>6800</v>
      </c>
      <c r="K14" s="1"/>
      <c r="L14" s="8"/>
      <c r="M14" s="8"/>
    </row>
    <row r="15" spans="3:13" ht="26.4" thickBot="1">
      <c r="C15" s="70">
        <v>46148</v>
      </c>
      <c r="D15" s="71" t="s">
        <v>16</v>
      </c>
      <c r="E15" s="71"/>
      <c r="F15" s="72"/>
      <c r="G15" s="71" t="s">
        <v>35</v>
      </c>
      <c r="H15" s="71"/>
      <c r="I15" s="75"/>
      <c r="J15" s="75"/>
      <c r="K15" s="1"/>
      <c r="L15" s="8"/>
      <c r="M15" s="8"/>
    </row>
    <row r="16" spans="3:13" ht="26.4" thickBot="1">
      <c r="C16" s="65">
        <v>46149</v>
      </c>
      <c r="D16" s="8" t="s">
        <v>16</v>
      </c>
      <c r="E16" s="8" t="s">
        <v>17</v>
      </c>
      <c r="F16" s="57" t="s">
        <v>17</v>
      </c>
      <c r="G16" s="8" t="s">
        <v>35</v>
      </c>
      <c r="H16" s="8" t="s">
        <v>1</v>
      </c>
      <c r="I16" s="18">
        <v>140</v>
      </c>
      <c r="J16" s="18">
        <v>380</v>
      </c>
      <c r="K16" s="1"/>
      <c r="L16" s="8"/>
      <c r="M16" s="8"/>
    </row>
    <row r="17" spans="3:13" ht="26.4" thickBot="1">
      <c r="C17" s="65">
        <v>46149</v>
      </c>
      <c r="D17" s="37" t="s">
        <v>16</v>
      </c>
      <c r="E17" s="8" t="s">
        <v>17</v>
      </c>
      <c r="F17" s="57" t="s">
        <v>17</v>
      </c>
      <c r="G17" s="8" t="s">
        <v>35</v>
      </c>
      <c r="H17" s="8" t="s">
        <v>36</v>
      </c>
      <c r="I17" s="18">
        <v>380</v>
      </c>
      <c r="J17" s="18">
        <v>340</v>
      </c>
      <c r="K17" s="1"/>
      <c r="L17" s="8"/>
      <c r="M17" s="8"/>
    </row>
    <row r="18" spans="3:13" ht="26.4" thickBot="1">
      <c r="C18" s="70">
        <v>46150</v>
      </c>
      <c r="D18" s="71" t="s">
        <v>16</v>
      </c>
      <c r="E18" s="71"/>
      <c r="F18" s="72"/>
      <c r="G18" s="71" t="s">
        <v>35</v>
      </c>
      <c r="H18" s="71"/>
      <c r="I18" s="75"/>
      <c r="J18" s="75"/>
      <c r="K18" s="1"/>
      <c r="L18" s="71"/>
      <c r="M18" s="71"/>
    </row>
    <row r="19" spans="3:13" ht="26.4" thickBot="1">
      <c r="C19" s="70">
        <v>46151</v>
      </c>
      <c r="D19" s="71" t="s">
        <v>16</v>
      </c>
      <c r="E19" s="71"/>
      <c r="F19" s="109"/>
      <c r="G19" s="71" t="s">
        <v>35</v>
      </c>
      <c r="H19" s="71"/>
      <c r="I19" s="75"/>
      <c r="J19" s="75"/>
      <c r="K19" s="1"/>
      <c r="L19" s="71"/>
      <c r="M19" s="71"/>
    </row>
    <row r="20" spans="3:13" ht="26.4" thickBot="1">
      <c r="C20" s="70">
        <v>46152</v>
      </c>
      <c r="D20" s="71" t="s">
        <v>16</v>
      </c>
      <c r="E20" s="71"/>
      <c r="F20" s="109"/>
      <c r="G20" s="71" t="s">
        <v>35</v>
      </c>
      <c r="H20" s="71"/>
      <c r="I20" s="75"/>
      <c r="J20" s="75"/>
      <c r="K20" s="1"/>
      <c r="L20" s="71"/>
      <c r="M20" s="71"/>
    </row>
    <row r="21" spans="3:13" ht="26.25" customHeight="1" thickBot="1">
      <c r="C21" s="65">
        <v>46153</v>
      </c>
      <c r="D21" s="8" t="s">
        <v>16</v>
      </c>
      <c r="E21" s="37" t="s">
        <v>17</v>
      </c>
      <c r="F21" s="57" t="s">
        <v>17</v>
      </c>
      <c r="G21" s="8" t="s">
        <v>35</v>
      </c>
      <c r="H21" s="8" t="s">
        <v>1</v>
      </c>
      <c r="I21" s="64">
        <v>340</v>
      </c>
      <c r="J21" s="64">
        <v>592</v>
      </c>
      <c r="K21" s="30"/>
      <c r="L21" s="8"/>
      <c r="M21" s="8"/>
    </row>
    <row r="22" spans="3:13" ht="26.25" customHeight="1" thickBot="1">
      <c r="C22" s="70">
        <v>46154</v>
      </c>
      <c r="D22" s="80"/>
      <c r="E22" s="80"/>
      <c r="F22" s="205"/>
      <c r="G22" s="105" t="s">
        <v>35</v>
      </c>
      <c r="H22" s="80"/>
      <c r="I22" s="79"/>
      <c r="J22" s="79"/>
      <c r="K22" s="1"/>
      <c r="L22" s="80"/>
      <c r="M22" s="80"/>
    </row>
    <row r="23" spans="3:13" ht="26.25" customHeight="1" thickBot="1">
      <c r="C23" s="70">
        <v>46155</v>
      </c>
      <c r="D23" s="80"/>
      <c r="E23" s="80"/>
      <c r="F23" s="205"/>
      <c r="G23" s="105" t="s">
        <v>35</v>
      </c>
      <c r="H23" s="80"/>
      <c r="I23" s="79"/>
      <c r="J23" s="79"/>
      <c r="K23" s="1"/>
      <c r="L23" s="80"/>
      <c r="M23" s="80"/>
    </row>
    <row r="24" spans="3:13" ht="26.25" customHeight="1" thickBot="1">
      <c r="C24" s="65">
        <v>46156</v>
      </c>
      <c r="D24" s="8" t="s">
        <v>16</v>
      </c>
      <c r="E24" s="8" t="s">
        <v>17</v>
      </c>
      <c r="F24" s="57" t="s">
        <v>17</v>
      </c>
      <c r="G24" s="8" t="s">
        <v>35</v>
      </c>
      <c r="H24" s="8" t="s">
        <v>1</v>
      </c>
      <c r="I24" s="64">
        <v>592</v>
      </c>
      <c r="J24" s="64">
        <v>842</v>
      </c>
      <c r="K24" s="1"/>
      <c r="L24" s="8"/>
      <c r="M24" s="8"/>
    </row>
    <row r="25" spans="3:13" ht="26.25" customHeight="1" thickBot="1">
      <c r="C25" s="9"/>
      <c r="D25" s="8"/>
      <c r="E25" s="8"/>
      <c r="F25" s="57"/>
      <c r="G25" s="8"/>
      <c r="H25" s="8"/>
      <c r="I25" s="64"/>
      <c r="J25" s="64"/>
      <c r="K25" s="1"/>
      <c r="L25" s="8"/>
      <c r="M25" s="8"/>
    </row>
    <row r="26" spans="3:13" ht="26.25" customHeight="1" thickBot="1">
      <c r="C26" s="9"/>
      <c r="D26" s="37"/>
      <c r="E26" s="8"/>
      <c r="F26" s="57"/>
      <c r="G26" s="8"/>
      <c r="H26" s="8"/>
      <c r="I26" s="64"/>
      <c r="J26" s="64"/>
      <c r="K26" s="1"/>
      <c r="L26" s="8"/>
      <c r="M26" s="12"/>
    </row>
    <row r="27" spans="3:13" ht="26.25" customHeight="1" thickBot="1">
      <c r="C27" s="9"/>
      <c r="D27" s="8"/>
      <c r="E27" s="8"/>
      <c r="F27" s="57"/>
      <c r="G27" s="8"/>
      <c r="H27" s="8"/>
      <c r="I27" s="64"/>
      <c r="J27" s="64"/>
      <c r="K27" s="1"/>
      <c r="L27" s="11"/>
      <c r="M27" s="8"/>
    </row>
    <row r="28" spans="3:13" ht="26.25" customHeight="1" thickBot="1">
      <c r="C28" s="9"/>
      <c r="D28" s="8"/>
      <c r="E28" s="8"/>
      <c r="F28" s="57"/>
      <c r="G28" s="8"/>
      <c r="H28" s="8"/>
      <c r="I28" s="64"/>
      <c r="J28" s="64"/>
      <c r="K28" s="1"/>
      <c r="L28" s="8"/>
      <c r="M28" s="8"/>
    </row>
    <row r="29" spans="3:13" ht="26.25" customHeight="1" thickBot="1">
      <c r="C29" s="10"/>
      <c r="D29" s="8"/>
      <c r="E29" s="8"/>
      <c r="F29" s="57"/>
      <c r="G29" s="8"/>
      <c r="H29" s="8"/>
      <c r="I29" s="64"/>
      <c r="J29" s="64"/>
      <c r="K29" s="1"/>
      <c r="L29" s="8"/>
      <c r="M29" s="8"/>
    </row>
    <row r="30" spans="3:13" ht="26.25" customHeight="1" thickBot="1">
      <c r="C30" s="9"/>
      <c r="D30" s="8"/>
      <c r="E30" s="8"/>
      <c r="F30" s="57"/>
      <c r="G30" s="8"/>
      <c r="H30" s="8"/>
      <c r="I30" s="64"/>
      <c r="J30" s="64"/>
      <c r="K30" s="1"/>
      <c r="L30" s="8"/>
      <c r="M30" s="8"/>
    </row>
    <row r="31" spans="3:13" ht="26.25" customHeight="1" thickBot="1">
      <c r="C31" s="9"/>
      <c r="D31" s="8"/>
      <c r="E31" s="8"/>
      <c r="F31" s="59"/>
      <c r="G31" s="8"/>
      <c r="H31" s="8"/>
      <c r="I31" s="64"/>
      <c r="J31" s="64"/>
      <c r="K31" s="1"/>
      <c r="L31" s="8"/>
      <c r="M31" s="8"/>
    </row>
    <row r="32" spans="3:13" ht="26.25" customHeight="1" thickBot="1">
      <c r="C32" s="9"/>
      <c r="D32" s="8"/>
      <c r="E32" s="8"/>
      <c r="F32" s="57"/>
      <c r="G32" s="8"/>
      <c r="H32" s="8"/>
      <c r="I32" s="18"/>
      <c r="J32" s="18"/>
      <c r="K32" s="1"/>
      <c r="L32" s="8"/>
      <c r="M32" s="8"/>
    </row>
    <row r="33" spans="3:13" ht="26.25" customHeight="1" thickBot="1">
      <c r="C33" s="9"/>
      <c r="D33" s="8"/>
      <c r="E33" s="8"/>
      <c r="F33" s="57"/>
      <c r="G33" s="8"/>
      <c r="H33" s="8"/>
      <c r="I33" s="18"/>
      <c r="J33" s="18"/>
      <c r="K33" s="1"/>
      <c r="L33" s="8"/>
      <c r="M33" s="8"/>
    </row>
    <row r="34" spans="3:13" ht="26.25" customHeight="1" thickBot="1">
      <c r="C34" s="9"/>
      <c r="D34" s="8"/>
      <c r="E34" s="8"/>
      <c r="F34" s="57"/>
      <c r="G34" s="8"/>
      <c r="H34" s="8"/>
      <c r="I34" s="18"/>
      <c r="J34" s="18"/>
      <c r="K34" s="1"/>
      <c r="L34" s="8"/>
      <c r="M34" s="8"/>
    </row>
    <row r="35" spans="3:13" ht="26.25" customHeight="1" thickBot="1">
      <c r="C35" s="9"/>
      <c r="D35" s="8"/>
      <c r="E35" s="8"/>
      <c r="F35" s="57"/>
      <c r="G35" s="8"/>
      <c r="H35" s="8"/>
      <c r="I35" s="18"/>
      <c r="J35" s="18"/>
      <c r="K35" s="1"/>
      <c r="L35" s="8"/>
      <c r="M35" s="8"/>
    </row>
    <row r="36" spans="3:13" ht="26.25" customHeight="1" thickBot="1">
      <c r="C36" s="9"/>
      <c r="D36" s="37"/>
      <c r="E36" s="8"/>
      <c r="F36" s="57"/>
      <c r="G36" s="8"/>
      <c r="H36" s="8"/>
      <c r="I36" s="18"/>
      <c r="J36" s="18"/>
      <c r="K36" s="1"/>
      <c r="L36" s="8"/>
      <c r="M36" s="8"/>
    </row>
    <row r="37" spans="3:13" ht="26.25" customHeight="1" thickBot="1">
      <c r="C37" s="9"/>
      <c r="D37" s="8"/>
      <c r="E37" s="8"/>
      <c r="F37" s="57"/>
      <c r="G37" s="8"/>
      <c r="H37" s="8"/>
      <c r="I37" s="18"/>
      <c r="J37" s="18"/>
      <c r="K37" s="1"/>
      <c r="L37" s="8"/>
      <c r="M37" s="8"/>
    </row>
    <row r="38" spans="3:13" ht="26.4" thickBot="1">
      <c r="C38" s="9"/>
      <c r="D38" s="8"/>
      <c r="E38" s="8"/>
      <c r="F38" s="60"/>
      <c r="G38" s="8"/>
      <c r="H38" s="8"/>
      <c r="I38" s="18"/>
      <c r="J38" s="18"/>
      <c r="K38" s="1"/>
      <c r="L38" s="8"/>
      <c r="M38" s="8"/>
    </row>
  </sheetData>
  <mergeCells count="3">
    <mergeCell ref="C2:J4"/>
    <mergeCell ref="L3:M4"/>
    <mergeCell ref="C5:J5"/>
  </mergeCells>
  <conditionalFormatting sqref="F1:F9 F11:F1048576">
    <cfRule type="containsText" dxfId="21" priority="3" operator="containsText" text="Cartoon">
      <formula>NOT(ISERROR(SEARCH("Cartoon",F1)))</formula>
    </cfRule>
    <cfRule type="containsText" dxfId="20" priority="4" operator="containsText" text="Wood">
      <formula>NOT(ISERROR(SEARCH("Wood",F1)))</formula>
    </cfRule>
  </conditionalFormatting>
  <conditionalFormatting sqref="F10">
    <cfRule type="containsText" dxfId="19" priority="1" operator="containsText" text="Cartoon">
      <formula>NOT(ISERROR(SEARCH("Cartoon",F10)))</formula>
    </cfRule>
    <cfRule type="containsText" dxfId="18" priority="2" operator="containsText" text="Wood">
      <formula>NOT(ISERROR(SEARCH("Wood",F10)))</formula>
    </cfRule>
  </conditionalFormatting>
  <dataValidations count="4">
    <dataValidation type="list" allowBlank="1" showInputMessage="1" showErrorMessage="1" sqref="E1:E1048576" xr:uid="{00000000-0002-0000-0000-000000000000}">
      <formula1>"Cartoon,Wood"</formula1>
    </dataValidation>
    <dataValidation type="list" allowBlank="1" showInputMessage="1" showErrorMessage="1" sqref="F1:F1048576" xr:uid="{00000000-0002-0000-0000-000001000000}">
      <formula1>"Wood,Cartoon"</formula1>
    </dataValidation>
    <dataValidation type="list" allowBlank="1" showInputMessage="1" showErrorMessage="1" sqref="G1:G5 G7:G1048576" xr:uid="{00000000-0002-0000-0000-000002000000}">
      <formula1>"null"</formula1>
    </dataValidation>
    <dataValidation type="list" allowBlank="1" showInputMessage="1" showErrorMessage="1" sqref="D1:D1048576" xr:uid="{00000000-0002-0000-0000-000003000000}">
      <formula1>"Pallet"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2">
    <tabColor theme="0"/>
  </sheetPr>
  <dimension ref="C1:M38"/>
  <sheetViews>
    <sheetView topLeftCell="B11" zoomScale="80" zoomScaleNormal="80" workbookViewId="0">
      <selection activeCell="C28" sqref="C28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1.33203125" customWidth="1"/>
    <col min="7" max="7" width="14.66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" thickBot="1"/>
    <row r="2" spans="3:13" ht="27" customHeight="1" thickBot="1">
      <c r="C2" s="113" t="s">
        <v>19</v>
      </c>
      <c r="D2" s="114"/>
      <c r="E2" s="114"/>
      <c r="F2" s="114"/>
      <c r="G2" s="114"/>
      <c r="H2" s="114"/>
      <c r="I2" s="114"/>
      <c r="J2" s="115"/>
      <c r="K2" s="1"/>
    </row>
    <row r="3" spans="3:13" ht="27" customHeight="1" thickBot="1">
      <c r="C3" s="116"/>
      <c r="D3" s="117"/>
      <c r="E3" s="117"/>
      <c r="F3" s="117"/>
      <c r="G3" s="117"/>
      <c r="H3" s="117"/>
      <c r="I3" s="117"/>
      <c r="J3" s="118"/>
      <c r="K3" s="1"/>
      <c r="L3" s="122" t="s">
        <v>8</v>
      </c>
      <c r="M3" s="123"/>
    </row>
    <row r="4" spans="3:13" ht="27.75" customHeight="1" thickTop="1" thickBot="1">
      <c r="C4" s="119"/>
      <c r="D4" s="120"/>
      <c r="E4" s="120"/>
      <c r="F4" s="120"/>
      <c r="G4" s="120"/>
      <c r="H4" s="120"/>
      <c r="I4" s="120"/>
      <c r="J4" s="121"/>
      <c r="K4" s="1"/>
      <c r="L4" s="124"/>
      <c r="M4" s="125"/>
    </row>
    <row r="5" spans="3:13" ht="26.4" thickBot="1">
      <c r="C5" s="126"/>
      <c r="D5" s="127"/>
      <c r="E5" s="127"/>
      <c r="F5" s="127"/>
      <c r="G5" s="127"/>
      <c r="H5" s="127"/>
      <c r="I5" s="127"/>
      <c r="J5" s="128"/>
      <c r="K5" s="1"/>
      <c r="L5" s="1"/>
      <c r="M5" s="1"/>
    </row>
    <row r="6" spans="3:13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3:13" ht="26.4" thickBot="1">
      <c r="C7" s="65">
        <v>46143</v>
      </c>
      <c r="D7" s="8" t="s">
        <v>19</v>
      </c>
      <c r="E7" s="8" t="s">
        <v>38</v>
      </c>
      <c r="F7" s="8">
        <v>1028</v>
      </c>
      <c r="G7" s="36" t="s">
        <v>35</v>
      </c>
      <c r="H7" s="39" t="s">
        <v>36</v>
      </c>
      <c r="I7" s="18">
        <v>5726</v>
      </c>
      <c r="J7" s="69">
        <v>5726</v>
      </c>
      <c r="K7" s="1"/>
      <c r="L7" s="8"/>
      <c r="M7" s="8"/>
    </row>
    <row r="8" spans="3:13" ht="26.4" thickBot="1">
      <c r="C8" s="65">
        <v>46143</v>
      </c>
      <c r="D8" s="8" t="s">
        <v>19</v>
      </c>
      <c r="E8" s="8" t="s">
        <v>39</v>
      </c>
      <c r="F8" s="8">
        <v>1031</v>
      </c>
      <c r="G8" s="36" t="s">
        <v>35</v>
      </c>
      <c r="H8" s="39" t="s">
        <v>36</v>
      </c>
      <c r="I8" s="18">
        <v>8660</v>
      </c>
      <c r="J8" s="69">
        <v>8660</v>
      </c>
      <c r="K8" s="1"/>
      <c r="L8" s="8"/>
      <c r="M8" s="8"/>
    </row>
    <row r="9" spans="3:13" ht="26.4" thickBot="1">
      <c r="C9" s="65">
        <v>46143</v>
      </c>
      <c r="D9" s="37" t="s">
        <v>19</v>
      </c>
      <c r="E9" s="8" t="s">
        <v>40</v>
      </c>
      <c r="F9" s="8">
        <v>3024</v>
      </c>
      <c r="G9" s="36" t="s">
        <v>35</v>
      </c>
      <c r="H9" s="39" t="s">
        <v>36</v>
      </c>
      <c r="I9" s="18">
        <v>377</v>
      </c>
      <c r="J9" s="18">
        <v>377</v>
      </c>
      <c r="K9" s="1"/>
      <c r="L9" s="8"/>
      <c r="M9" s="8"/>
    </row>
    <row r="10" spans="3:13" ht="26.4" thickBot="1">
      <c r="C10" s="65">
        <v>46143</v>
      </c>
      <c r="D10" s="8" t="s">
        <v>19</v>
      </c>
      <c r="E10" s="8" t="s">
        <v>41</v>
      </c>
      <c r="F10" s="8">
        <v>3023</v>
      </c>
      <c r="G10" s="36" t="s">
        <v>35</v>
      </c>
      <c r="H10" s="39" t="s">
        <v>36</v>
      </c>
      <c r="I10" s="18">
        <v>1250</v>
      </c>
      <c r="J10" s="18">
        <v>1250</v>
      </c>
      <c r="K10" s="1"/>
      <c r="L10" s="8"/>
      <c r="M10" s="8"/>
    </row>
    <row r="11" spans="3:13" ht="26.4" thickBot="1">
      <c r="C11" s="65">
        <v>46143</v>
      </c>
      <c r="D11" s="8" t="s">
        <v>19</v>
      </c>
      <c r="E11" s="37" t="s">
        <v>42</v>
      </c>
      <c r="F11" s="8">
        <v>3014</v>
      </c>
      <c r="G11" s="36" t="s">
        <v>35</v>
      </c>
      <c r="H11" s="39" t="s">
        <v>37</v>
      </c>
      <c r="I11" s="18">
        <v>3500</v>
      </c>
      <c r="J11" s="18">
        <v>3500</v>
      </c>
      <c r="K11" s="1"/>
      <c r="L11" s="8"/>
      <c r="M11" s="8"/>
    </row>
    <row r="12" spans="3:13" ht="26.4" thickBot="1">
      <c r="C12" s="65">
        <v>46143</v>
      </c>
      <c r="D12" s="8" t="s">
        <v>19</v>
      </c>
      <c r="E12" s="8" t="s">
        <v>43</v>
      </c>
      <c r="F12" s="8">
        <v>2009</v>
      </c>
      <c r="G12" s="36" t="s">
        <v>35</v>
      </c>
      <c r="H12" s="39" t="s">
        <v>37</v>
      </c>
      <c r="I12" s="18">
        <v>6250</v>
      </c>
      <c r="J12" s="18">
        <v>6250</v>
      </c>
      <c r="K12" s="1"/>
      <c r="L12" s="8"/>
      <c r="M12" s="8"/>
    </row>
    <row r="13" spans="3:13" ht="26.4" thickBot="1">
      <c r="C13" s="65">
        <v>46143</v>
      </c>
      <c r="D13" s="8" t="s">
        <v>19</v>
      </c>
      <c r="E13" s="8" t="s">
        <v>44</v>
      </c>
      <c r="F13" s="8">
        <v>2013</v>
      </c>
      <c r="G13" s="36" t="s">
        <v>35</v>
      </c>
      <c r="H13" s="39" t="s">
        <v>37</v>
      </c>
      <c r="I13" s="18">
        <v>4250</v>
      </c>
      <c r="J13" s="18">
        <v>4250</v>
      </c>
      <c r="K13" s="1"/>
      <c r="L13" s="8"/>
      <c r="M13" s="8"/>
    </row>
    <row r="14" spans="3:13" s="32" customFormat="1" ht="26.4" thickBot="1">
      <c r="C14" s="65">
        <v>46143</v>
      </c>
      <c r="D14" s="37" t="s">
        <v>19</v>
      </c>
      <c r="E14" s="8" t="s">
        <v>45</v>
      </c>
      <c r="F14" s="37">
        <v>1029</v>
      </c>
      <c r="G14" s="36" t="s">
        <v>35</v>
      </c>
      <c r="H14" s="40" t="s">
        <v>37</v>
      </c>
      <c r="I14" s="33">
        <v>9251</v>
      </c>
      <c r="J14" s="18">
        <v>9251</v>
      </c>
      <c r="K14" s="1"/>
      <c r="L14" s="8"/>
      <c r="M14" s="8"/>
    </row>
    <row r="15" spans="3:13" ht="26.4" thickBot="1">
      <c r="C15" s="65">
        <v>46143</v>
      </c>
      <c r="D15" s="8" t="s">
        <v>19</v>
      </c>
      <c r="E15" s="8" t="s">
        <v>46</v>
      </c>
      <c r="F15" s="8">
        <v>1032</v>
      </c>
      <c r="G15" s="36" t="s">
        <v>35</v>
      </c>
      <c r="H15" s="39" t="s">
        <v>37</v>
      </c>
      <c r="I15" s="18">
        <v>4000</v>
      </c>
      <c r="J15" s="18">
        <v>4000</v>
      </c>
      <c r="K15" s="1"/>
      <c r="L15" s="8"/>
      <c r="M15" s="8"/>
    </row>
    <row r="16" spans="3:13" ht="26.4" thickBot="1">
      <c r="C16" s="65">
        <v>46143</v>
      </c>
      <c r="D16" s="8" t="s">
        <v>19</v>
      </c>
      <c r="E16" s="8" t="s">
        <v>47</v>
      </c>
      <c r="F16" s="8">
        <v>1016</v>
      </c>
      <c r="G16" s="36" t="s">
        <v>35</v>
      </c>
      <c r="H16" s="39" t="s">
        <v>36</v>
      </c>
      <c r="I16" s="18">
        <v>5020</v>
      </c>
      <c r="J16" s="18">
        <v>5020</v>
      </c>
      <c r="K16" s="1"/>
      <c r="L16" s="8"/>
      <c r="M16" s="8"/>
    </row>
    <row r="17" spans="3:13" ht="26.4" thickBot="1">
      <c r="C17" s="65">
        <v>46143</v>
      </c>
      <c r="D17" s="8" t="s">
        <v>19</v>
      </c>
      <c r="E17" s="8" t="s">
        <v>48</v>
      </c>
      <c r="F17" s="8">
        <v>3025</v>
      </c>
      <c r="G17" s="8" t="s">
        <v>35</v>
      </c>
      <c r="H17" s="39" t="s">
        <v>36</v>
      </c>
      <c r="I17" s="18">
        <v>5000</v>
      </c>
      <c r="J17" s="18">
        <v>5000</v>
      </c>
      <c r="K17" s="1"/>
      <c r="L17" s="8"/>
      <c r="M17" s="8"/>
    </row>
    <row r="18" spans="3:13" ht="26.4" thickBot="1">
      <c r="C18" s="65">
        <v>46144</v>
      </c>
      <c r="D18" s="8" t="s">
        <v>19</v>
      </c>
      <c r="E18" s="37" t="s">
        <v>38</v>
      </c>
      <c r="F18" s="8">
        <v>1028</v>
      </c>
      <c r="G18" s="8" t="s">
        <v>35</v>
      </c>
      <c r="H18" s="39" t="s">
        <v>36</v>
      </c>
      <c r="I18" s="64">
        <v>5726</v>
      </c>
      <c r="J18" s="64">
        <v>4476</v>
      </c>
      <c r="K18" s="1"/>
      <c r="L18" s="8"/>
      <c r="M18" s="8"/>
    </row>
    <row r="19" spans="3:13" ht="26.4" thickBot="1">
      <c r="C19" s="70">
        <v>46145</v>
      </c>
      <c r="D19" s="71" t="s">
        <v>19</v>
      </c>
      <c r="E19" s="104"/>
      <c r="F19" s="105"/>
      <c r="G19" s="71" t="s">
        <v>35</v>
      </c>
      <c r="H19" s="105"/>
      <c r="I19" s="106"/>
      <c r="J19" s="106"/>
      <c r="K19" s="1"/>
      <c r="L19" s="105"/>
      <c r="M19" s="105"/>
    </row>
    <row r="20" spans="3:13" ht="26.4" thickBot="1">
      <c r="C20" s="70">
        <v>46146</v>
      </c>
      <c r="D20" s="71" t="s">
        <v>19</v>
      </c>
      <c r="E20" s="104"/>
      <c r="F20" s="105"/>
      <c r="G20" s="71" t="s">
        <v>35</v>
      </c>
      <c r="H20" s="105"/>
      <c r="I20" s="106"/>
      <c r="J20" s="106"/>
      <c r="K20" s="1"/>
      <c r="L20" s="105"/>
      <c r="M20" s="105"/>
    </row>
    <row r="21" spans="3:13" ht="26.25" customHeight="1" thickBot="1">
      <c r="C21" s="70">
        <v>46147</v>
      </c>
      <c r="D21" s="71" t="s">
        <v>19</v>
      </c>
      <c r="E21" s="104"/>
      <c r="F21" s="105"/>
      <c r="G21" s="71" t="s">
        <v>35</v>
      </c>
      <c r="H21" s="105"/>
      <c r="I21" s="106"/>
      <c r="J21" s="106"/>
      <c r="K21" s="30"/>
      <c r="L21" s="105"/>
      <c r="M21" s="105"/>
    </row>
    <row r="22" spans="3:13" ht="26.25" customHeight="1" thickBot="1">
      <c r="C22" s="70">
        <v>46148</v>
      </c>
      <c r="D22" s="71" t="s">
        <v>19</v>
      </c>
      <c r="E22" s="104"/>
      <c r="F22" s="105"/>
      <c r="G22" s="71" t="s">
        <v>35</v>
      </c>
      <c r="H22" s="105"/>
      <c r="I22" s="106"/>
      <c r="J22" s="106"/>
      <c r="K22" s="1"/>
      <c r="L22" s="105"/>
      <c r="M22" s="105"/>
    </row>
    <row r="23" spans="3:13" ht="26.25" customHeight="1" thickBot="1">
      <c r="C23" s="70">
        <v>46149</v>
      </c>
      <c r="D23" s="71" t="s">
        <v>19</v>
      </c>
      <c r="E23" s="104"/>
      <c r="F23" s="105"/>
      <c r="G23" s="71" t="s">
        <v>35</v>
      </c>
      <c r="H23" s="105"/>
      <c r="I23" s="106"/>
      <c r="J23" s="106"/>
      <c r="K23" s="1"/>
      <c r="L23" s="105"/>
      <c r="M23" s="105"/>
    </row>
    <row r="24" spans="3:13" ht="26.25" customHeight="1" thickBot="1">
      <c r="C24" s="70">
        <v>46150</v>
      </c>
      <c r="D24" s="71" t="s">
        <v>19</v>
      </c>
      <c r="E24" s="104"/>
      <c r="F24" s="105"/>
      <c r="G24" s="71" t="s">
        <v>35</v>
      </c>
      <c r="H24" s="105"/>
      <c r="I24" s="106"/>
      <c r="J24" s="106"/>
      <c r="K24" s="1"/>
      <c r="L24" s="105"/>
      <c r="M24" s="105"/>
    </row>
    <row r="25" spans="3:13" ht="26.25" customHeight="1" thickBot="1">
      <c r="C25" s="70">
        <v>46151</v>
      </c>
      <c r="D25" s="71" t="s">
        <v>19</v>
      </c>
      <c r="E25" s="104"/>
      <c r="F25" s="105"/>
      <c r="G25" s="71" t="s">
        <v>35</v>
      </c>
      <c r="H25" s="105"/>
      <c r="I25" s="106"/>
      <c r="J25" s="106"/>
      <c r="K25" s="1"/>
      <c r="L25" s="105"/>
      <c r="M25" s="105"/>
    </row>
    <row r="26" spans="3:13" ht="26.25" customHeight="1" thickBot="1">
      <c r="C26" s="70">
        <v>46152</v>
      </c>
      <c r="D26" s="71" t="s">
        <v>19</v>
      </c>
      <c r="E26" s="104"/>
      <c r="F26" s="105"/>
      <c r="G26" s="71" t="s">
        <v>35</v>
      </c>
      <c r="H26" s="105"/>
      <c r="I26" s="106"/>
      <c r="J26" s="106"/>
      <c r="K26" s="1"/>
      <c r="L26" s="105"/>
      <c r="M26" s="107"/>
    </row>
    <row r="27" spans="3:13" ht="26.25" customHeight="1" thickBot="1">
      <c r="C27" s="70">
        <v>46153</v>
      </c>
      <c r="D27" s="71" t="s">
        <v>19</v>
      </c>
      <c r="E27" s="111"/>
      <c r="F27" s="71"/>
      <c r="G27" s="71" t="s">
        <v>35</v>
      </c>
      <c r="H27" s="71"/>
      <c r="I27" s="76"/>
      <c r="J27" s="76"/>
      <c r="K27" s="1"/>
      <c r="L27" s="103"/>
      <c r="M27" s="71"/>
    </row>
    <row r="28" spans="3:13" ht="26.25" customHeight="1" thickBot="1">
      <c r="C28" s="9"/>
      <c r="D28" s="42"/>
      <c r="E28" s="42"/>
      <c r="F28" s="8"/>
      <c r="G28" s="8"/>
      <c r="H28" s="8"/>
      <c r="I28" s="13"/>
      <c r="J28" s="13"/>
      <c r="K28" s="1"/>
      <c r="L28" s="8"/>
      <c r="M28" s="8"/>
    </row>
    <row r="29" spans="3:13" ht="26.25" customHeight="1" thickBot="1">
      <c r="C29" s="10"/>
      <c r="D29" s="42"/>
      <c r="E29" s="42"/>
      <c r="F29" s="8"/>
      <c r="G29" s="8"/>
      <c r="H29" s="8"/>
      <c r="I29" s="13"/>
      <c r="J29" s="13"/>
      <c r="K29" s="1"/>
      <c r="L29" s="8"/>
      <c r="M29" s="8"/>
    </row>
    <row r="30" spans="3:13" ht="26.25" customHeight="1" thickBot="1">
      <c r="C30" s="9"/>
      <c r="D30" s="34"/>
      <c r="E30" s="42"/>
      <c r="F30" s="8"/>
      <c r="G30" s="8"/>
      <c r="H30" s="8"/>
      <c r="I30" s="13"/>
      <c r="J30" s="13"/>
      <c r="K30" s="1"/>
      <c r="L30" s="8"/>
      <c r="M30" s="8"/>
    </row>
    <row r="31" spans="3:13" ht="26.25" customHeight="1" thickBot="1">
      <c r="C31" s="9"/>
      <c r="D31" s="42"/>
      <c r="E31" s="42"/>
      <c r="F31" s="37"/>
      <c r="G31" s="8"/>
      <c r="H31" s="8"/>
      <c r="I31" s="13"/>
      <c r="J31" s="13"/>
      <c r="K31" s="1"/>
      <c r="L31" s="8"/>
      <c r="M31" s="8"/>
    </row>
    <row r="32" spans="3:13" ht="26.25" customHeight="1" thickBot="1">
      <c r="C32" s="9"/>
      <c r="D32" s="42"/>
      <c r="E32" s="42"/>
      <c r="F32" s="8"/>
      <c r="G32" s="8"/>
      <c r="H32" s="8"/>
      <c r="I32" s="13"/>
      <c r="J32" s="13"/>
      <c r="K32" s="1"/>
      <c r="L32" s="8"/>
      <c r="M32" s="8"/>
    </row>
    <row r="33" spans="3:13" ht="26.25" customHeight="1" thickBot="1">
      <c r="C33" s="9"/>
      <c r="D33" s="42"/>
      <c r="E33" s="42"/>
      <c r="F33" s="8"/>
      <c r="G33" s="8"/>
      <c r="H33" s="8"/>
      <c r="I33" s="13"/>
      <c r="J33" s="13"/>
      <c r="K33" s="1"/>
      <c r="L33" s="8"/>
      <c r="M33" s="8"/>
    </row>
    <row r="34" spans="3:13" ht="26.25" customHeight="1" thickBot="1">
      <c r="C34" s="9"/>
      <c r="D34" s="42"/>
      <c r="E34" s="42"/>
      <c r="F34" s="8"/>
      <c r="G34" s="8"/>
      <c r="H34" s="8"/>
      <c r="I34" s="13"/>
      <c r="J34" s="13"/>
      <c r="K34" s="1"/>
      <c r="L34" s="8"/>
      <c r="M34" s="8"/>
    </row>
    <row r="35" spans="3:13" ht="26.25" customHeight="1" thickBot="1">
      <c r="C35" s="9"/>
      <c r="D35" s="42"/>
      <c r="E35" s="42"/>
      <c r="F35" s="8"/>
      <c r="G35" s="8"/>
      <c r="H35" s="8"/>
      <c r="I35" s="13"/>
      <c r="J35" s="13"/>
      <c r="K35" s="1"/>
      <c r="L35" s="8"/>
      <c r="M35" s="8"/>
    </row>
    <row r="36" spans="3:13" ht="26.25" customHeight="1" thickBot="1">
      <c r="C36" s="9"/>
      <c r="D36" s="42"/>
      <c r="E36" s="34"/>
      <c r="F36" s="8"/>
      <c r="G36" s="8"/>
      <c r="H36" s="8"/>
      <c r="I36" s="13"/>
      <c r="J36" s="13"/>
      <c r="K36" s="1"/>
      <c r="L36" s="8"/>
      <c r="M36" s="8"/>
    </row>
    <row r="37" spans="3:13" ht="26.25" customHeight="1" thickBot="1">
      <c r="C37" s="9"/>
      <c r="D37" s="42"/>
      <c r="E37" s="42"/>
      <c r="F37" s="8"/>
      <c r="G37" s="8"/>
      <c r="H37" s="8"/>
      <c r="I37" s="13"/>
      <c r="J37" s="13"/>
      <c r="K37" s="1"/>
      <c r="L37" s="8"/>
      <c r="M37" s="8"/>
    </row>
    <row r="38" spans="3:13" ht="26.4" thickBot="1">
      <c r="C38" s="9"/>
      <c r="D38" s="42"/>
      <c r="E38" s="42"/>
      <c r="F38" s="38"/>
      <c r="G38" s="8"/>
      <c r="H38" s="8"/>
      <c r="I38" s="13"/>
      <c r="J38" s="13"/>
      <c r="K38" s="1"/>
      <c r="L38" s="8"/>
      <c r="M38" s="8"/>
    </row>
  </sheetData>
  <mergeCells count="3">
    <mergeCell ref="C2:J4"/>
    <mergeCell ref="L3:M4"/>
    <mergeCell ref="C5:J5"/>
  </mergeCells>
  <conditionalFormatting sqref="F1:F1048576">
    <cfRule type="containsText" dxfId="17" priority="1" operator="containsText" text="white">
      <formula>NOT(ISERROR(SEARCH("white",F1)))</formula>
    </cfRule>
    <cfRule type="containsText" dxfId="16" priority="2" operator="containsText" text="YELLOW">
      <formula>NOT(ISERROR(SEARCH("YELLOW",F1)))</formula>
    </cfRule>
  </conditionalFormatting>
  <dataValidations count="4">
    <dataValidation type="list" allowBlank="1" showInputMessage="1" showErrorMessage="1" sqref="F1:F1048576" xr:uid="{00000000-0002-0000-0100-000000000000}">
      <formula1>"1028,1031,3024,3023,3014,2009,2013,1029,1032,1016,3025"</formula1>
    </dataValidation>
    <dataValidation type="list" allowBlank="1" showInputMessage="1" showErrorMessage="1" sqref="E1:E1048576" xr:uid="{00000000-0002-0000-0100-000001000000}">
      <formula1>"BS-1028,BG-1031,LP-3024(5%),LPP-3023,LRP-3014,PSB-2009,PSG-2013,BS-1029(5%),BG-1032(5%),BM-1016(0.1%),LM-3025(00.1%)"</formula1>
    </dataValidation>
    <dataValidation type="list" allowBlank="1" showInputMessage="1" showErrorMessage="1" sqref="D1:D1048576" xr:uid="{00000000-0002-0000-0100-000002000000}">
      <formula1>"Card"</formula1>
    </dataValidation>
    <dataValidation type="list" allowBlank="1" showInputMessage="1" showErrorMessage="1" sqref="G1:G5 G7:G1048576" xr:uid="{00000000-0002-0000-0100-000003000000}">
      <formula1>"null"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>
    <tabColor theme="0"/>
  </sheetPr>
  <dimension ref="A1:V58"/>
  <sheetViews>
    <sheetView tabSelected="1" topLeftCell="A23" zoomScale="70" zoomScaleNormal="70" workbookViewId="0">
      <selection activeCell="M37" sqref="M37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 ht="15" thickBot="1">
      <c r="J1" s="32"/>
    </row>
    <row r="2" spans="1:22" ht="27" customHeight="1" thickBot="1">
      <c r="C2" s="113" t="s">
        <v>20</v>
      </c>
      <c r="D2" s="114"/>
      <c r="E2" s="114"/>
      <c r="F2" s="114"/>
      <c r="G2" s="114"/>
      <c r="H2" s="114"/>
      <c r="I2" s="114"/>
      <c r="J2" s="115"/>
      <c r="K2" s="1"/>
    </row>
    <row r="3" spans="1:22" ht="27" customHeight="1" thickBot="1">
      <c r="C3" s="116"/>
      <c r="D3" s="117"/>
      <c r="E3" s="117"/>
      <c r="F3" s="117"/>
      <c r="G3" s="117"/>
      <c r="H3" s="117"/>
      <c r="I3" s="117"/>
      <c r="J3" s="118"/>
      <c r="K3" s="1"/>
      <c r="L3" s="122" t="s">
        <v>8</v>
      </c>
      <c r="M3" s="123"/>
    </row>
    <row r="4" spans="1:22" ht="27.75" customHeight="1" thickTop="1" thickBot="1">
      <c r="C4" s="119"/>
      <c r="D4" s="120"/>
      <c r="E4" s="120"/>
      <c r="F4" s="120"/>
      <c r="G4" s="120"/>
      <c r="H4" s="120"/>
      <c r="I4" s="120"/>
      <c r="J4" s="121"/>
      <c r="K4" s="1"/>
      <c r="L4" s="124"/>
      <c r="M4" s="125"/>
    </row>
    <row r="5" spans="1:22" ht="26.4" thickBot="1">
      <c r="C5" s="126"/>
      <c r="D5" s="127"/>
      <c r="E5" s="127"/>
      <c r="F5" s="127"/>
      <c r="G5" s="127"/>
      <c r="H5" s="127"/>
      <c r="I5" s="127"/>
      <c r="J5" s="128"/>
      <c r="K5" s="1"/>
      <c r="L5" s="1"/>
      <c r="M5" s="1"/>
    </row>
    <row r="6" spans="1:22" ht="33" customHeight="1" thickBot="1">
      <c r="C6" s="5" t="s">
        <v>9</v>
      </c>
      <c r="D6" s="5" t="s">
        <v>2</v>
      </c>
      <c r="E6" s="6" t="s">
        <v>3</v>
      </c>
      <c r="F6" s="41" t="s">
        <v>4</v>
      </c>
      <c r="G6" s="5" t="s">
        <v>5</v>
      </c>
      <c r="H6" s="5" t="s">
        <v>15</v>
      </c>
      <c r="I6" s="5" t="s">
        <v>6</v>
      </c>
      <c r="J6" s="7" t="s">
        <v>7</v>
      </c>
      <c r="K6" s="1"/>
      <c r="L6" s="3" t="s">
        <v>1</v>
      </c>
      <c r="M6" s="4" t="s">
        <v>0</v>
      </c>
    </row>
    <row r="7" spans="1:22" ht="26.4" thickBot="1">
      <c r="C7" s="77">
        <v>46143</v>
      </c>
      <c r="D7" s="80" t="s">
        <v>52</v>
      </c>
      <c r="E7" s="80" t="s">
        <v>52</v>
      </c>
      <c r="F7" s="78" t="s">
        <v>52</v>
      </c>
      <c r="G7" s="80" t="s">
        <v>35</v>
      </c>
      <c r="H7" s="80" t="s">
        <v>52</v>
      </c>
      <c r="I7" s="79"/>
      <c r="J7" s="81"/>
      <c r="K7" s="1"/>
      <c r="L7" s="8"/>
      <c r="M7" s="8"/>
    </row>
    <row r="8" spans="1:22" ht="29.4" thickBot="1">
      <c r="C8" s="77">
        <v>46144</v>
      </c>
      <c r="D8" s="80" t="s">
        <v>52</v>
      </c>
      <c r="E8" s="80" t="s">
        <v>52</v>
      </c>
      <c r="F8" s="78" t="s">
        <v>52</v>
      </c>
      <c r="G8" s="80" t="s">
        <v>35</v>
      </c>
      <c r="H8" s="80" t="s">
        <v>52</v>
      </c>
      <c r="I8" s="79">
        <v>0</v>
      </c>
      <c r="J8" s="81">
        <v>0</v>
      </c>
      <c r="K8" s="1"/>
      <c r="L8" s="8"/>
      <c r="M8" s="8"/>
      <c r="P8" s="54"/>
      <c r="Q8" s="54"/>
      <c r="R8" s="54"/>
      <c r="S8" s="54"/>
    </row>
    <row r="9" spans="1:22" ht="27" customHeight="1" thickBot="1">
      <c r="C9" s="77">
        <v>46145</v>
      </c>
      <c r="D9" s="80" t="s">
        <v>52</v>
      </c>
      <c r="E9" s="80" t="s">
        <v>52</v>
      </c>
      <c r="F9" s="78" t="s">
        <v>52</v>
      </c>
      <c r="G9" s="80" t="s">
        <v>35</v>
      </c>
      <c r="H9" s="80" t="s">
        <v>52</v>
      </c>
      <c r="I9" s="79">
        <v>0</v>
      </c>
      <c r="J9" s="81">
        <v>0</v>
      </c>
      <c r="K9" s="1"/>
      <c r="L9" s="8"/>
      <c r="M9" s="8"/>
      <c r="P9" s="52"/>
      <c r="Q9" s="52"/>
      <c r="R9" s="52"/>
      <c r="S9" s="52"/>
    </row>
    <row r="10" spans="1:22" ht="27" customHeight="1" thickBot="1">
      <c r="C10" s="65">
        <v>46146</v>
      </c>
      <c r="D10" s="8" t="s">
        <v>20</v>
      </c>
      <c r="E10" s="37" t="s">
        <v>20</v>
      </c>
      <c r="F10" s="39" t="s">
        <v>21</v>
      </c>
      <c r="G10" s="8" t="s">
        <v>35</v>
      </c>
      <c r="H10" s="39" t="s">
        <v>49</v>
      </c>
      <c r="I10" s="64">
        <v>4</v>
      </c>
      <c r="J10" s="64">
        <v>4</v>
      </c>
      <c r="K10" s="1"/>
      <c r="L10" s="8"/>
      <c r="M10" s="8"/>
      <c r="P10" s="52"/>
      <c r="Q10" s="52"/>
      <c r="R10" s="52"/>
      <c r="S10" s="52"/>
    </row>
    <row r="11" spans="1:22" ht="27" customHeight="1" thickBot="1">
      <c r="C11" s="65">
        <v>46146</v>
      </c>
      <c r="D11" s="8" t="s">
        <v>20</v>
      </c>
      <c r="E11" s="8" t="s">
        <v>20</v>
      </c>
      <c r="F11" s="39" t="s">
        <v>21</v>
      </c>
      <c r="G11" s="8" t="s">
        <v>35</v>
      </c>
      <c r="H11" s="39" t="s">
        <v>1</v>
      </c>
      <c r="I11" s="64">
        <v>4</v>
      </c>
      <c r="J11" s="64">
        <v>10</v>
      </c>
      <c r="K11" s="1"/>
      <c r="L11" s="8"/>
      <c r="M11" s="8"/>
      <c r="P11" s="52"/>
      <c r="Q11" s="52"/>
      <c r="R11" s="52"/>
      <c r="S11" s="52"/>
    </row>
    <row r="12" spans="1:22" ht="26.4" thickBot="1">
      <c r="C12" s="65">
        <v>46146</v>
      </c>
      <c r="D12" s="8" t="s">
        <v>20</v>
      </c>
      <c r="E12" s="8" t="s">
        <v>20</v>
      </c>
      <c r="F12" s="39" t="s">
        <v>22</v>
      </c>
      <c r="G12" s="8" t="s">
        <v>35</v>
      </c>
      <c r="H12" s="39" t="s">
        <v>49</v>
      </c>
      <c r="I12" s="64">
        <v>28</v>
      </c>
      <c r="J12" s="64">
        <v>28</v>
      </c>
      <c r="K12" s="1"/>
      <c r="L12" s="8"/>
      <c r="M12" s="8"/>
    </row>
    <row r="13" spans="1:22" ht="26.4" thickBot="1">
      <c r="C13" s="65">
        <v>46146</v>
      </c>
      <c r="D13" s="37" t="s">
        <v>20</v>
      </c>
      <c r="E13" s="8" t="s">
        <v>20</v>
      </c>
      <c r="F13" s="39" t="s">
        <v>22</v>
      </c>
      <c r="G13" s="8" t="s">
        <v>35</v>
      </c>
      <c r="H13" s="39" t="s">
        <v>1</v>
      </c>
      <c r="I13" s="64">
        <v>28</v>
      </c>
      <c r="J13" s="64">
        <v>74</v>
      </c>
      <c r="K13" s="1"/>
      <c r="L13" s="8"/>
      <c r="M13" s="8"/>
    </row>
    <row r="14" spans="1:22" s="32" customFormat="1" ht="26.4" thickBot="1">
      <c r="A14"/>
      <c r="B14"/>
      <c r="C14" s="65">
        <v>46146</v>
      </c>
      <c r="D14" s="8" t="s">
        <v>20</v>
      </c>
      <c r="E14" s="8" t="s">
        <v>20</v>
      </c>
      <c r="F14" s="12" t="s">
        <v>23</v>
      </c>
      <c r="G14" s="8" t="s">
        <v>35</v>
      </c>
      <c r="H14" s="39" t="s">
        <v>1</v>
      </c>
      <c r="I14" s="64">
        <v>240</v>
      </c>
      <c r="J14" s="64">
        <v>240</v>
      </c>
      <c r="K14" s="1"/>
      <c r="L14" s="8"/>
      <c r="M14" s="8"/>
      <c r="N14"/>
      <c r="O14"/>
      <c r="P14"/>
      <c r="Q14"/>
      <c r="R14"/>
      <c r="S14"/>
      <c r="T14"/>
      <c r="U14"/>
      <c r="V14"/>
    </row>
    <row r="15" spans="1:22" ht="26.4" thickBot="1">
      <c r="C15" s="65">
        <v>46147</v>
      </c>
      <c r="D15" s="8" t="s">
        <v>20</v>
      </c>
      <c r="E15" s="8" t="s">
        <v>20</v>
      </c>
      <c r="F15" s="39" t="s">
        <v>22</v>
      </c>
      <c r="G15" s="8" t="s">
        <v>35</v>
      </c>
      <c r="H15" s="39" t="s">
        <v>1</v>
      </c>
      <c r="I15" s="64">
        <v>74</v>
      </c>
      <c r="J15" s="64">
        <v>166</v>
      </c>
      <c r="K15" s="1"/>
      <c r="L15" s="8"/>
      <c r="M15" s="8"/>
    </row>
    <row r="16" spans="1:22" ht="26.4" thickBot="1">
      <c r="C16" s="65">
        <v>46147</v>
      </c>
      <c r="D16" s="8" t="s">
        <v>20</v>
      </c>
      <c r="E16" s="8" t="s">
        <v>20</v>
      </c>
      <c r="F16" s="39" t="s">
        <v>23</v>
      </c>
      <c r="G16" s="8" t="s">
        <v>35</v>
      </c>
      <c r="H16" s="39" t="s">
        <v>1</v>
      </c>
      <c r="I16" s="64">
        <v>240</v>
      </c>
      <c r="J16" s="63">
        <v>720</v>
      </c>
      <c r="K16" s="1"/>
      <c r="L16" s="8"/>
      <c r="M16" s="8"/>
    </row>
    <row r="17" spans="3:13" ht="26.4" thickBot="1">
      <c r="C17" s="65">
        <v>46147</v>
      </c>
      <c r="D17" s="8" t="s">
        <v>20</v>
      </c>
      <c r="E17" s="8" t="s">
        <v>20</v>
      </c>
      <c r="F17" s="39" t="s">
        <v>21</v>
      </c>
      <c r="G17" s="8" t="s">
        <v>35</v>
      </c>
      <c r="H17" s="39" t="s">
        <v>36</v>
      </c>
      <c r="I17" s="64">
        <v>10</v>
      </c>
      <c r="J17" s="82">
        <v>9</v>
      </c>
      <c r="K17" s="1"/>
      <c r="L17" s="8"/>
      <c r="M17" s="8"/>
    </row>
    <row r="18" spans="3:13" ht="26.4" thickBot="1">
      <c r="C18" s="65">
        <v>46147</v>
      </c>
      <c r="D18" s="8" t="s">
        <v>20</v>
      </c>
      <c r="E18" s="8" t="s">
        <v>20</v>
      </c>
      <c r="F18" s="39" t="s">
        <v>22</v>
      </c>
      <c r="G18" s="8" t="s">
        <v>35</v>
      </c>
      <c r="H18" s="8" t="s">
        <v>36</v>
      </c>
      <c r="I18" s="63">
        <v>166</v>
      </c>
      <c r="J18" s="63">
        <v>164</v>
      </c>
      <c r="K18" s="1"/>
      <c r="L18" s="8"/>
      <c r="M18" s="8"/>
    </row>
    <row r="19" spans="3:13" ht="26.4" thickBot="1">
      <c r="C19" s="65">
        <v>46147</v>
      </c>
      <c r="D19" s="8" t="s">
        <v>20</v>
      </c>
      <c r="E19" s="8" t="s">
        <v>20</v>
      </c>
      <c r="F19" s="39" t="s">
        <v>22</v>
      </c>
      <c r="G19" s="8" t="s">
        <v>35</v>
      </c>
      <c r="H19" s="8" t="s">
        <v>36</v>
      </c>
      <c r="I19" s="63">
        <v>164</v>
      </c>
      <c r="J19" s="63">
        <v>162</v>
      </c>
      <c r="K19" s="1"/>
      <c r="L19" s="8"/>
      <c r="M19" s="8"/>
    </row>
    <row r="20" spans="3:13" ht="26.4" thickBot="1">
      <c r="C20" s="65">
        <v>46147</v>
      </c>
      <c r="D20" s="8" t="s">
        <v>20</v>
      </c>
      <c r="E20" s="8" t="s">
        <v>20</v>
      </c>
      <c r="F20" s="39" t="s">
        <v>23</v>
      </c>
      <c r="G20" s="8" t="s">
        <v>35</v>
      </c>
      <c r="H20" s="8" t="s">
        <v>36</v>
      </c>
      <c r="I20" s="63">
        <v>720</v>
      </c>
      <c r="J20" s="63">
        <v>714</v>
      </c>
      <c r="K20" s="1"/>
      <c r="L20" s="8"/>
      <c r="M20" s="8"/>
    </row>
    <row r="21" spans="3:13" ht="26.25" customHeight="1" thickBot="1">
      <c r="C21" s="65">
        <v>46147</v>
      </c>
      <c r="D21" s="8" t="s">
        <v>20</v>
      </c>
      <c r="E21" s="8" t="s">
        <v>20</v>
      </c>
      <c r="F21" s="39" t="s">
        <v>22</v>
      </c>
      <c r="G21" s="8" t="s">
        <v>35</v>
      </c>
      <c r="H21" s="8" t="s">
        <v>36</v>
      </c>
      <c r="I21" s="63">
        <v>162</v>
      </c>
      <c r="J21" s="63">
        <v>159</v>
      </c>
      <c r="K21" s="30"/>
      <c r="L21" s="31"/>
      <c r="M21" s="31"/>
    </row>
    <row r="22" spans="3:13" ht="26.25" customHeight="1" thickBot="1">
      <c r="C22" s="9">
        <v>46147</v>
      </c>
      <c r="D22" s="8" t="s">
        <v>20</v>
      </c>
      <c r="E22" s="8" t="s">
        <v>20</v>
      </c>
      <c r="F22" s="39" t="s">
        <v>23</v>
      </c>
      <c r="G22" s="8" t="s">
        <v>35</v>
      </c>
      <c r="H22" s="8" t="s">
        <v>36</v>
      </c>
      <c r="I22" s="63">
        <v>714</v>
      </c>
      <c r="J22" s="63">
        <v>707</v>
      </c>
      <c r="K22" s="1"/>
      <c r="L22" s="8"/>
      <c r="M22" s="8"/>
    </row>
    <row r="23" spans="3:13" ht="26.25" customHeight="1" thickBot="1">
      <c r="C23" s="9">
        <v>46148</v>
      </c>
      <c r="D23" s="8" t="s">
        <v>20</v>
      </c>
      <c r="E23" s="8" t="s">
        <v>20</v>
      </c>
      <c r="F23" s="39" t="s">
        <v>22</v>
      </c>
      <c r="G23" s="8" t="s">
        <v>35</v>
      </c>
      <c r="H23" s="8" t="s">
        <v>36</v>
      </c>
      <c r="I23" s="63">
        <v>159</v>
      </c>
      <c r="J23" s="63">
        <v>156</v>
      </c>
      <c r="K23" s="1"/>
      <c r="L23" s="8"/>
      <c r="M23" s="8"/>
    </row>
    <row r="24" spans="3:13" ht="26.25" customHeight="1" thickBot="1">
      <c r="C24" s="9">
        <v>46148</v>
      </c>
      <c r="D24" s="8" t="s">
        <v>20</v>
      </c>
      <c r="E24" s="8" t="s">
        <v>20</v>
      </c>
      <c r="F24" s="39" t="s">
        <v>22</v>
      </c>
      <c r="G24" s="8" t="s">
        <v>35</v>
      </c>
      <c r="H24" s="8" t="s">
        <v>36</v>
      </c>
      <c r="I24" s="63">
        <v>156</v>
      </c>
      <c r="J24" s="63">
        <v>153</v>
      </c>
      <c r="K24" s="1"/>
      <c r="L24" s="8"/>
      <c r="M24" s="8"/>
    </row>
    <row r="25" spans="3:13" ht="26.25" customHeight="1" thickBot="1">
      <c r="C25" s="9">
        <v>46149</v>
      </c>
      <c r="D25" s="8" t="s">
        <v>20</v>
      </c>
      <c r="E25" s="8" t="s">
        <v>20</v>
      </c>
      <c r="F25" s="39" t="s">
        <v>22</v>
      </c>
      <c r="G25" s="8" t="s">
        <v>35</v>
      </c>
      <c r="H25" s="8" t="s">
        <v>36</v>
      </c>
      <c r="I25" s="63">
        <v>153</v>
      </c>
      <c r="J25" s="63">
        <v>151</v>
      </c>
      <c r="K25" s="1"/>
      <c r="L25" s="8"/>
      <c r="M25" s="8"/>
    </row>
    <row r="26" spans="3:13" ht="26.25" customHeight="1" thickBot="1">
      <c r="C26" s="110">
        <v>46150</v>
      </c>
      <c r="D26" s="80" t="s">
        <v>52</v>
      </c>
      <c r="E26" s="80" t="s">
        <v>52</v>
      </c>
      <c r="F26" s="80" t="s">
        <v>52</v>
      </c>
      <c r="G26" s="80" t="s">
        <v>35</v>
      </c>
      <c r="H26" s="80" t="s">
        <v>52</v>
      </c>
      <c r="I26" s="112">
        <v>0</v>
      </c>
      <c r="J26" s="112">
        <v>0</v>
      </c>
      <c r="K26" s="1"/>
      <c r="L26" s="71"/>
      <c r="M26" s="102"/>
    </row>
    <row r="27" spans="3:13" ht="26.25" customHeight="1" thickBot="1">
      <c r="C27" s="110">
        <v>46151</v>
      </c>
      <c r="D27" s="80" t="s">
        <v>52</v>
      </c>
      <c r="E27" s="80" t="s">
        <v>52</v>
      </c>
      <c r="F27" s="80" t="s">
        <v>52</v>
      </c>
      <c r="G27" s="80" t="s">
        <v>35</v>
      </c>
      <c r="H27" s="80" t="s">
        <v>52</v>
      </c>
      <c r="I27" s="112">
        <v>0</v>
      </c>
      <c r="J27" s="112">
        <v>0</v>
      </c>
      <c r="K27" s="1"/>
      <c r="L27" s="103"/>
      <c r="M27" s="71"/>
    </row>
    <row r="28" spans="3:13" ht="26.25" customHeight="1" thickBot="1">
      <c r="C28" s="9">
        <v>46152</v>
      </c>
      <c r="D28" s="8" t="s">
        <v>20</v>
      </c>
      <c r="E28" s="8" t="s">
        <v>20</v>
      </c>
      <c r="F28" s="39" t="s">
        <v>21</v>
      </c>
      <c r="G28" s="8" t="s">
        <v>35</v>
      </c>
      <c r="H28" s="8" t="s">
        <v>36</v>
      </c>
      <c r="I28" s="13">
        <v>9</v>
      </c>
      <c r="J28" s="82">
        <v>6</v>
      </c>
      <c r="K28" s="1"/>
      <c r="L28" s="8"/>
      <c r="M28" s="8"/>
    </row>
    <row r="29" spans="3:13" ht="26.25" customHeight="1" thickBot="1">
      <c r="C29" s="9">
        <v>46152</v>
      </c>
      <c r="D29" s="8" t="s">
        <v>20</v>
      </c>
      <c r="E29" s="8" t="s">
        <v>20</v>
      </c>
      <c r="F29" s="39" t="s">
        <v>23</v>
      </c>
      <c r="G29" s="8" t="s">
        <v>35</v>
      </c>
      <c r="H29" s="8" t="s">
        <v>36</v>
      </c>
      <c r="I29" s="13">
        <v>707</v>
      </c>
      <c r="J29" s="13">
        <v>701</v>
      </c>
      <c r="K29" s="1"/>
      <c r="L29" s="8"/>
      <c r="M29" s="8"/>
    </row>
    <row r="30" spans="3:13" ht="26.25" customHeight="1" thickBot="1">
      <c r="C30" s="9">
        <v>46153</v>
      </c>
      <c r="D30" s="8" t="s">
        <v>20</v>
      </c>
      <c r="E30" s="8" t="s">
        <v>20</v>
      </c>
      <c r="F30" s="39" t="s">
        <v>23</v>
      </c>
      <c r="G30" s="8" t="s">
        <v>35</v>
      </c>
      <c r="H30" s="8" t="s">
        <v>36</v>
      </c>
      <c r="I30" s="13">
        <v>701</v>
      </c>
      <c r="J30" s="13">
        <v>689</v>
      </c>
      <c r="K30" s="1"/>
      <c r="L30" s="8"/>
      <c r="M30" s="8"/>
    </row>
    <row r="31" spans="3:13" ht="26.25" customHeight="1" thickBot="1">
      <c r="C31" s="9">
        <v>46154</v>
      </c>
      <c r="D31" s="8" t="s">
        <v>20</v>
      </c>
      <c r="E31" s="8" t="s">
        <v>20</v>
      </c>
      <c r="F31" s="12" t="s">
        <v>23</v>
      </c>
      <c r="G31" s="8" t="s">
        <v>35</v>
      </c>
      <c r="H31" s="8" t="s">
        <v>36</v>
      </c>
      <c r="I31" s="13">
        <v>689</v>
      </c>
      <c r="J31" s="13">
        <v>683</v>
      </c>
      <c r="K31" s="1"/>
      <c r="L31" s="8"/>
      <c r="M31" s="8"/>
    </row>
    <row r="32" spans="3:13" ht="26.25" customHeight="1" thickBot="1">
      <c r="C32" s="9">
        <v>46155</v>
      </c>
      <c r="D32" s="8" t="s">
        <v>20</v>
      </c>
      <c r="E32" s="8" t="s">
        <v>20</v>
      </c>
      <c r="F32" s="39" t="s">
        <v>23</v>
      </c>
      <c r="G32" s="8" t="s">
        <v>35</v>
      </c>
      <c r="H32" s="8" t="s">
        <v>36</v>
      </c>
      <c r="I32" s="13">
        <v>683</v>
      </c>
      <c r="J32" s="13">
        <v>677</v>
      </c>
      <c r="K32" s="1"/>
      <c r="L32" s="8"/>
      <c r="M32" s="8"/>
    </row>
    <row r="33" spans="3:13" ht="26.25" customHeight="1" thickBot="1">
      <c r="C33" s="110">
        <v>46156</v>
      </c>
      <c r="D33" s="206" t="s">
        <v>52</v>
      </c>
      <c r="E33" s="80" t="s">
        <v>52</v>
      </c>
      <c r="F33" s="78" t="s">
        <v>52</v>
      </c>
      <c r="G33" s="80" t="s">
        <v>35</v>
      </c>
      <c r="H33" s="80" t="s">
        <v>52</v>
      </c>
      <c r="I33" s="112">
        <v>0</v>
      </c>
      <c r="J33" s="112">
        <v>0</v>
      </c>
      <c r="K33" s="1"/>
      <c r="L33" s="80"/>
      <c r="M33" s="80"/>
    </row>
    <row r="34" spans="3:13" ht="26.25" customHeight="1" thickBot="1">
      <c r="C34" s="110">
        <v>46157</v>
      </c>
      <c r="D34" s="80" t="s">
        <v>52</v>
      </c>
      <c r="E34" s="80" t="s">
        <v>52</v>
      </c>
      <c r="F34" s="78" t="s">
        <v>52</v>
      </c>
      <c r="G34" s="80" t="s">
        <v>35</v>
      </c>
      <c r="H34" s="80" t="s">
        <v>52</v>
      </c>
      <c r="I34" s="112">
        <v>0</v>
      </c>
      <c r="J34" s="112">
        <v>0</v>
      </c>
      <c r="K34" s="1"/>
      <c r="L34" s="80"/>
      <c r="M34" s="80"/>
    </row>
    <row r="35" spans="3:13" ht="26.25" customHeight="1" thickBot="1">
      <c r="C35" s="9">
        <v>46158</v>
      </c>
      <c r="D35" s="8" t="s">
        <v>20</v>
      </c>
      <c r="E35" s="8" t="s">
        <v>20</v>
      </c>
      <c r="F35" s="39" t="s">
        <v>21</v>
      </c>
      <c r="G35" s="8" t="s">
        <v>35</v>
      </c>
      <c r="H35" s="8" t="s">
        <v>36</v>
      </c>
      <c r="I35" s="13">
        <v>6</v>
      </c>
      <c r="J35" s="82">
        <v>5</v>
      </c>
      <c r="K35" s="1"/>
      <c r="L35" s="8"/>
      <c r="M35" s="8"/>
    </row>
    <row r="36" spans="3:13" ht="26.25" customHeight="1" thickBot="1">
      <c r="C36" s="9">
        <v>46158</v>
      </c>
      <c r="D36" s="8" t="s">
        <v>20</v>
      </c>
      <c r="E36" s="8" t="s">
        <v>20</v>
      </c>
      <c r="F36" s="39" t="s">
        <v>22</v>
      </c>
      <c r="G36" s="8" t="s">
        <v>35</v>
      </c>
      <c r="H36" s="8" t="s">
        <v>36</v>
      </c>
      <c r="I36" s="13">
        <v>151</v>
      </c>
      <c r="J36" s="13">
        <v>149</v>
      </c>
      <c r="K36" s="1"/>
      <c r="L36" s="8"/>
      <c r="M36" s="8"/>
    </row>
    <row r="37" spans="3:13" ht="26.25" customHeight="1" thickBot="1">
      <c r="C37" s="50"/>
      <c r="D37" s="8"/>
      <c r="E37" s="8"/>
      <c r="F37" s="39"/>
      <c r="G37" s="8"/>
      <c r="H37" s="8"/>
      <c r="I37" s="13"/>
      <c r="J37" s="13"/>
      <c r="K37" s="1"/>
      <c r="L37" s="8"/>
      <c r="M37" s="8"/>
    </row>
    <row r="38" spans="3:13" ht="26.4" thickBot="1">
      <c r="C38" s="50"/>
      <c r="D38" s="42"/>
      <c r="E38" s="42"/>
      <c r="F38" s="49"/>
      <c r="G38" s="8"/>
      <c r="H38" s="8"/>
      <c r="I38" s="13"/>
      <c r="J38" s="13"/>
      <c r="K38" s="1"/>
      <c r="L38" s="8"/>
      <c r="M38" s="8"/>
    </row>
    <row r="39" spans="3:13" ht="26.25" customHeight="1" thickBot="1">
      <c r="C39" s="51"/>
      <c r="D39" s="42"/>
      <c r="E39" s="42"/>
      <c r="F39" s="48"/>
      <c r="G39" s="45"/>
      <c r="H39" s="48"/>
      <c r="I39" s="48"/>
      <c r="J39" s="48"/>
      <c r="L39" s="48"/>
      <c r="M39" s="48"/>
    </row>
    <row r="40" spans="3:13" ht="26.25" customHeight="1" thickBot="1">
      <c r="C40" s="51"/>
      <c r="D40" s="42"/>
      <c r="E40" s="42"/>
      <c r="F40" s="48"/>
      <c r="H40" s="48"/>
      <c r="I40" s="48"/>
      <c r="J40" s="48"/>
      <c r="L40" s="48"/>
      <c r="M40" s="48"/>
    </row>
    <row r="41" spans="3:13" ht="26.25" customHeight="1" thickBot="1">
      <c r="C41" s="51"/>
      <c r="D41" s="42"/>
      <c r="E41" s="34"/>
      <c r="F41" s="48"/>
      <c r="H41" s="48"/>
      <c r="I41" s="48"/>
      <c r="J41" s="48"/>
      <c r="L41" s="48"/>
      <c r="M41" s="48"/>
    </row>
    <row r="42" spans="3:13" ht="26.25" customHeight="1" thickBot="1">
      <c r="C42" s="51"/>
      <c r="D42" s="42"/>
      <c r="E42" s="42"/>
      <c r="F42" s="48"/>
      <c r="H42" s="48"/>
      <c r="I42" s="48"/>
      <c r="J42" s="48"/>
      <c r="L42" s="48"/>
      <c r="M42" s="48"/>
    </row>
    <row r="43" spans="3:13" ht="26.25" customHeight="1" thickBot="1">
      <c r="C43" s="51"/>
      <c r="D43" s="34"/>
      <c r="E43" s="42"/>
      <c r="F43" s="48"/>
      <c r="H43" s="48"/>
      <c r="I43" s="48"/>
      <c r="J43" s="48"/>
      <c r="L43" s="48"/>
      <c r="M43" s="48"/>
    </row>
    <row r="44" spans="3:13" ht="26.25" customHeight="1" thickBot="1">
      <c r="C44" s="51"/>
      <c r="D44" s="42"/>
      <c r="E44" s="42"/>
      <c r="F44" s="48"/>
      <c r="H44" s="48"/>
      <c r="I44" s="48"/>
      <c r="J44" s="48"/>
      <c r="L44" s="48"/>
      <c r="M44" s="48"/>
    </row>
    <row r="45" spans="3:13" ht="26.25" customHeight="1" thickBot="1">
      <c r="C45" s="51"/>
      <c r="D45" s="42"/>
      <c r="E45" s="42"/>
      <c r="F45" s="48"/>
      <c r="H45" s="48"/>
      <c r="I45" s="48"/>
      <c r="J45" s="48"/>
      <c r="L45" s="48"/>
      <c r="M45" s="48"/>
    </row>
    <row r="46" spans="3:13" ht="26.25" customHeight="1" thickBot="1">
      <c r="C46" s="46"/>
      <c r="D46" s="42"/>
      <c r="E46" s="42"/>
      <c r="F46" s="48"/>
      <c r="G46" s="47"/>
      <c r="H46" s="48"/>
      <c r="I46" s="48"/>
      <c r="J46" s="48"/>
      <c r="L46" s="48"/>
      <c r="M46" s="48"/>
    </row>
    <row r="47" spans="3:13" ht="26.25" customHeight="1"/>
    <row r="48" spans="3:13" ht="26.25" customHeight="1"/>
    <row r="49" ht="26.25" customHeight="1"/>
    <row r="50" ht="26.25" customHeight="1"/>
    <row r="51" ht="26.25" customHeight="1"/>
    <row r="52" ht="26.25" customHeight="1"/>
    <row r="53" ht="26.25" customHeight="1"/>
    <row r="54" ht="26.25" customHeight="1"/>
    <row r="55" ht="26.25" customHeight="1"/>
    <row r="56" ht="26.25" customHeight="1"/>
    <row r="57" ht="26.25" customHeight="1"/>
    <row r="58" ht="26.25" customHeight="1"/>
  </sheetData>
  <mergeCells count="3">
    <mergeCell ref="C2:J4"/>
    <mergeCell ref="L3:M4"/>
    <mergeCell ref="C5:J5"/>
  </mergeCells>
  <conditionalFormatting sqref="F1:F25 F28:F1048576">
    <cfRule type="containsText" dxfId="30" priority="12" operator="containsText" text="white">
      <formula>NOT(ISERROR(SEARCH("white",F1)))</formula>
    </cfRule>
    <cfRule type="containsText" dxfId="29" priority="13" operator="containsText" text="YELLOW">
      <formula>NOT(ISERROR(SEARCH("YELLOW",F1)))</formula>
    </cfRule>
  </conditionalFormatting>
  <conditionalFormatting sqref="J1:J7 J10:J11 J13 J15:J1048576">
    <cfRule type="containsText" dxfId="28" priority="7" operator="containsText" text="120">
      <formula>NOT(ISERROR(SEARCH("120",J1)))</formula>
    </cfRule>
    <cfRule type="containsText" dxfId="27" priority="8" operator="containsText" text="10">
      <formula>NOT(ISERROR(SEARCH("10",J1)))</formula>
    </cfRule>
  </conditionalFormatting>
  <conditionalFormatting sqref="J8:J9">
    <cfRule type="containsText" dxfId="26" priority="2" operator="containsText" text="120">
      <formula>NOT(ISERROR(SEARCH("120",J8)))</formula>
    </cfRule>
    <cfRule type="containsText" dxfId="25" priority="3" operator="containsText" text="10">
      <formula>NOT(ISERROR(SEARCH("10",J8)))</formula>
    </cfRule>
  </conditionalFormatting>
  <conditionalFormatting sqref="G1:G1048576">
    <cfRule type="containsText" dxfId="24" priority="1" operator="containsText" text="null">
      <formula>NOT(ISERROR(SEARCH("null",G1)))</formula>
    </cfRule>
  </conditionalFormatting>
  <dataValidations count="3">
    <dataValidation type="list" allowBlank="1" showInputMessage="1" showErrorMessage="1" sqref="G1:G5 G7:G1048576" xr:uid="{00000000-0002-0000-0200-000002000000}">
      <formula1>"null"</formula1>
    </dataValidation>
    <dataValidation type="list" allowBlank="1" showInputMessage="1" showErrorMessage="1" sqref="D2:E5 F26:F27 D7:E1048576 H26:H27 H7:H9 H33:H34" xr:uid="{96061B77-D5AD-45A4-9187-1856D2663BA5}">
      <formula1>"Shrink,No Data"</formula1>
    </dataValidation>
    <dataValidation type="list" allowBlank="1" showInputMessage="1" showErrorMessage="1" sqref="F2:F5 F28:F1048576 F7:F25" xr:uid="{0A679AB5-D051-497F-BBAA-7901CA98695D}">
      <formula1>",Machine B, Machine S,Manual,No Data"</formula1>
    </dataValidation>
  </dataValidations>
  <pageMargins left="0.75" right="0.75" top="1" bottom="1" header="0.5" footer="0.5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" operator="containsText" id="{A8CB64D9-D5BF-40D1-8ADA-5F1B70336D40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J1:J7 J10:J11 J13 J15:J1048576</xm:sqref>
        </x14:conditionalFormatting>
        <x14:conditionalFormatting xmlns:xm="http://schemas.microsoft.com/office/excel/2006/main">
          <x14:cfRule type="containsText" priority="4" operator="containsText" id="{09401E91-6849-41B6-AA44-E8D716C06075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B0E52-5864-481B-A8A4-359388DC0DF8}">
  <sheetPr codeName="Sheet14">
    <tabColor theme="0"/>
  </sheetPr>
  <dimension ref="A1:V100"/>
  <sheetViews>
    <sheetView topLeftCell="A3" zoomScale="70" zoomScaleNormal="70" workbookViewId="0">
      <selection activeCell="I16" sqref="I16"/>
    </sheetView>
  </sheetViews>
  <sheetFormatPr defaultRowHeight="14.4"/>
  <cols>
    <col min="3" max="3" width="41.44140625" customWidth="1"/>
    <col min="4" max="4" width="23.33203125" customWidth="1"/>
    <col min="5" max="5" width="28" customWidth="1"/>
    <col min="6" max="6" width="19.5546875" customWidth="1"/>
    <col min="7" max="7" width="9.44140625" customWidth="1"/>
    <col min="8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1:22">
      <c r="J1" s="32"/>
    </row>
    <row r="2" spans="1:22" ht="27" customHeight="1">
      <c r="C2" s="129" t="s">
        <v>20</v>
      </c>
      <c r="D2" s="129"/>
      <c r="E2" s="129"/>
      <c r="F2" s="129"/>
      <c r="G2" s="129"/>
      <c r="H2" s="129"/>
      <c r="I2" s="129"/>
      <c r="J2" s="129"/>
      <c r="K2" s="1"/>
    </row>
    <row r="3" spans="1:22" ht="27" customHeight="1">
      <c r="C3" s="129"/>
      <c r="D3" s="129"/>
      <c r="E3" s="129"/>
      <c r="F3" s="129"/>
      <c r="G3" s="129"/>
      <c r="H3" s="129"/>
      <c r="I3" s="129"/>
      <c r="J3" s="129"/>
      <c r="K3" s="1"/>
      <c r="L3" s="130" t="s">
        <v>8</v>
      </c>
      <c r="M3" s="130"/>
    </row>
    <row r="4" spans="1:22" ht="27.75" customHeight="1">
      <c r="C4" s="129"/>
      <c r="D4" s="129"/>
      <c r="E4" s="129"/>
      <c r="F4" s="129"/>
      <c r="G4" s="129"/>
      <c r="H4" s="129"/>
      <c r="I4" s="129"/>
      <c r="J4" s="129"/>
      <c r="K4" s="1"/>
      <c r="L4" s="130"/>
      <c r="M4" s="130"/>
    </row>
    <row r="5" spans="1:22" ht="25.8">
      <c r="C5" s="131"/>
      <c r="D5" s="131"/>
      <c r="E5" s="131"/>
      <c r="F5" s="131"/>
      <c r="G5" s="131"/>
      <c r="H5" s="131"/>
      <c r="I5" s="131"/>
      <c r="J5" s="131"/>
      <c r="K5" s="1"/>
      <c r="L5" s="1"/>
      <c r="M5" s="1"/>
    </row>
    <row r="6" spans="1:22" ht="33" customHeight="1" thickBot="1">
      <c r="C6" s="85" t="s">
        <v>9</v>
      </c>
      <c r="D6" s="85" t="s">
        <v>2</v>
      </c>
      <c r="E6" s="85" t="s">
        <v>3</v>
      </c>
      <c r="F6" s="86" t="s">
        <v>4</v>
      </c>
      <c r="G6" s="85" t="s">
        <v>5</v>
      </c>
      <c r="H6" s="85" t="s">
        <v>15</v>
      </c>
      <c r="I6" s="85" t="s">
        <v>6</v>
      </c>
      <c r="J6" s="85" t="s">
        <v>7</v>
      </c>
      <c r="K6" s="1"/>
      <c r="L6" s="87" t="s">
        <v>1</v>
      </c>
      <c r="M6" s="88" t="s">
        <v>0</v>
      </c>
    </row>
    <row r="7" spans="1:22" ht="26.4" thickBot="1">
      <c r="C7" s="9">
        <v>46149</v>
      </c>
      <c r="D7" s="90" t="s">
        <v>50</v>
      </c>
      <c r="E7" s="90" t="s">
        <v>50</v>
      </c>
      <c r="F7" s="91" t="s">
        <v>51</v>
      </c>
      <c r="G7" s="91" t="s">
        <v>35</v>
      </c>
      <c r="H7" s="90" t="s">
        <v>37</v>
      </c>
      <c r="I7" s="92">
        <v>764</v>
      </c>
      <c r="J7" s="92">
        <v>764</v>
      </c>
      <c r="K7" s="1"/>
      <c r="L7" s="93"/>
      <c r="M7" s="93"/>
    </row>
    <row r="8" spans="1:22" ht="29.4" thickBot="1">
      <c r="C8" s="110">
        <v>46150</v>
      </c>
      <c r="D8" s="99" t="s">
        <v>50</v>
      </c>
      <c r="E8" s="99" t="s">
        <v>50</v>
      </c>
      <c r="F8" s="98"/>
      <c r="G8" s="91" t="s">
        <v>35</v>
      </c>
      <c r="H8" s="99"/>
      <c r="I8" s="100"/>
      <c r="J8" s="100"/>
      <c r="K8" s="1"/>
      <c r="L8" s="101"/>
      <c r="M8" s="101"/>
      <c r="P8" s="54"/>
      <c r="Q8" s="54"/>
      <c r="R8" s="54"/>
      <c r="S8" s="54"/>
    </row>
    <row r="9" spans="1:22" ht="27" customHeight="1" thickBot="1">
      <c r="C9" s="110">
        <v>46151</v>
      </c>
      <c r="D9" s="99" t="s">
        <v>50</v>
      </c>
      <c r="E9" s="99" t="s">
        <v>50</v>
      </c>
      <c r="F9" s="98"/>
      <c r="G9" s="91" t="s">
        <v>35</v>
      </c>
      <c r="H9" s="99"/>
      <c r="I9" s="100"/>
      <c r="J9" s="100"/>
      <c r="K9" s="1"/>
      <c r="L9" s="101"/>
      <c r="M9" s="101"/>
      <c r="P9" s="52"/>
      <c r="Q9" s="52"/>
      <c r="R9" s="52"/>
      <c r="S9" s="52"/>
    </row>
    <row r="10" spans="1:22" ht="27" customHeight="1" thickBot="1">
      <c r="C10" s="110">
        <v>46152</v>
      </c>
      <c r="D10" s="99" t="s">
        <v>50</v>
      </c>
      <c r="E10" s="99" t="s">
        <v>50</v>
      </c>
      <c r="F10" s="98"/>
      <c r="G10" s="91" t="s">
        <v>35</v>
      </c>
      <c r="H10" s="99"/>
      <c r="I10" s="100"/>
      <c r="J10" s="100"/>
      <c r="K10" s="1"/>
      <c r="L10" s="101"/>
      <c r="M10" s="101"/>
      <c r="P10" s="52"/>
      <c r="Q10" s="52"/>
      <c r="R10" s="52"/>
      <c r="S10" s="52"/>
    </row>
    <row r="11" spans="1:22" ht="27" customHeight="1" thickBot="1">
      <c r="C11" s="204">
        <v>46153</v>
      </c>
      <c r="D11" s="99" t="s">
        <v>50</v>
      </c>
      <c r="E11" s="99" t="s">
        <v>50</v>
      </c>
      <c r="F11" s="98"/>
      <c r="G11" s="98" t="s">
        <v>35</v>
      </c>
      <c r="H11" s="99"/>
      <c r="I11" s="100"/>
      <c r="J11" s="100"/>
      <c r="K11" s="1"/>
      <c r="L11" s="101"/>
      <c r="M11" s="101"/>
      <c r="P11" s="52"/>
      <c r="Q11" s="52"/>
      <c r="R11" s="52"/>
      <c r="S11" s="52"/>
    </row>
    <row r="12" spans="1:22" ht="26.4" thickBot="1">
      <c r="C12" s="204">
        <v>46154</v>
      </c>
      <c r="D12" s="99" t="s">
        <v>50</v>
      </c>
      <c r="E12" s="99" t="s">
        <v>50</v>
      </c>
      <c r="F12" s="98"/>
      <c r="G12" s="98" t="s">
        <v>35</v>
      </c>
      <c r="H12" s="99"/>
      <c r="I12" s="100"/>
      <c r="J12" s="100"/>
      <c r="K12" s="1"/>
      <c r="L12" s="101"/>
      <c r="M12" s="101"/>
    </row>
    <row r="13" spans="1:22" ht="26.4" thickBot="1">
      <c r="C13" s="204">
        <v>46155</v>
      </c>
      <c r="D13" s="99" t="s">
        <v>50</v>
      </c>
      <c r="E13" s="99" t="s">
        <v>50</v>
      </c>
      <c r="F13" s="98"/>
      <c r="G13" s="98" t="s">
        <v>35</v>
      </c>
      <c r="H13" s="99"/>
      <c r="I13" s="100"/>
      <c r="J13" s="100"/>
      <c r="K13" s="1"/>
      <c r="L13" s="101"/>
      <c r="M13" s="101"/>
    </row>
    <row r="14" spans="1:22" s="32" customFormat="1" ht="26.4" thickBot="1">
      <c r="A14"/>
      <c r="B14"/>
      <c r="C14" s="9">
        <v>46156</v>
      </c>
      <c r="D14" s="90" t="s">
        <v>50</v>
      </c>
      <c r="E14" s="90" t="s">
        <v>50</v>
      </c>
      <c r="F14" s="91" t="s">
        <v>51</v>
      </c>
      <c r="G14" s="91" t="s">
        <v>35</v>
      </c>
      <c r="H14" s="90" t="s">
        <v>53</v>
      </c>
      <c r="I14" s="92">
        <v>764</v>
      </c>
      <c r="J14" s="92">
        <v>716</v>
      </c>
      <c r="K14" s="1"/>
      <c r="L14" s="93"/>
      <c r="M14" s="93"/>
      <c r="N14"/>
      <c r="O14"/>
      <c r="P14"/>
      <c r="Q14"/>
      <c r="R14"/>
      <c r="S14"/>
      <c r="T14"/>
      <c r="U14"/>
      <c r="V14"/>
    </row>
    <row r="15" spans="1:22" ht="25.8">
      <c r="C15" s="89"/>
      <c r="D15" s="90" t="s">
        <v>50</v>
      </c>
      <c r="E15" s="90" t="s">
        <v>50</v>
      </c>
      <c r="F15" s="91"/>
      <c r="G15" s="91" t="s">
        <v>35</v>
      </c>
      <c r="H15" s="90"/>
      <c r="I15" s="92"/>
      <c r="J15" s="92"/>
      <c r="K15" s="1"/>
      <c r="L15" s="93"/>
      <c r="M15" s="93"/>
    </row>
    <row r="16" spans="1:22" ht="25.8">
      <c r="C16" s="89"/>
      <c r="D16" s="90" t="s">
        <v>50</v>
      </c>
      <c r="E16" s="90" t="s">
        <v>50</v>
      </c>
      <c r="F16" s="91"/>
      <c r="G16" s="91" t="s">
        <v>35</v>
      </c>
      <c r="H16" s="90"/>
      <c r="I16" s="92"/>
      <c r="J16" s="94"/>
      <c r="K16" s="1"/>
      <c r="L16" s="93"/>
      <c r="M16" s="93"/>
    </row>
    <row r="17" spans="3:13" ht="25.8">
      <c r="C17" s="89"/>
      <c r="D17" s="90" t="s">
        <v>50</v>
      </c>
      <c r="E17" s="90" t="s">
        <v>50</v>
      </c>
      <c r="F17" s="91"/>
      <c r="G17" s="91" t="s">
        <v>35</v>
      </c>
      <c r="H17" s="90"/>
      <c r="I17" s="92"/>
      <c r="J17" s="94"/>
      <c r="K17" s="1"/>
      <c r="L17" s="93"/>
      <c r="M17" s="93"/>
    </row>
    <row r="18" spans="3:13" ht="25.8">
      <c r="C18" s="89"/>
      <c r="D18" s="90" t="s">
        <v>50</v>
      </c>
      <c r="E18" s="90" t="s">
        <v>50</v>
      </c>
      <c r="F18" s="91"/>
      <c r="G18" s="91" t="s">
        <v>35</v>
      </c>
      <c r="H18" s="90"/>
      <c r="I18" s="94"/>
      <c r="J18" s="94"/>
      <c r="K18" s="1"/>
      <c r="L18" s="93"/>
      <c r="M18" s="93"/>
    </row>
    <row r="19" spans="3:13" ht="25.8">
      <c r="C19" s="89"/>
      <c r="D19" s="90" t="s">
        <v>50</v>
      </c>
      <c r="E19" s="90" t="s">
        <v>50</v>
      </c>
      <c r="F19" s="91"/>
      <c r="G19" s="91" t="s">
        <v>35</v>
      </c>
      <c r="H19" s="90"/>
      <c r="I19" s="94"/>
      <c r="J19" s="94"/>
      <c r="K19" s="1"/>
      <c r="L19" s="93"/>
      <c r="M19" s="93"/>
    </row>
    <row r="20" spans="3:13" ht="25.8">
      <c r="C20" s="89"/>
      <c r="D20" s="90" t="s">
        <v>50</v>
      </c>
      <c r="E20" s="90" t="s">
        <v>50</v>
      </c>
      <c r="F20" s="91"/>
      <c r="G20" s="91" t="s">
        <v>35</v>
      </c>
      <c r="H20" s="90"/>
      <c r="I20" s="94"/>
      <c r="J20" s="94"/>
      <c r="K20" s="1"/>
      <c r="L20" s="93"/>
      <c r="M20" s="93"/>
    </row>
    <row r="21" spans="3:13" ht="26.25" customHeight="1">
      <c r="C21" s="89"/>
      <c r="D21" s="90" t="s">
        <v>50</v>
      </c>
      <c r="E21" s="90" t="s">
        <v>50</v>
      </c>
      <c r="F21" s="91"/>
      <c r="G21" s="91" t="s">
        <v>35</v>
      </c>
      <c r="H21" s="90"/>
      <c r="I21" s="94"/>
      <c r="J21" s="94"/>
      <c r="K21" s="30"/>
      <c r="L21" s="26"/>
      <c r="M21" s="26"/>
    </row>
    <row r="22" spans="3:13" ht="26.25" customHeight="1">
      <c r="C22" s="89"/>
      <c r="D22" s="90" t="s">
        <v>50</v>
      </c>
      <c r="E22" s="90" t="s">
        <v>50</v>
      </c>
      <c r="F22" s="91"/>
      <c r="G22" s="91" t="s">
        <v>35</v>
      </c>
      <c r="H22" s="90"/>
      <c r="I22" s="94"/>
      <c r="J22" s="94"/>
      <c r="K22" s="1"/>
      <c r="L22" s="93"/>
      <c r="M22" s="93"/>
    </row>
    <row r="23" spans="3:13" ht="26.25" customHeight="1">
      <c r="C23" s="89"/>
      <c r="D23" s="90" t="s">
        <v>50</v>
      </c>
      <c r="E23" s="90" t="s">
        <v>50</v>
      </c>
      <c r="F23" s="91"/>
      <c r="G23" s="91" t="s">
        <v>35</v>
      </c>
      <c r="H23" s="90"/>
      <c r="I23" s="94"/>
      <c r="J23" s="94"/>
      <c r="K23" s="1"/>
      <c r="L23" s="93"/>
      <c r="M23" s="93"/>
    </row>
    <row r="24" spans="3:13" ht="26.25" customHeight="1">
      <c r="C24" s="89"/>
      <c r="D24" s="90" t="s">
        <v>50</v>
      </c>
      <c r="E24" s="90" t="s">
        <v>50</v>
      </c>
      <c r="F24" s="91"/>
      <c r="G24" s="91" t="s">
        <v>35</v>
      </c>
      <c r="H24" s="90"/>
      <c r="I24" s="94"/>
      <c r="J24" s="94"/>
      <c r="K24" s="1"/>
      <c r="L24" s="93"/>
      <c r="M24" s="93"/>
    </row>
    <row r="25" spans="3:13" ht="26.25" customHeight="1">
      <c r="C25" s="89"/>
      <c r="D25" s="90" t="s">
        <v>50</v>
      </c>
      <c r="E25" s="90" t="s">
        <v>50</v>
      </c>
      <c r="F25" s="91"/>
      <c r="G25" s="91" t="s">
        <v>35</v>
      </c>
      <c r="H25" s="90"/>
      <c r="I25" s="94"/>
      <c r="J25" s="94"/>
      <c r="K25" s="1"/>
      <c r="L25" s="93"/>
      <c r="M25" s="93"/>
    </row>
    <row r="26" spans="3:13" ht="26.25" customHeight="1">
      <c r="C26" s="89"/>
      <c r="D26" s="90" t="s">
        <v>50</v>
      </c>
      <c r="E26" s="90" t="s">
        <v>50</v>
      </c>
      <c r="F26" s="91"/>
      <c r="G26" s="91" t="s">
        <v>35</v>
      </c>
      <c r="H26" s="90"/>
      <c r="I26" s="94"/>
      <c r="J26" s="94"/>
      <c r="K26" s="1"/>
      <c r="L26" s="93"/>
      <c r="M26" s="93"/>
    </row>
    <row r="27" spans="3:13" ht="26.25" customHeight="1">
      <c r="C27" s="89"/>
      <c r="D27" s="90" t="s">
        <v>50</v>
      </c>
      <c r="E27" s="90" t="s">
        <v>50</v>
      </c>
      <c r="F27" s="91"/>
      <c r="G27" s="91" t="s">
        <v>35</v>
      </c>
      <c r="H27" s="90"/>
      <c r="I27" s="95"/>
      <c r="J27" s="95"/>
      <c r="K27" s="1"/>
      <c r="L27" s="93"/>
      <c r="M27" s="93"/>
    </row>
    <row r="28" spans="3:13" ht="26.25" customHeight="1">
      <c r="C28" s="89"/>
      <c r="D28" s="90" t="s">
        <v>50</v>
      </c>
      <c r="E28" s="90" t="s">
        <v>50</v>
      </c>
      <c r="F28" s="91"/>
      <c r="G28" s="91" t="s">
        <v>35</v>
      </c>
      <c r="H28" s="90"/>
      <c r="I28" s="95"/>
      <c r="J28" s="95"/>
      <c r="K28" s="1"/>
      <c r="L28" s="93"/>
      <c r="M28" s="93"/>
    </row>
    <row r="29" spans="3:13" ht="26.25" customHeight="1">
      <c r="C29" s="89"/>
      <c r="D29" s="90" t="s">
        <v>50</v>
      </c>
      <c r="E29" s="90" t="s">
        <v>50</v>
      </c>
      <c r="F29" s="91"/>
      <c r="G29" s="91" t="s">
        <v>35</v>
      </c>
      <c r="H29" s="90"/>
      <c r="I29" s="95"/>
      <c r="J29" s="95"/>
      <c r="K29" s="1"/>
      <c r="L29" s="93"/>
      <c r="M29" s="93"/>
    </row>
    <row r="30" spans="3:13" ht="26.25" customHeight="1">
      <c r="C30" s="89"/>
      <c r="D30" s="90" t="s">
        <v>50</v>
      </c>
      <c r="E30" s="90" t="s">
        <v>50</v>
      </c>
      <c r="F30" s="91"/>
      <c r="G30" s="91" t="s">
        <v>35</v>
      </c>
      <c r="H30" s="90"/>
      <c r="I30" s="95"/>
      <c r="J30" s="95"/>
      <c r="K30" s="1"/>
      <c r="L30" s="93"/>
      <c r="M30" s="93"/>
    </row>
    <row r="31" spans="3:13" ht="26.25" customHeight="1">
      <c r="C31" s="89"/>
      <c r="D31" s="90" t="s">
        <v>50</v>
      </c>
      <c r="E31" s="90" t="s">
        <v>50</v>
      </c>
      <c r="F31" s="91"/>
      <c r="G31" s="91" t="s">
        <v>35</v>
      </c>
      <c r="H31" s="90"/>
      <c r="I31" s="95"/>
      <c r="J31" s="95"/>
      <c r="K31" s="1"/>
      <c r="L31" s="93"/>
      <c r="M31" s="93"/>
    </row>
    <row r="32" spans="3:13" ht="26.25" customHeight="1">
      <c r="C32" s="89"/>
      <c r="D32" s="90" t="s">
        <v>50</v>
      </c>
      <c r="E32" s="90" t="s">
        <v>50</v>
      </c>
      <c r="F32" s="91"/>
      <c r="G32" s="91" t="s">
        <v>35</v>
      </c>
      <c r="H32" s="90"/>
      <c r="I32" s="95"/>
      <c r="J32" s="95"/>
      <c r="K32" s="1"/>
      <c r="L32" s="93"/>
      <c r="M32" s="93"/>
    </row>
    <row r="33" spans="3:13" ht="26.25" customHeight="1">
      <c r="C33" s="89"/>
      <c r="D33" s="90" t="s">
        <v>50</v>
      </c>
      <c r="E33" s="90" t="s">
        <v>50</v>
      </c>
      <c r="F33" s="91"/>
      <c r="G33" s="91" t="s">
        <v>35</v>
      </c>
      <c r="H33" s="90"/>
      <c r="I33" s="95"/>
      <c r="J33" s="95"/>
      <c r="K33" s="1"/>
      <c r="L33" s="93"/>
      <c r="M33" s="93"/>
    </row>
    <row r="34" spans="3:13" ht="26.25" customHeight="1">
      <c r="C34" s="89"/>
      <c r="D34" s="90" t="s">
        <v>50</v>
      </c>
      <c r="E34" s="90" t="s">
        <v>50</v>
      </c>
      <c r="F34" s="91"/>
      <c r="G34" s="91" t="s">
        <v>35</v>
      </c>
      <c r="H34" s="90"/>
      <c r="I34" s="95"/>
      <c r="J34" s="95"/>
      <c r="K34" s="1"/>
      <c r="L34" s="93"/>
      <c r="M34" s="93"/>
    </row>
    <row r="35" spans="3:13" ht="26.25" customHeight="1">
      <c r="C35" s="89"/>
      <c r="D35" s="90" t="s">
        <v>50</v>
      </c>
      <c r="E35" s="90" t="s">
        <v>50</v>
      </c>
      <c r="F35" s="91"/>
      <c r="G35" s="91" t="s">
        <v>35</v>
      </c>
      <c r="H35" s="90"/>
      <c r="I35" s="95"/>
      <c r="J35" s="95"/>
      <c r="K35" s="1"/>
      <c r="L35" s="93"/>
      <c r="M35" s="93"/>
    </row>
    <row r="36" spans="3:13" ht="26.25" customHeight="1">
      <c r="C36" s="89"/>
      <c r="D36" s="90" t="s">
        <v>50</v>
      </c>
      <c r="E36" s="90" t="s">
        <v>50</v>
      </c>
      <c r="F36" s="91"/>
      <c r="G36" s="91" t="s">
        <v>35</v>
      </c>
      <c r="H36" s="90"/>
      <c r="I36" s="95"/>
      <c r="J36" s="95"/>
      <c r="K36" s="1"/>
      <c r="L36" s="93"/>
      <c r="M36" s="93"/>
    </row>
    <row r="37" spans="3:13" ht="26.25" customHeight="1">
      <c r="C37" s="89"/>
      <c r="D37" s="90" t="s">
        <v>50</v>
      </c>
      <c r="E37" s="90" t="s">
        <v>50</v>
      </c>
      <c r="F37" s="91"/>
      <c r="G37" s="91" t="s">
        <v>35</v>
      </c>
      <c r="H37" s="90"/>
      <c r="I37" s="95"/>
      <c r="J37" s="95"/>
      <c r="K37" s="1"/>
      <c r="L37" s="93"/>
      <c r="M37" s="93"/>
    </row>
    <row r="38" spans="3:13" ht="25.8">
      <c r="C38" s="17"/>
      <c r="D38" s="90" t="s">
        <v>50</v>
      </c>
      <c r="E38" s="90" t="s">
        <v>50</v>
      </c>
      <c r="F38" s="91"/>
      <c r="G38" s="91" t="s">
        <v>35</v>
      </c>
      <c r="H38" s="96"/>
      <c r="I38" s="96"/>
      <c r="J38" s="96"/>
      <c r="K38" s="1"/>
      <c r="L38" s="93"/>
      <c r="M38" s="93"/>
    </row>
    <row r="39" spans="3:13" ht="26.25" customHeight="1">
      <c r="C39" s="17"/>
      <c r="D39" s="90" t="s">
        <v>50</v>
      </c>
      <c r="E39" s="90" t="s">
        <v>50</v>
      </c>
      <c r="F39" s="91"/>
      <c r="G39" s="91" t="s">
        <v>35</v>
      </c>
      <c r="H39" s="96"/>
      <c r="I39" s="96"/>
      <c r="J39" s="96"/>
      <c r="L39" s="17"/>
      <c r="M39" s="17"/>
    </row>
    <row r="40" spans="3:13" ht="26.25" customHeight="1">
      <c r="C40" s="17"/>
      <c r="D40" s="90" t="s">
        <v>50</v>
      </c>
      <c r="E40" s="90" t="s">
        <v>50</v>
      </c>
      <c r="F40" s="91"/>
      <c r="G40" s="91" t="s">
        <v>35</v>
      </c>
      <c r="H40" s="96"/>
      <c r="I40" s="96"/>
      <c r="J40" s="96"/>
      <c r="L40" s="17"/>
      <c r="M40" s="17"/>
    </row>
    <row r="41" spans="3:13" ht="26.25" customHeight="1">
      <c r="C41" s="17"/>
      <c r="D41" s="90" t="s">
        <v>50</v>
      </c>
      <c r="E41" s="90" t="s">
        <v>50</v>
      </c>
      <c r="F41" s="91"/>
      <c r="G41" s="91" t="s">
        <v>35</v>
      </c>
      <c r="H41" s="96"/>
      <c r="I41" s="96"/>
      <c r="J41" s="96"/>
      <c r="L41" s="17"/>
      <c r="M41" s="17"/>
    </row>
    <row r="42" spans="3:13" ht="26.25" customHeight="1">
      <c r="C42" s="17"/>
      <c r="D42" s="90" t="s">
        <v>50</v>
      </c>
      <c r="E42" s="90" t="s">
        <v>50</v>
      </c>
      <c r="F42" s="91"/>
      <c r="G42" s="91" t="s">
        <v>35</v>
      </c>
      <c r="H42" s="96"/>
      <c r="I42" s="96"/>
      <c r="J42" s="96"/>
      <c r="L42" s="17"/>
      <c r="M42" s="17"/>
    </row>
    <row r="43" spans="3:13" ht="26.25" customHeight="1">
      <c r="C43" s="17"/>
      <c r="D43" s="90" t="s">
        <v>50</v>
      </c>
      <c r="E43" s="90" t="s">
        <v>50</v>
      </c>
      <c r="F43" s="91"/>
      <c r="G43" s="91" t="s">
        <v>35</v>
      </c>
      <c r="H43" s="96"/>
      <c r="I43" s="96"/>
      <c r="J43" s="96"/>
      <c r="L43" s="17"/>
      <c r="M43" s="17"/>
    </row>
    <row r="44" spans="3:13" ht="26.25" customHeight="1">
      <c r="C44" s="17"/>
      <c r="D44" s="90" t="s">
        <v>50</v>
      </c>
      <c r="E44" s="90" t="s">
        <v>50</v>
      </c>
      <c r="F44" s="91"/>
      <c r="G44" s="91" t="s">
        <v>35</v>
      </c>
      <c r="H44" s="96"/>
      <c r="I44" s="96"/>
      <c r="J44" s="96"/>
      <c r="L44" s="17"/>
      <c r="M44" s="17"/>
    </row>
    <row r="45" spans="3:13" ht="26.25" customHeight="1">
      <c r="C45" s="17"/>
      <c r="D45" s="90" t="s">
        <v>50</v>
      </c>
      <c r="E45" s="90" t="s">
        <v>50</v>
      </c>
      <c r="F45" s="91"/>
      <c r="G45" s="91" t="s">
        <v>35</v>
      </c>
      <c r="H45" s="96"/>
      <c r="I45" s="96"/>
      <c r="J45" s="96"/>
      <c r="L45" s="17"/>
      <c r="M45" s="17"/>
    </row>
    <row r="46" spans="3:13" ht="26.25" customHeight="1">
      <c r="C46" s="17"/>
      <c r="D46" s="90" t="s">
        <v>50</v>
      </c>
      <c r="E46" s="90" t="s">
        <v>50</v>
      </c>
      <c r="F46" s="91"/>
      <c r="G46" s="91" t="s">
        <v>35</v>
      </c>
      <c r="H46" s="96"/>
      <c r="I46" s="96"/>
      <c r="J46" s="96"/>
      <c r="L46" s="17"/>
      <c r="M46" s="17"/>
    </row>
    <row r="47" spans="3:13" ht="26.25" customHeight="1">
      <c r="C47" s="90"/>
      <c r="D47" s="90" t="s">
        <v>50</v>
      </c>
      <c r="E47" s="90" t="s">
        <v>50</v>
      </c>
      <c r="F47" s="91"/>
      <c r="G47" s="91" t="s">
        <v>35</v>
      </c>
      <c r="H47" s="90"/>
      <c r="I47" s="90"/>
      <c r="J47" s="90"/>
      <c r="L47" s="90"/>
      <c r="M47" s="90"/>
    </row>
    <row r="48" spans="3:13" ht="26.25" customHeight="1">
      <c r="C48" s="90"/>
      <c r="D48" s="90" t="s">
        <v>50</v>
      </c>
      <c r="E48" s="90" t="s">
        <v>50</v>
      </c>
      <c r="F48" s="91"/>
      <c r="G48" s="91" t="s">
        <v>35</v>
      </c>
      <c r="H48" s="90"/>
      <c r="I48" s="90"/>
      <c r="J48" s="90"/>
      <c r="L48" s="90"/>
      <c r="M48" s="90"/>
    </row>
    <row r="49" spans="3:13" ht="26.25" customHeight="1">
      <c r="C49" s="90"/>
      <c r="D49" s="90" t="s">
        <v>50</v>
      </c>
      <c r="E49" s="90" t="s">
        <v>50</v>
      </c>
      <c r="F49" s="91"/>
      <c r="G49" s="91" t="s">
        <v>35</v>
      </c>
      <c r="H49" s="90"/>
      <c r="I49" s="90"/>
      <c r="J49" s="90"/>
      <c r="L49" s="90"/>
      <c r="M49" s="90"/>
    </row>
    <row r="50" spans="3:13" ht="26.25" customHeight="1">
      <c r="C50" s="90"/>
      <c r="D50" s="90" t="s">
        <v>50</v>
      </c>
      <c r="E50" s="90" t="s">
        <v>50</v>
      </c>
      <c r="F50" s="91"/>
      <c r="G50" s="91" t="s">
        <v>35</v>
      </c>
      <c r="H50" s="90"/>
      <c r="I50" s="90"/>
      <c r="J50" s="90"/>
      <c r="L50" s="90"/>
      <c r="M50" s="90"/>
    </row>
    <row r="51" spans="3:13" ht="26.25" customHeight="1">
      <c r="C51" s="90"/>
      <c r="D51" s="90" t="s">
        <v>50</v>
      </c>
      <c r="E51" s="90" t="s">
        <v>50</v>
      </c>
      <c r="F51" s="91"/>
      <c r="G51" s="91" t="s">
        <v>35</v>
      </c>
      <c r="H51" s="90"/>
      <c r="I51" s="90"/>
      <c r="J51" s="90"/>
      <c r="L51" s="90"/>
      <c r="M51" s="90"/>
    </row>
    <row r="52" spans="3:13" ht="26.25" customHeight="1">
      <c r="C52" s="90"/>
      <c r="D52" s="90" t="s">
        <v>50</v>
      </c>
      <c r="E52" s="90" t="s">
        <v>50</v>
      </c>
      <c r="F52" s="91"/>
      <c r="G52" s="91" t="s">
        <v>35</v>
      </c>
      <c r="H52" s="90"/>
      <c r="I52" s="90"/>
      <c r="J52" s="90"/>
      <c r="L52" s="90"/>
      <c r="M52" s="90"/>
    </row>
    <row r="53" spans="3:13" ht="26.25" customHeight="1">
      <c r="C53" s="90"/>
      <c r="D53" s="90" t="s">
        <v>50</v>
      </c>
      <c r="E53" s="90" t="s">
        <v>50</v>
      </c>
      <c r="F53" s="91"/>
      <c r="G53" s="91" t="s">
        <v>35</v>
      </c>
      <c r="H53" s="90"/>
      <c r="I53" s="90"/>
      <c r="J53" s="90"/>
      <c r="L53" s="90"/>
      <c r="M53" s="90"/>
    </row>
    <row r="54" spans="3:13" ht="26.25" customHeight="1">
      <c r="C54" s="90"/>
      <c r="D54" s="90" t="s">
        <v>50</v>
      </c>
      <c r="E54" s="90" t="s">
        <v>50</v>
      </c>
      <c r="F54" s="91"/>
      <c r="G54" s="91" t="s">
        <v>35</v>
      </c>
      <c r="H54" s="90"/>
      <c r="I54" s="90"/>
      <c r="J54" s="90"/>
      <c r="L54" s="90"/>
      <c r="M54" s="90"/>
    </row>
    <row r="55" spans="3:13" ht="26.25" customHeight="1">
      <c r="C55" s="90"/>
      <c r="D55" s="90" t="s">
        <v>50</v>
      </c>
      <c r="E55" s="90" t="s">
        <v>50</v>
      </c>
      <c r="F55" s="91"/>
      <c r="G55" s="91" t="s">
        <v>35</v>
      </c>
      <c r="H55" s="90"/>
      <c r="I55" s="90"/>
      <c r="J55" s="90"/>
      <c r="L55" s="90"/>
      <c r="M55" s="90"/>
    </row>
    <row r="56" spans="3:13" ht="26.25" customHeight="1">
      <c r="C56" s="90"/>
      <c r="D56" s="90" t="s">
        <v>50</v>
      </c>
      <c r="E56" s="90" t="s">
        <v>50</v>
      </c>
      <c r="F56" s="91"/>
      <c r="G56" s="91" t="s">
        <v>35</v>
      </c>
      <c r="H56" s="90"/>
      <c r="I56" s="90"/>
      <c r="J56" s="90"/>
      <c r="L56" s="90"/>
      <c r="M56" s="90"/>
    </row>
    <row r="57" spans="3:13" ht="26.25" customHeight="1">
      <c r="C57" s="90"/>
      <c r="D57" s="90" t="s">
        <v>50</v>
      </c>
      <c r="E57" s="90" t="s">
        <v>50</v>
      </c>
      <c r="F57" s="91"/>
      <c r="G57" s="91" t="s">
        <v>35</v>
      </c>
      <c r="H57" s="90"/>
      <c r="I57" s="90"/>
      <c r="J57" s="90"/>
      <c r="L57" s="90"/>
      <c r="M57" s="90"/>
    </row>
    <row r="58" spans="3:13" ht="26.25" customHeight="1">
      <c r="C58" s="90"/>
      <c r="D58" s="90" t="s">
        <v>50</v>
      </c>
      <c r="E58" s="90" t="s">
        <v>50</v>
      </c>
      <c r="F58" s="91"/>
      <c r="G58" s="91" t="s">
        <v>35</v>
      </c>
      <c r="H58" s="90"/>
      <c r="I58" s="90"/>
      <c r="J58" s="90"/>
      <c r="L58" s="90"/>
      <c r="M58" s="90"/>
    </row>
    <row r="59" spans="3:13" ht="25.8">
      <c r="C59" s="90"/>
      <c r="D59" s="90" t="s">
        <v>50</v>
      </c>
      <c r="E59" s="90" t="s">
        <v>50</v>
      </c>
      <c r="F59" s="91"/>
      <c r="G59" s="91" t="s">
        <v>35</v>
      </c>
      <c r="H59" s="90"/>
      <c r="I59" s="90"/>
      <c r="J59" s="90"/>
      <c r="L59" s="90"/>
      <c r="M59" s="90"/>
    </row>
    <row r="60" spans="3:13" ht="25.8">
      <c r="C60" s="90"/>
      <c r="D60" s="90" t="s">
        <v>50</v>
      </c>
      <c r="E60" s="90" t="s">
        <v>50</v>
      </c>
      <c r="F60" s="91"/>
      <c r="G60" s="91" t="s">
        <v>35</v>
      </c>
      <c r="H60" s="90"/>
      <c r="I60" s="90"/>
      <c r="J60" s="90"/>
      <c r="L60" s="90"/>
      <c r="M60" s="90"/>
    </row>
    <row r="61" spans="3:13" ht="25.8">
      <c r="C61" s="90"/>
      <c r="D61" s="90" t="s">
        <v>50</v>
      </c>
      <c r="E61" s="90" t="s">
        <v>50</v>
      </c>
      <c r="F61" s="91"/>
      <c r="G61" s="91" t="s">
        <v>35</v>
      </c>
      <c r="H61" s="90"/>
      <c r="I61" s="90"/>
      <c r="J61" s="90"/>
      <c r="L61" s="90"/>
      <c r="M61" s="90"/>
    </row>
    <row r="62" spans="3:13" ht="25.8">
      <c r="C62" s="90"/>
      <c r="D62" s="90" t="s">
        <v>50</v>
      </c>
      <c r="E62" s="90" t="s">
        <v>50</v>
      </c>
      <c r="F62" s="91"/>
      <c r="G62" s="91" t="s">
        <v>35</v>
      </c>
      <c r="H62" s="90"/>
      <c r="I62" s="90"/>
      <c r="J62" s="90"/>
      <c r="L62" s="90"/>
      <c r="M62" s="90"/>
    </row>
    <row r="63" spans="3:13" ht="25.8">
      <c r="C63" s="90"/>
      <c r="D63" s="90" t="s">
        <v>50</v>
      </c>
      <c r="E63" s="90" t="s">
        <v>50</v>
      </c>
      <c r="F63" s="91"/>
      <c r="G63" s="91" t="s">
        <v>35</v>
      </c>
      <c r="H63" s="90"/>
      <c r="I63" s="90"/>
      <c r="J63" s="90"/>
      <c r="L63" s="90"/>
      <c r="M63" s="90"/>
    </row>
    <row r="64" spans="3:13" ht="25.8">
      <c r="C64" s="90"/>
      <c r="D64" s="90" t="s">
        <v>50</v>
      </c>
      <c r="E64" s="90" t="s">
        <v>50</v>
      </c>
      <c r="F64" s="91"/>
      <c r="G64" s="91" t="s">
        <v>35</v>
      </c>
      <c r="H64" s="90"/>
      <c r="I64" s="90"/>
      <c r="J64" s="90"/>
      <c r="L64" s="90"/>
      <c r="M64" s="90"/>
    </row>
    <row r="65" spans="3:13" ht="25.8">
      <c r="C65" s="90"/>
      <c r="D65" s="90" t="s">
        <v>50</v>
      </c>
      <c r="E65" s="90" t="s">
        <v>50</v>
      </c>
      <c r="F65" s="91"/>
      <c r="G65" s="91" t="s">
        <v>35</v>
      </c>
      <c r="H65" s="90"/>
      <c r="I65" s="90"/>
      <c r="J65" s="90"/>
      <c r="L65" s="90"/>
      <c r="M65" s="90"/>
    </row>
    <row r="66" spans="3:13" ht="25.8">
      <c r="C66" s="90"/>
      <c r="D66" s="90" t="s">
        <v>50</v>
      </c>
      <c r="E66" s="90" t="s">
        <v>50</v>
      </c>
      <c r="F66" s="91"/>
      <c r="G66" s="91" t="s">
        <v>35</v>
      </c>
      <c r="H66" s="90"/>
      <c r="I66" s="90"/>
      <c r="J66" s="90"/>
      <c r="L66" s="90"/>
      <c r="M66" s="90"/>
    </row>
    <row r="67" spans="3:13" ht="25.8">
      <c r="C67" s="90"/>
      <c r="D67" s="90" t="s">
        <v>50</v>
      </c>
      <c r="E67" s="90" t="s">
        <v>50</v>
      </c>
      <c r="F67" s="91"/>
      <c r="G67" s="91" t="s">
        <v>35</v>
      </c>
      <c r="H67" s="90"/>
      <c r="I67" s="90"/>
      <c r="J67" s="90"/>
      <c r="L67" s="90"/>
      <c r="M67" s="90"/>
    </row>
    <row r="68" spans="3:13" ht="25.8">
      <c r="C68" s="90"/>
      <c r="D68" s="90" t="s">
        <v>50</v>
      </c>
      <c r="E68" s="90" t="s">
        <v>50</v>
      </c>
      <c r="F68" s="91"/>
      <c r="G68" s="91" t="s">
        <v>35</v>
      </c>
      <c r="H68" s="90"/>
      <c r="I68" s="90"/>
      <c r="J68" s="90"/>
      <c r="L68" s="90"/>
      <c r="M68" s="90"/>
    </row>
    <row r="69" spans="3:13" ht="25.8">
      <c r="C69" s="90"/>
      <c r="D69" s="90" t="s">
        <v>50</v>
      </c>
      <c r="E69" s="90" t="s">
        <v>50</v>
      </c>
      <c r="F69" s="91"/>
      <c r="G69" s="91" t="s">
        <v>35</v>
      </c>
      <c r="H69" s="90"/>
      <c r="I69" s="90"/>
      <c r="J69" s="90"/>
      <c r="L69" s="90"/>
      <c r="M69" s="90"/>
    </row>
    <row r="70" spans="3:13" ht="25.8">
      <c r="C70" s="90"/>
      <c r="D70" s="90" t="s">
        <v>50</v>
      </c>
      <c r="E70" s="90" t="s">
        <v>50</v>
      </c>
      <c r="F70" s="91"/>
      <c r="G70" s="91" t="s">
        <v>35</v>
      </c>
      <c r="H70" s="90"/>
      <c r="I70" s="90"/>
      <c r="J70" s="90"/>
      <c r="L70" s="90"/>
      <c r="M70" s="90"/>
    </row>
    <row r="71" spans="3:13" ht="25.8">
      <c r="C71" s="90"/>
      <c r="D71" s="90" t="s">
        <v>50</v>
      </c>
      <c r="E71" s="90" t="s">
        <v>50</v>
      </c>
      <c r="F71" s="91"/>
      <c r="G71" s="91" t="s">
        <v>35</v>
      </c>
      <c r="H71" s="90"/>
      <c r="I71" s="90"/>
      <c r="J71" s="90"/>
      <c r="L71" s="90"/>
      <c r="M71" s="90"/>
    </row>
    <row r="72" spans="3:13" ht="25.8">
      <c r="C72" s="90"/>
      <c r="D72" s="90" t="s">
        <v>50</v>
      </c>
      <c r="E72" s="90" t="s">
        <v>50</v>
      </c>
      <c r="F72" s="91"/>
      <c r="G72" s="91" t="s">
        <v>35</v>
      </c>
      <c r="H72" s="90"/>
      <c r="I72" s="90"/>
      <c r="J72" s="90"/>
      <c r="L72" s="90"/>
      <c r="M72" s="90"/>
    </row>
    <row r="73" spans="3:13" ht="25.8">
      <c r="C73" s="90"/>
      <c r="D73" s="90" t="s">
        <v>50</v>
      </c>
      <c r="E73" s="90" t="s">
        <v>50</v>
      </c>
      <c r="F73" s="91"/>
      <c r="G73" s="91" t="s">
        <v>35</v>
      </c>
      <c r="H73" s="90"/>
      <c r="I73" s="90"/>
      <c r="J73" s="90"/>
      <c r="L73" s="90"/>
      <c r="M73" s="90"/>
    </row>
    <row r="74" spans="3:13" ht="25.8">
      <c r="C74" s="90"/>
      <c r="D74" s="90" t="s">
        <v>50</v>
      </c>
      <c r="E74" s="90" t="s">
        <v>50</v>
      </c>
      <c r="F74" s="91"/>
      <c r="G74" s="91" t="s">
        <v>35</v>
      </c>
      <c r="H74" s="90"/>
      <c r="I74" s="90"/>
      <c r="J74" s="90"/>
      <c r="L74" s="90"/>
      <c r="M74" s="90"/>
    </row>
    <row r="75" spans="3:13" ht="25.8">
      <c r="C75" s="90"/>
      <c r="D75" s="90" t="s">
        <v>50</v>
      </c>
      <c r="E75" s="90" t="s">
        <v>50</v>
      </c>
      <c r="F75" s="91"/>
      <c r="G75" s="91" t="s">
        <v>35</v>
      </c>
      <c r="H75" s="90"/>
      <c r="I75" s="90"/>
      <c r="J75" s="90"/>
      <c r="L75" s="90"/>
      <c r="M75" s="90"/>
    </row>
    <row r="76" spans="3:13" ht="25.8">
      <c r="C76" s="90"/>
      <c r="D76" s="90" t="s">
        <v>50</v>
      </c>
      <c r="E76" s="90" t="s">
        <v>50</v>
      </c>
      <c r="F76" s="91"/>
      <c r="G76" s="91" t="s">
        <v>35</v>
      </c>
      <c r="H76" s="90"/>
      <c r="I76" s="90"/>
      <c r="J76" s="90"/>
      <c r="L76" s="90"/>
      <c r="M76" s="90"/>
    </row>
    <row r="77" spans="3:13" ht="25.8">
      <c r="C77" s="90"/>
      <c r="D77" s="90" t="s">
        <v>50</v>
      </c>
      <c r="E77" s="90" t="s">
        <v>50</v>
      </c>
      <c r="F77" s="91"/>
      <c r="G77" s="91" t="s">
        <v>35</v>
      </c>
      <c r="H77" s="90"/>
      <c r="I77" s="90"/>
      <c r="J77" s="90"/>
      <c r="L77" s="90"/>
      <c r="M77" s="90"/>
    </row>
    <row r="78" spans="3:13" ht="25.8">
      <c r="C78" s="90"/>
      <c r="D78" s="90" t="s">
        <v>50</v>
      </c>
      <c r="E78" s="90" t="s">
        <v>50</v>
      </c>
      <c r="F78" s="91"/>
      <c r="G78" s="91" t="s">
        <v>35</v>
      </c>
      <c r="H78" s="90"/>
      <c r="I78" s="90"/>
      <c r="J78" s="90"/>
      <c r="L78" s="90"/>
      <c r="M78" s="90"/>
    </row>
    <row r="79" spans="3:13" ht="25.8">
      <c r="C79" s="90"/>
      <c r="D79" s="90" t="s">
        <v>50</v>
      </c>
      <c r="E79" s="90" t="s">
        <v>50</v>
      </c>
      <c r="F79" s="91"/>
      <c r="G79" s="91" t="s">
        <v>35</v>
      </c>
      <c r="H79" s="90"/>
      <c r="I79" s="90"/>
      <c r="J79" s="90"/>
      <c r="L79" s="90"/>
      <c r="M79" s="90"/>
    </row>
    <row r="80" spans="3:13" ht="25.8">
      <c r="C80" s="90"/>
      <c r="D80" s="90" t="s">
        <v>50</v>
      </c>
      <c r="E80" s="90" t="s">
        <v>50</v>
      </c>
      <c r="F80" s="91"/>
      <c r="G80" s="91" t="s">
        <v>35</v>
      </c>
      <c r="H80" s="90"/>
      <c r="I80" s="90"/>
      <c r="J80" s="90"/>
      <c r="L80" s="90"/>
      <c r="M80" s="90"/>
    </row>
    <row r="81" spans="3:13" ht="25.8">
      <c r="C81" s="90"/>
      <c r="D81" s="90" t="s">
        <v>50</v>
      </c>
      <c r="E81" s="90" t="s">
        <v>50</v>
      </c>
      <c r="F81" s="91"/>
      <c r="G81" s="91" t="s">
        <v>35</v>
      </c>
      <c r="H81" s="90"/>
      <c r="I81" s="90"/>
      <c r="J81" s="90"/>
      <c r="L81" s="90"/>
      <c r="M81" s="90"/>
    </row>
    <row r="82" spans="3:13" ht="25.8">
      <c r="C82" s="90"/>
      <c r="D82" s="90" t="s">
        <v>50</v>
      </c>
      <c r="E82" s="90" t="s">
        <v>50</v>
      </c>
      <c r="F82" s="91"/>
      <c r="G82" s="91" t="s">
        <v>35</v>
      </c>
      <c r="H82" s="90"/>
      <c r="I82" s="90"/>
      <c r="J82" s="90"/>
      <c r="L82" s="90"/>
      <c r="M82" s="90"/>
    </row>
    <row r="83" spans="3:13" ht="25.8">
      <c r="C83" s="90"/>
      <c r="D83" s="90" t="s">
        <v>50</v>
      </c>
      <c r="E83" s="90" t="s">
        <v>50</v>
      </c>
      <c r="F83" s="91"/>
      <c r="G83" s="91" t="s">
        <v>35</v>
      </c>
      <c r="H83" s="90"/>
      <c r="I83" s="90"/>
      <c r="J83" s="90"/>
      <c r="L83" s="90"/>
      <c r="M83" s="90"/>
    </row>
    <row r="84" spans="3:13" ht="25.8">
      <c r="C84" s="90"/>
      <c r="D84" s="90" t="s">
        <v>50</v>
      </c>
      <c r="E84" s="90" t="s">
        <v>50</v>
      </c>
      <c r="F84" s="91"/>
      <c r="G84" s="91" t="s">
        <v>35</v>
      </c>
      <c r="H84" s="90"/>
      <c r="I84" s="90"/>
      <c r="J84" s="90"/>
      <c r="L84" s="90"/>
      <c r="M84" s="90"/>
    </row>
    <row r="85" spans="3:13" ht="25.8">
      <c r="C85" s="90"/>
      <c r="D85" s="90" t="s">
        <v>50</v>
      </c>
      <c r="E85" s="90" t="s">
        <v>50</v>
      </c>
      <c r="F85" s="91"/>
      <c r="G85" s="91" t="s">
        <v>35</v>
      </c>
      <c r="H85" s="90"/>
      <c r="I85" s="90"/>
      <c r="J85" s="90"/>
      <c r="L85" s="90"/>
      <c r="M85" s="90"/>
    </row>
    <row r="86" spans="3:13" ht="25.8">
      <c r="C86" s="90"/>
      <c r="D86" s="90" t="s">
        <v>50</v>
      </c>
      <c r="E86" s="90" t="s">
        <v>50</v>
      </c>
      <c r="F86" s="91"/>
      <c r="G86" s="91" t="s">
        <v>35</v>
      </c>
      <c r="H86" s="90"/>
      <c r="I86" s="90"/>
      <c r="J86" s="90"/>
      <c r="L86" s="90"/>
      <c r="M86" s="90"/>
    </row>
    <row r="87" spans="3:13" ht="25.8">
      <c r="C87" s="90"/>
      <c r="D87" s="90" t="s">
        <v>50</v>
      </c>
      <c r="E87" s="90" t="s">
        <v>50</v>
      </c>
      <c r="F87" s="91"/>
      <c r="G87" s="91" t="s">
        <v>35</v>
      </c>
      <c r="H87" s="90"/>
      <c r="I87" s="90"/>
      <c r="J87" s="90"/>
      <c r="L87" s="90"/>
      <c r="M87" s="90"/>
    </row>
    <row r="88" spans="3:13" ht="25.8">
      <c r="C88" s="90"/>
      <c r="D88" s="90" t="s">
        <v>50</v>
      </c>
      <c r="E88" s="90" t="s">
        <v>50</v>
      </c>
      <c r="F88" s="91"/>
      <c r="G88" s="91" t="s">
        <v>35</v>
      </c>
      <c r="H88" s="90"/>
      <c r="I88" s="90"/>
      <c r="J88" s="90"/>
      <c r="L88" s="90"/>
      <c r="M88" s="90"/>
    </row>
    <row r="89" spans="3:13" ht="25.8">
      <c r="C89" s="90"/>
      <c r="D89" s="90" t="s">
        <v>50</v>
      </c>
      <c r="E89" s="90" t="s">
        <v>50</v>
      </c>
      <c r="F89" s="91"/>
      <c r="G89" s="91" t="s">
        <v>35</v>
      </c>
      <c r="H89" s="90"/>
      <c r="I89" s="90"/>
      <c r="J89" s="90"/>
      <c r="L89" s="90"/>
      <c r="M89" s="90"/>
    </row>
    <row r="90" spans="3:13" ht="25.8">
      <c r="C90" s="90"/>
      <c r="D90" s="90" t="s">
        <v>50</v>
      </c>
      <c r="E90" s="90" t="s">
        <v>50</v>
      </c>
      <c r="F90" s="91"/>
      <c r="G90" s="91" t="s">
        <v>35</v>
      </c>
      <c r="H90" s="90"/>
      <c r="I90" s="90"/>
      <c r="J90" s="90"/>
      <c r="L90" s="90"/>
      <c r="M90" s="90"/>
    </row>
    <row r="91" spans="3:13" ht="25.8">
      <c r="C91" s="90"/>
      <c r="D91" s="90" t="s">
        <v>50</v>
      </c>
      <c r="E91" s="90" t="s">
        <v>50</v>
      </c>
      <c r="F91" s="91"/>
      <c r="G91" s="91" t="s">
        <v>35</v>
      </c>
      <c r="H91" s="90"/>
      <c r="I91" s="90"/>
      <c r="J91" s="90"/>
      <c r="L91" s="90"/>
      <c r="M91" s="90"/>
    </row>
    <row r="92" spans="3:13" ht="25.8">
      <c r="C92" s="90"/>
      <c r="D92" s="90" t="s">
        <v>50</v>
      </c>
      <c r="E92" s="90" t="s">
        <v>50</v>
      </c>
      <c r="F92" s="91"/>
      <c r="G92" s="91" t="s">
        <v>35</v>
      </c>
      <c r="H92" s="90"/>
      <c r="I92" s="90"/>
      <c r="J92" s="90"/>
      <c r="L92" s="90"/>
      <c r="M92" s="90"/>
    </row>
    <row r="93" spans="3:13" ht="25.8">
      <c r="C93" s="90"/>
      <c r="D93" s="90" t="s">
        <v>50</v>
      </c>
      <c r="E93" s="90" t="s">
        <v>50</v>
      </c>
      <c r="F93" s="91"/>
      <c r="G93" s="91" t="s">
        <v>35</v>
      </c>
      <c r="H93" s="90"/>
      <c r="I93" s="90"/>
      <c r="J93" s="90"/>
      <c r="L93" s="90"/>
      <c r="M93" s="90"/>
    </row>
    <row r="94" spans="3:13" ht="25.8">
      <c r="C94" s="90"/>
      <c r="D94" s="90" t="s">
        <v>50</v>
      </c>
      <c r="E94" s="90" t="s">
        <v>50</v>
      </c>
      <c r="F94" s="91"/>
      <c r="G94" s="91" t="s">
        <v>35</v>
      </c>
      <c r="H94" s="90"/>
      <c r="I94" s="90"/>
      <c r="J94" s="90"/>
      <c r="L94" s="90"/>
      <c r="M94" s="90"/>
    </row>
    <row r="95" spans="3:13" ht="25.8">
      <c r="C95" s="90"/>
      <c r="D95" s="90" t="s">
        <v>50</v>
      </c>
      <c r="E95" s="90" t="s">
        <v>50</v>
      </c>
      <c r="F95" s="91"/>
      <c r="G95" s="91" t="s">
        <v>35</v>
      </c>
      <c r="H95" s="90"/>
      <c r="I95" s="90"/>
      <c r="J95" s="90"/>
      <c r="L95" s="90"/>
      <c r="M95" s="90"/>
    </row>
    <row r="96" spans="3:13" ht="25.8">
      <c r="C96" s="90"/>
      <c r="D96" s="90" t="s">
        <v>50</v>
      </c>
      <c r="E96" s="90" t="s">
        <v>50</v>
      </c>
      <c r="F96" s="91"/>
      <c r="G96" s="91" t="s">
        <v>35</v>
      </c>
      <c r="H96" s="90"/>
      <c r="I96" s="90"/>
      <c r="J96" s="90"/>
      <c r="L96" s="90"/>
      <c r="M96" s="90"/>
    </row>
    <row r="97" spans="3:13" ht="25.8">
      <c r="C97" s="90"/>
      <c r="D97" s="90" t="s">
        <v>50</v>
      </c>
      <c r="E97" s="90" t="s">
        <v>50</v>
      </c>
      <c r="F97" s="91"/>
      <c r="G97" s="91" t="s">
        <v>35</v>
      </c>
      <c r="H97" s="90"/>
      <c r="I97" s="90"/>
      <c r="J97" s="90"/>
      <c r="L97" s="90"/>
      <c r="M97" s="90"/>
    </row>
    <row r="98" spans="3:13" ht="25.8">
      <c r="C98" s="90"/>
      <c r="D98" s="90" t="s">
        <v>50</v>
      </c>
      <c r="E98" s="90" t="s">
        <v>50</v>
      </c>
      <c r="F98" s="91"/>
      <c r="G98" s="91" t="s">
        <v>35</v>
      </c>
      <c r="H98" s="90"/>
      <c r="I98" s="90"/>
      <c r="J98" s="90"/>
      <c r="L98" s="90"/>
      <c r="M98" s="90"/>
    </row>
    <row r="99" spans="3:13" ht="25.8">
      <c r="C99" s="90"/>
      <c r="D99" s="90" t="s">
        <v>50</v>
      </c>
      <c r="E99" s="90" t="s">
        <v>50</v>
      </c>
      <c r="F99" s="91"/>
      <c r="G99" s="91" t="s">
        <v>35</v>
      </c>
      <c r="H99" s="90"/>
      <c r="I99" s="90"/>
      <c r="J99" s="90"/>
      <c r="L99" s="90"/>
      <c r="M99" s="90"/>
    </row>
    <row r="100" spans="3:13" ht="25.8">
      <c r="C100" s="90"/>
      <c r="D100" s="90" t="s">
        <v>50</v>
      </c>
      <c r="E100" s="90" t="s">
        <v>50</v>
      </c>
      <c r="F100" s="91"/>
      <c r="G100" s="91" t="s">
        <v>35</v>
      </c>
      <c r="H100" s="90"/>
      <c r="I100" s="90"/>
      <c r="J100" s="90"/>
      <c r="L100" s="90"/>
      <c r="M100" s="90"/>
    </row>
  </sheetData>
  <mergeCells count="3">
    <mergeCell ref="C2:J4"/>
    <mergeCell ref="L3:M4"/>
    <mergeCell ref="C5:J5"/>
  </mergeCells>
  <conditionalFormatting sqref="F1 F101:F1048576">
    <cfRule type="containsText" dxfId="15" priority="18" operator="containsText" text="white">
      <formula>NOT(ISERROR(SEARCH("white",F1)))</formula>
    </cfRule>
    <cfRule type="containsText" dxfId="14" priority="19" operator="containsText" text="YELLOW">
      <formula>NOT(ISERROR(SEARCH("YELLOW",F1)))</formula>
    </cfRule>
  </conditionalFormatting>
  <conditionalFormatting sqref="J1 J101:J1048576">
    <cfRule type="containsText" dxfId="13" priority="15" operator="containsText" text="120">
      <formula>NOT(ISERROR(SEARCH("120",J1)))</formula>
    </cfRule>
    <cfRule type="containsText" dxfId="12" priority="16" operator="containsText" text="10">
      <formula>NOT(ISERROR(SEARCH("10",J1)))</formula>
    </cfRule>
  </conditionalFormatting>
  <conditionalFormatting sqref="F2:F100">
    <cfRule type="containsText" dxfId="11" priority="9" operator="containsText" text="White">
      <formula>NOT(ISERROR(SEARCH("White",F2)))</formula>
    </cfRule>
  </conditionalFormatting>
  <conditionalFormatting sqref="J2:J7 J10:J11 J13 J47:J100 J15:J45">
    <cfRule type="containsText" dxfId="10" priority="6" operator="containsText" text="120">
      <formula>NOT(ISERROR(SEARCH("120",J2)))</formula>
    </cfRule>
    <cfRule type="containsText" dxfId="9" priority="7" operator="containsText" text="10">
      <formula>NOT(ISERROR(SEARCH("10",J2)))</formula>
    </cfRule>
  </conditionalFormatting>
  <conditionalFormatting sqref="F8:F9">
    <cfRule type="containsText" dxfId="8" priority="4" operator="containsText" text="white">
      <formula>NOT(ISERROR(SEARCH("white",F8)))</formula>
    </cfRule>
    <cfRule type="containsText" dxfId="7" priority="5" operator="containsText" text="YELLOW">
      <formula>NOT(ISERROR(SEARCH("YELLOW",F8)))</formula>
    </cfRule>
  </conditionalFormatting>
  <conditionalFormatting sqref="J8:J9">
    <cfRule type="containsText" dxfId="6" priority="1" operator="containsText" text="120">
      <formula>NOT(ISERROR(SEARCH("120",J8)))</formula>
    </cfRule>
    <cfRule type="containsText" dxfId="5" priority="2" operator="containsText" text="10">
      <formula>NOT(ISERROR(SEARCH("10",J8)))</formula>
    </cfRule>
  </conditionalFormatting>
  <dataValidations count="5">
    <dataValidation type="list" allowBlank="1" showInputMessage="1" showErrorMessage="1" sqref="G7:G1048576 G1:G5" xr:uid="{4A4FBF7F-EF06-411F-A476-9D63FF82DA68}">
      <formula1>"null"</formula1>
    </dataValidation>
    <dataValidation type="list" allowBlank="1" showInputMessage="1" showErrorMessage="1" sqref="F1 F101:F1048576" xr:uid="{8AE8FD71-6F5B-41F9-9DB0-4156FCB06A22}">
      <formula1>",Machine B, Machine S,Manual"</formula1>
    </dataValidation>
    <dataValidation type="list" allowBlank="1" showInputMessage="1" showErrorMessage="1" sqref="D101:E1048576 D1:E1" xr:uid="{EB48106A-0FC0-4A6F-A84B-967C4D80B96A}">
      <formula1>"Shrink"</formula1>
    </dataValidation>
    <dataValidation type="list" allowBlank="1" showInputMessage="1" showErrorMessage="1" sqref="F2:F5 F7:F100" xr:uid="{68FCBC75-4261-4E03-8DC5-FA4124455306}">
      <formula1>"White"</formula1>
    </dataValidation>
    <dataValidation type="list" allowBlank="1" showInputMessage="1" showErrorMessage="1" sqref="D2:E5 D7:E100" xr:uid="{C1D83BA4-E4A5-487E-952F-DEFB1BC1DFD8}">
      <formula1>"String"</formula1>
    </dataValidation>
  </dataValidations>
  <pageMargins left="0.75" right="0.75" top="1" bottom="1" header="0.5" footer="0.5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7" operator="containsText" id="{FCD86A17-69EE-4BC5-8378-63CD86D60361}">
            <xm:f>NOT(ISERROR(SEARCH(46,J1)))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J1 J101:J1048576</xm:sqref>
        </x14:conditionalFormatting>
        <x14:conditionalFormatting xmlns:xm="http://schemas.microsoft.com/office/excel/2006/main">
          <x14:cfRule type="containsText" priority="8" operator="containsText" id="{9E2FC3B2-6F8A-4A6A-936F-FFE6C55C6588}">
            <xm:f>NOT(ISERROR(SEARCH(46,J2)))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J2:J7 J10:J11 J13 J47:J100 J15:J45</xm:sqref>
        </x14:conditionalFormatting>
        <x14:conditionalFormatting xmlns:xm="http://schemas.microsoft.com/office/excel/2006/main">
          <x14:cfRule type="containsText" priority="3" operator="containsText" id="{79B545D0-9054-4640-BF49-0B7BAD1BEB41}">
            <xm:f>NOT(ISERROR(SEARCH(46,J8)))</xm:f>
            <xm:f>46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J8:J9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</sheetPr>
  <dimension ref="D1:S30"/>
  <sheetViews>
    <sheetView showGridLines="0" view="pageBreakPreview" zoomScale="90" zoomScaleNormal="100" zoomScaleSheetLayoutView="90" zoomScalePageLayoutView="70" workbookViewId="0">
      <selection activeCell="R7" sqref="R7:S9"/>
    </sheetView>
  </sheetViews>
  <sheetFormatPr defaultColWidth="9.109375" defaultRowHeight="14.4"/>
  <cols>
    <col min="1" max="14" width="9.109375" style="53"/>
    <col min="15" max="15" width="16.88671875" style="53" customWidth="1"/>
    <col min="16" max="16" width="16.44140625" style="53" customWidth="1"/>
    <col min="17" max="17" width="16" style="53" customWidth="1"/>
    <col min="18" max="16384" width="9.109375" style="53"/>
  </cols>
  <sheetData>
    <row r="1" spans="4:19" ht="15" customHeight="1">
      <c r="G1" s="142" t="s">
        <v>20</v>
      </c>
      <c r="H1" s="143"/>
      <c r="I1" s="143"/>
      <c r="J1" s="144"/>
      <c r="K1" s="148" t="s">
        <v>16</v>
      </c>
      <c r="L1" s="149"/>
      <c r="M1" s="149"/>
      <c r="N1" s="150"/>
      <c r="O1" s="142" t="s">
        <v>19</v>
      </c>
      <c r="P1" s="143"/>
      <c r="Q1" s="143"/>
      <c r="R1" s="132"/>
      <c r="S1" s="132"/>
    </row>
    <row r="2" spans="4:19" ht="15" customHeight="1" thickBot="1">
      <c r="D2" s="55"/>
      <c r="E2" s="55"/>
      <c r="F2" s="55"/>
      <c r="G2" s="145"/>
      <c r="H2" s="146"/>
      <c r="I2" s="146"/>
      <c r="J2" s="147"/>
      <c r="K2" s="151"/>
      <c r="L2" s="152"/>
      <c r="M2" s="152"/>
      <c r="N2" s="153"/>
      <c r="O2" s="145"/>
      <c r="P2" s="146"/>
      <c r="Q2" s="146"/>
      <c r="R2" s="132"/>
      <c r="S2" s="132"/>
    </row>
    <row r="3" spans="4:19" ht="15" customHeight="1">
      <c r="D3" s="55"/>
      <c r="E3" s="55"/>
      <c r="F3" s="55"/>
      <c r="G3" s="142"/>
      <c r="H3" s="143"/>
      <c r="I3" s="143"/>
      <c r="J3" s="144"/>
      <c r="K3" s="148"/>
      <c r="L3" s="149"/>
      <c r="M3" s="149"/>
      <c r="N3" s="150"/>
      <c r="O3" s="142"/>
      <c r="P3" s="143"/>
      <c r="Q3" s="143"/>
      <c r="R3" s="133"/>
      <c r="S3" s="133"/>
    </row>
    <row r="4" spans="4:19" ht="15.75" customHeight="1" thickBot="1">
      <c r="D4" s="55"/>
      <c r="E4" s="55"/>
      <c r="F4" s="55"/>
      <c r="G4" s="145"/>
      <c r="H4" s="146"/>
      <c r="I4" s="146"/>
      <c r="J4" s="147"/>
      <c r="K4" s="151"/>
      <c r="L4" s="152"/>
      <c r="M4" s="152"/>
      <c r="N4" s="153"/>
      <c r="O4" s="145"/>
      <c r="P4" s="146"/>
      <c r="Q4" s="146"/>
      <c r="R4" s="133"/>
      <c r="S4" s="133"/>
    </row>
    <row r="5" spans="4:19" ht="37.200000000000003" thickBot="1">
      <c r="D5" s="55"/>
      <c r="E5" s="55"/>
      <c r="F5" s="55"/>
      <c r="G5" s="56"/>
      <c r="H5" s="56"/>
      <c r="I5" s="56"/>
      <c r="J5" s="56"/>
      <c r="K5" s="56"/>
      <c r="L5" s="56"/>
      <c r="M5" s="56"/>
      <c r="N5" s="56"/>
      <c r="O5" s="61"/>
      <c r="P5" s="61"/>
      <c r="Q5" s="61"/>
      <c r="R5" s="61"/>
      <c r="S5" s="61"/>
    </row>
    <row r="6" spans="4:19" ht="25.5" customHeight="1" thickBot="1">
      <c r="D6" s="55"/>
      <c r="E6" s="55"/>
      <c r="F6" s="55"/>
      <c r="G6" s="154" t="s">
        <v>22</v>
      </c>
      <c r="H6" s="155"/>
      <c r="I6" s="155"/>
      <c r="J6" s="156"/>
      <c r="K6" s="154" t="s">
        <v>18</v>
      </c>
      <c r="L6" s="155"/>
      <c r="M6" s="155"/>
      <c r="N6" s="156"/>
      <c r="O6" s="62" t="s">
        <v>24</v>
      </c>
      <c r="P6" s="62" t="s">
        <v>25</v>
      </c>
      <c r="Q6" s="62" t="s">
        <v>26</v>
      </c>
      <c r="R6" s="134" t="s">
        <v>50</v>
      </c>
      <c r="S6" s="135"/>
    </row>
    <row r="7" spans="4:19" ht="15" customHeight="1">
      <c r="D7" s="55"/>
      <c r="E7" s="55"/>
      <c r="F7" s="55"/>
      <c r="G7" s="198">
        <f>LOOKUP(2,1/(Shrink!F:F="Machine S"),Shrink!J:J)</f>
        <v>149</v>
      </c>
      <c r="H7" s="199"/>
      <c r="I7" s="199"/>
      <c r="J7" s="200"/>
      <c r="K7" s="161">
        <f>LOOKUP(2,1/(Pallet!E:E="Cartoon"),Pallet!J:J)</f>
        <v>6800</v>
      </c>
      <c r="L7" s="162"/>
      <c r="M7" s="162"/>
      <c r="N7" s="163"/>
      <c r="O7" s="157">
        <f>LOOKUP(2,1/(Card!F:F=1028),Card!J:J)</f>
        <v>4476</v>
      </c>
      <c r="P7" s="157">
        <f>LOOKUP(2,1/(Card!F:F=1031),Card!J:J)</f>
        <v>8660</v>
      </c>
      <c r="Q7" s="157">
        <f>LOOKUP(2,1/(Card!F:F=3024),Card!J:J)</f>
        <v>377</v>
      </c>
      <c r="R7" s="136" cm="1">
        <f t="array" ref="R7">LOOKUP(2,1/(String!F:F="White"),String!J:J)</f>
        <v>716</v>
      </c>
      <c r="S7" s="137"/>
    </row>
    <row r="8" spans="4:19" ht="15" customHeight="1">
      <c r="D8" s="55"/>
      <c r="E8" s="55"/>
      <c r="F8" s="55"/>
      <c r="G8" s="198"/>
      <c r="H8" s="199"/>
      <c r="I8" s="199"/>
      <c r="J8" s="200"/>
      <c r="K8" s="164"/>
      <c r="L8" s="165"/>
      <c r="M8" s="165"/>
      <c r="N8" s="166"/>
      <c r="O8" s="158"/>
      <c r="P8" s="158"/>
      <c r="Q8" s="158"/>
      <c r="R8" s="138"/>
      <c r="S8" s="139"/>
    </row>
    <row r="9" spans="4:19" ht="15.75" customHeight="1" thickBot="1">
      <c r="D9" s="55"/>
      <c r="E9" s="55"/>
      <c r="F9" s="55"/>
      <c r="G9" s="201"/>
      <c r="H9" s="202"/>
      <c r="I9" s="202"/>
      <c r="J9" s="203"/>
      <c r="K9" s="167"/>
      <c r="L9" s="168"/>
      <c r="M9" s="168"/>
      <c r="N9" s="169"/>
      <c r="O9" s="159"/>
      <c r="P9" s="159"/>
      <c r="Q9" s="159"/>
      <c r="R9" s="140"/>
      <c r="S9" s="141"/>
    </row>
    <row r="10" spans="4:19" ht="15" customHeight="1"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61"/>
      <c r="P10" s="61"/>
      <c r="Q10" s="61"/>
      <c r="R10" s="61"/>
      <c r="S10" s="61"/>
    </row>
    <row r="11" spans="4:19"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61"/>
      <c r="P11" s="61"/>
      <c r="Q11" s="61"/>
      <c r="R11" s="61"/>
      <c r="S11" s="61"/>
    </row>
    <row r="12" spans="4:19" ht="15" thickBot="1"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61"/>
      <c r="P12" s="61"/>
      <c r="Q12" s="61"/>
      <c r="R12" s="61"/>
      <c r="S12" s="61"/>
    </row>
    <row r="13" spans="4:19" ht="29.25" customHeight="1" thickBot="1">
      <c r="D13" s="55"/>
      <c r="E13" s="55"/>
      <c r="F13" s="55"/>
      <c r="G13" s="154" t="s">
        <v>21</v>
      </c>
      <c r="H13" s="155"/>
      <c r="I13" s="155"/>
      <c r="J13" s="156"/>
      <c r="K13" s="154" t="s">
        <v>17</v>
      </c>
      <c r="L13" s="155"/>
      <c r="M13" s="155"/>
      <c r="N13" s="156"/>
      <c r="O13" s="62" t="s">
        <v>27</v>
      </c>
      <c r="P13" s="62" t="s">
        <v>28</v>
      </c>
      <c r="Q13" s="62" t="s">
        <v>29</v>
      </c>
      <c r="R13" s="61"/>
      <c r="S13" s="61"/>
    </row>
    <row r="14" spans="4:19" ht="15" customHeight="1">
      <c r="D14" s="55"/>
      <c r="E14" s="55"/>
      <c r="F14" s="55"/>
      <c r="G14" s="189">
        <f>LOOKUP(2,1/(Shrink!F:F="Machine B"),Shrink!J:J)</f>
        <v>5</v>
      </c>
      <c r="H14" s="190"/>
      <c r="I14" s="190"/>
      <c r="J14" s="191"/>
      <c r="K14" s="170">
        <f>LOOKUP(2,1/(Pallet!E:E="Wood"),Pallet!J:J)</f>
        <v>842</v>
      </c>
      <c r="L14" s="171"/>
      <c r="M14" s="171"/>
      <c r="N14" s="172"/>
      <c r="O14" s="157">
        <f>LOOKUP(2,1/(Card!F:F=3023),Card!J:J)</f>
        <v>1250</v>
      </c>
      <c r="P14" s="157">
        <f>LOOKUP(2,1/(Card!F:F=3014),Card!J:J)</f>
        <v>3500</v>
      </c>
      <c r="Q14" s="157">
        <f>LOOKUP(2,1/(Card!F:F=2009),Card!J:J)</f>
        <v>6250</v>
      </c>
      <c r="R14" s="61"/>
      <c r="S14" s="61"/>
    </row>
    <row r="15" spans="4:19" ht="15" customHeight="1">
      <c r="D15" s="55"/>
      <c r="E15" s="55"/>
      <c r="F15" s="55"/>
      <c r="G15" s="192"/>
      <c r="H15" s="193"/>
      <c r="I15" s="193"/>
      <c r="J15" s="194"/>
      <c r="K15" s="173"/>
      <c r="L15" s="174"/>
      <c r="M15" s="174"/>
      <c r="N15" s="175"/>
      <c r="O15" s="158"/>
      <c r="P15" s="158"/>
      <c r="Q15" s="158"/>
      <c r="R15" s="61"/>
      <c r="S15" s="61"/>
    </row>
    <row r="16" spans="4:19" ht="15.75" customHeight="1" thickBot="1">
      <c r="D16" s="55"/>
      <c r="E16" s="55"/>
      <c r="F16" s="55"/>
      <c r="G16" s="195"/>
      <c r="H16" s="196"/>
      <c r="I16" s="196"/>
      <c r="J16" s="197"/>
      <c r="K16" s="176"/>
      <c r="L16" s="177"/>
      <c r="M16" s="177"/>
      <c r="N16" s="178"/>
      <c r="O16" s="159"/>
      <c r="P16" s="159"/>
      <c r="Q16" s="159"/>
      <c r="R16" s="61"/>
      <c r="S16" s="61"/>
    </row>
    <row r="17" spans="4:19"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61"/>
      <c r="P17" s="61"/>
      <c r="Q17" s="61"/>
      <c r="R17" s="61"/>
      <c r="S17" s="61"/>
    </row>
    <row r="18" spans="4:19"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61"/>
      <c r="P18" s="61"/>
      <c r="Q18" s="61"/>
      <c r="R18" s="61"/>
      <c r="S18" s="61"/>
    </row>
    <row r="19" spans="4:19" ht="15" thickBot="1"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61"/>
      <c r="P19" s="61"/>
      <c r="Q19" s="61"/>
      <c r="R19" s="61"/>
      <c r="S19" s="61"/>
    </row>
    <row r="20" spans="4:19" ht="29.4" thickBot="1">
      <c r="D20" s="55"/>
      <c r="E20" s="55"/>
      <c r="F20" s="55"/>
      <c r="G20" s="154" t="s">
        <v>23</v>
      </c>
      <c r="H20" s="155"/>
      <c r="I20" s="155"/>
      <c r="J20" s="156"/>
      <c r="K20" s="179"/>
      <c r="L20" s="179"/>
      <c r="M20" s="179"/>
      <c r="N20" s="179"/>
      <c r="O20" s="62" t="s">
        <v>30</v>
      </c>
      <c r="P20" s="62" t="s">
        <v>31</v>
      </c>
      <c r="Q20" s="62" t="s">
        <v>32</v>
      </c>
      <c r="R20" s="61"/>
      <c r="S20" s="61"/>
    </row>
    <row r="21" spans="4:19" ht="15" customHeight="1">
      <c r="D21" s="55"/>
      <c r="E21" s="55"/>
      <c r="F21" s="55"/>
      <c r="G21" s="180">
        <f>LOOKUP(2,1/(Shrink!F:F="Manual"),Shrink!J:J)</f>
        <v>677</v>
      </c>
      <c r="H21" s="181"/>
      <c r="I21" s="181"/>
      <c r="J21" s="182"/>
      <c r="K21" s="160"/>
      <c r="L21" s="160"/>
      <c r="M21" s="160"/>
      <c r="N21" s="160"/>
      <c r="O21" s="157">
        <f>LOOKUP(2,1/(Card!F:F=2013),Card!J:J)</f>
        <v>4250</v>
      </c>
      <c r="P21" s="157">
        <f>LOOKUP(2,1/(Card!F:F=1029),Card!J:J)</f>
        <v>9251</v>
      </c>
      <c r="Q21" s="157">
        <f>LOOKUP(2,1/(Card!F:F=1032),Card!J:J)</f>
        <v>4000</v>
      </c>
      <c r="R21" s="61"/>
      <c r="S21" s="61"/>
    </row>
    <row r="22" spans="4:19" ht="15" customHeight="1">
      <c r="D22" s="55"/>
      <c r="E22" s="55"/>
      <c r="F22" s="55"/>
      <c r="G22" s="183"/>
      <c r="H22" s="184"/>
      <c r="I22" s="184"/>
      <c r="J22" s="185"/>
      <c r="K22" s="160"/>
      <c r="L22" s="160"/>
      <c r="M22" s="160"/>
      <c r="N22" s="160"/>
      <c r="O22" s="158"/>
      <c r="P22" s="158"/>
      <c r="Q22" s="158"/>
      <c r="R22" s="61"/>
      <c r="S22" s="61"/>
    </row>
    <row r="23" spans="4:19" ht="15.75" customHeight="1" thickBot="1">
      <c r="D23" s="55"/>
      <c r="E23" s="55"/>
      <c r="F23" s="55"/>
      <c r="G23" s="186"/>
      <c r="H23" s="187"/>
      <c r="I23" s="187"/>
      <c r="J23" s="188"/>
      <c r="K23" s="160"/>
      <c r="L23" s="160"/>
      <c r="M23" s="160"/>
      <c r="N23" s="160"/>
      <c r="O23" s="159"/>
      <c r="P23" s="159"/>
      <c r="Q23" s="159"/>
      <c r="R23" s="61"/>
      <c r="S23" s="61"/>
    </row>
    <row r="24" spans="4:19" ht="15" thickBot="1"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61"/>
      <c r="P24" s="61"/>
      <c r="Q24" s="61"/>
      <c r="R24" s="61"/>
      <c r="S24" s="61"/>
    </row>
    <row r="25" spans="4:19" ht="29.4" thickBot="1"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O25" s="62" t="s">
        <v>33</v>
      </c>
      <c r="P25" s="62" t="s">
        <v>34</v>
      </c>
      <c r="Q25" s="61"/>
      <c r="R25" s="61"/>
      <c r="S25" s="61"/>
    </row>
    <row r="26" spans="4:19" ht="15" customHeight="1"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O26" s="157">
        <f>LOOKUP(2,1/(Card!F:F=1016),Card!J:J)</f>
        <v>5020</v>
      </c>
      <c r="P26" s="157">
        <f>LOOKUP(2,1/(Card!F:F=3025),Card!J:J)</f>
        <v>5000</v>
      </c>
      <c r="Q26" s="61"/>
      <c r="R26" s="61"/>
      <c r="S26" s="61"/>
    </row>
    <row r="27" spans="4:19" ht="28.5" customHeight="1">
      <c r="D27" s="55"/>
      <c r="E27" s="55"/>
      <c r="F27" s="55"/>
      <c r="G27" s="179"/>
      <c r="H27" s="179"/>
      <c r="I27" s="179"/>
      <c r="J27" s="179"/>
      <c r="K27" s="55"/>
      <c r="L27" s="55"/>
      <c r="M27" s="55"/>
      <c r="N27" s="55"/>
      <c r="O27" s="158"/>
      <c r="P27" s="158"/>
      <c r="Q27" s="61"/>
      <c r="R27" s="61"/>
      <c r="S27" s="61"/>
    </row>
    <row r="28" spans="4:19" ht="15" customHeight="1" thickBot="1">
      <c r="D28" s="55"/>
      <c r="E28" s="55"/>
      <c r="F28" s="55"/>
      <c r="G28" s="160"/>
      <c r="H28" s="160"/>
      <c r="I28" s="160"/>
      <c r="J28" s="160"/>
      <c r="K28" s="55"/>
      <c r="L28" s="55"/>
      <c r="M28" s="55"/>
      <c r="N28" s="55"/>
      <c r="O28" s="159"/>
      <c r="P28" s="159"/>
      <c r="Q28" s="61"/>
      <c r="R28" s="61"/>
      <c r="S28" s="61"/>
    </row>
    <row r="29" spans="4:19" ht="15" customHeight="1">
      <c r="D29" s="55"/>
      <c r="E29" s="55"/>
      <c r="F29" s="55"/>
      <c r="G29" s="160"/>
      <c r="H29" s="160"/>
      <c r="I29" s="160"/>
      <c r="J29" s="160"/>
      <c r="K29" s="55"/>
      <c r="L29" s="55"/>
      <c r="M29" s="55"/>
      <c r="N29" s="55"/>
      <c r="O29" s="61"/>
      <c r="P29" s="61"/>
      <c r="Q29" s="61"/>
      <c r="R29" s="61"/>
      <c r="S29" s="61"/>
    </row>
    <row r="30" spans="4:19" ht="15" customHeight="1">
      <c r="D30" s="55"/>
      <c r="E30" s="55"/>
      <c r="F30" s="55"/>
      <c r="G30" s="160"/>
      <c r="H30" s="160"/>
      <c r="I30" s="160"/>
      <c r="J30" s="160"/>
      <c r="K30" s="55"/>
      <c r="L30" s="55"/>
      <c r="M30" s="55"/>
      <c r="N30" s="55"/>
      <c r="O30" s="61"/>
      <c r="P30" s="61"/>
      <c r="Q30" s="61"/>
      <c r="R30" s="61"/>
      <c r="S30" s="61"/>
    </row>
  </sheetData>
  <sheetProtection formatCells="0" formatColumns="0" formatRows="0" insertColumns="0" insertRows="0" insertHyperlinks="0" deleteColumns="0" deleteRows="0" sort="0" autoFilter="0" pivotTables="0"/>
  <mergeCells count="35">
    <mergeCell ref="G28:J30"/>
    <mergeCell ref="K7:N9"/>
    <mergeCell ref="K13:N13"/>
    <mergeCell ref="K14:N16"/>
    <mergeCell ref="K20:N20"/>
    <mergeCell ref="K21:N23"/>
    <mergeCell ref="G20:J20"/>
    <mergeCell ref="G21:J23"/>
    <mergeCell ref="G13:J13"/>
    <mergeCell ref="G14:J16"/>
    <mergeCell ref="G7:J9"/>
    <mergeCell ref="G27:J27"/>
    <mergeCell ref="O26:O28"/>
    <mergeCell ref="P26:P28"/>
    <mergeCell ref="P7:P9"/>
    <mergeCell ref="P21:P23"/>
    <mergeCell ref="Q21:Q23"/>
    <mergeCell ref="Q14:Q16"/>
    <mergeCell ref="P14:P16"/>
    <mergeCell ref="Q7:Q9"/>
    <mergeCell ref="O7:O9"/>
    <mergeCell ref="O14:O16"/>
    <mergeCell ref="O21:O23"/>
    <mergeCell ref="R1:S2"/>
    <mergeCell ref="R3:S4"/>
    <mergeCell ref="R6:S6"/>
    <mergeCell ref="R7:S9"/>
    <mergeCell ref="G1:J2"/>
    <mergeCell ref="K1:N2"/>
    <mergeCell ref="O1:Q2"/>
    <mergeCell ref="O3:Q4"/>
    <mergeCell ref="K3:N4"/>
    <mergeCell ref="G3:J4"/>
    <mergeCell ref="G6:J6"/>
    <mergeCell ref="K6:N6"/>
  </mergeCells>
  <pageMargins left="1" right="1" top="1" bottom="1" header="0.5" footer="0.5"/>
  <pageSetup paperSize="9" scale="87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0000"/>
  </sheetPr>
  <dimension ref="A1:I217"/>
  <sheetViews>
    <sheetView topLeftCell="A21" zoomScale="80" zoomScaleNormal="80" workbookViewId="0">
      <selection activeCell="H30" sqref="A30:H30"/>
    </sheetView>
  </sheetViews>
  <sheetFormatPr defaultRowHeight="14.4"/>
  <cols>
    <col min="1" max="1" width="32.88671875" style="25" customWidth="1"/>
    <col min="2" max="2" width="28.44140625" style="28" customWidth="1"/>
    <col min="3" max="4" width="28.44140625" customWidth="1"/>
    <col min="5" max="5" width="37" customWidth="1"/>
    <col min="6" max="7" width="28.44140625" customWidth="1"/>
    <col min="8" max="8" width="28.44140625" style="84" customWidth="1"/>
    <col min="9" max="9" width="25.6640625" style="32" customWidth="1"/>
  </cols>
  <sheetData>
    <row r="1" spans="1:9" ht="25.8">
      <c r="A1" s="19" t="s">
        <v>13</v>
      </c>
      <c r="B1" s="29" t="s">
        <v>12</v>
      </c>
      <c r="C1" s="20" t="s">
        <v>11</v>
      </c>
      <c r="D1" s="20" t="s">
        <v>10</v>
      </c>
      <c r="E1" s="20" t="s">
        <v>4</v>
      </c>
      <c r="F1" s="20" t="s">
        <v>5</v>
      </c>
      <c r="G1" s="21" t="s">
        <v>3</v>
      </c>
      <c r="H1" s="22" t="s">
        <v>2</v>
      </c>
      <c r="I1" s="44" t="s">
        <v>14</v>
      </c>
    </row>
    <row r="2" spans="1:9" s="17" customFormat="1" ht="31.5" customHeight="1">
      <c r="A2" s="23">
        <v>46150.618391203701</v>
      </c>
      <c r="B2" s="26" t="s">
        <v>0</v>
      </c>
      <c r="C2" s="16">
        <v>10</v>
      </c>
      <c r="D2" s="16">
        <v>240</v>
      </c>
      <c r="E2" s="15" t="s">
        <v>17</v>
      </c>
      <c r="F2" s="15" t="s">
        <v>35</v>
      </c>
      <c r="G2" s="15" t="s">
        <v>17</v>
      </c>
      <c r="H2" s="2" t="s">
        <v>16</v>
      </c>
      <c r="I2" s="43"/>
    </row>
    <row r="3" spans="1:9" s="17" customFormat="1" ht="31.5" customHeight="1">
      <c r="A3" s="23">
        <v>46150.618935185186</v>
      </c>
      <c r="B3" s="26" t="s">
        <v>0</v>
      </c>
      <c r="C3" s="16">
        <v>60</v>
      </c>
      <c r="D3" s="16">
        <v>180</v>
      </c>
      <c r="E3" s="15" t="s">
        <v>17</v>
      </c>
      <c r="F3" s="15" t="s">
        <v>35</v>
      </c>
      <c r="G3" s="15" t="s">
        <v>17</v>
      </c>
      <c r="H3" s="2" t="s">
        <v>16</v>
      </c>
      <c r="I3" s="43"/>
    </row>
    <row r="4" spans="1:9" s="17" customFormat="1" ht="31.5" customHeight="1">
      <c r="A4" s="23">
        <v>46150.619131944448</v>
      </c>
      <c r="B4" s="26" t="s">
        <v>0</v>
      </c>
      <c r="C4" s="16">
        <v>40</v>
      </c>
      <c r="D4" s="16">
        <v>140</v>
      </c>
      <c r="E4" s="15" t="s">
        <v>17</v>
      </c>
      <c r="F4" s="15" t="s">
        <v>35</v>
      </c>
      <c r="G4" s="15" t="s">
        <v>17</v>
      </c>
      <c r="H4" s="2" t="s">
        <v>16</v>
      </c>
      <c r="I4" s="43"/>
    </row>
    <row r="5" spans="1:9" s="17" customFormat="1" ht="31.5" customHeight="1">
      <c r="A5" s="23">
        <v>46150.619513888887</v>
      </c>
      <c r="B5" s="35" t="s">
        <v>0</v>
      </c>
      <c r="C5" s="16">
        <v>1000</v>
      </c>
      <c r="D5" s="16">
        <v>6800</v>
      </c>
      <c r="E5" s="15" t="s">
        <v>18</v>
      </c>
      <c r="F5" s="15" t="s">
        <v>35</v>
      </c>
      <c r="G5" s="15" t="s">
        <v>18</v>
      </c>
      <c r="H5" s="2" t="s">
        <v>16</v>
      </c>
      <c r="I5" s="43"/>
    </row>
    <row r="6" spans="1:9" s="17" customFormat="1" ht="31.5" customHeight="1">
      <c r="A6" s="23">
        <v>46150.622384259259</v>
      </c>
      <c r="B6" s="35" t="s">
        <v>0</v>
      </c>
      <c r="C6" s="16">
        <v>1250</v>
      </c>
      <c r="D6" s="16">
        <v>4476</v>
      </c>
      <c r="E6" s="15">
        <v>1028</v>
      </c>
      <c r="F6" s="15" t="s">
        <v>35</v>
      </c>
      <c r="G6" s="15" t="s">
        <v>38</v>
      </c>
      <c r="H6" s="2" t="s">
        <v>19</v>
      </c>
      <c r="I6" s="43"/>
    </row>
    <row r="7" spans="1:9" s="17" customFormat="1" ht="31.5" customHeight="1">
      <c r="A7" s="23">
        <v>46150.625532407408</v>
      </c>
      <c r="B7" s="35" t="s">
        <v>1</v>
      </c>
      <c r="C7" s="16">
        <v>6</v>
      </c>
      <c r="D7" s="16">
        <v>10</v>
      </c>
      <c r="E7" s="15" t="s">
        <v>21</v>
      </c>
      <c r="F7" s="15" t="s">
        <v>35</v>
      </c>
      <c r="G7" s="15" t="s">
        <v>20</v>
      </c>
      <c r="H7" s="2" t="s">
        <v>20</v>
      </c>
      <c r="I7" s="43"/>
    </row>
    <row r="8" spans="1:9" s="17" customFormat="1" ht="31.5" customHeight="1">
      <c r="A8" s="23">
        <v>46150.625949074078</v>
      </c>
      <c r="B8" s="35" t="s">
        <v>1</v>
      </c>
      <c r="C8" s="16">
        <v>46</v>
      </c>
      <c r="D8" s="16">
        <v>74</v>
      </c>
      <c r="E8" s="15" t="s">
        <v>22</v>
      </c>
      <c r="F8" s="15" t="s">
        <v>35</v>
      </c>
      <c r="G8" s="15" t="s">
        <v>20</v>
      </c>
      <c r="H8" s="2" t="s">
        <v>20</v>
      </c>
      <c r="I8" s="43"/>
    </row>
    <row r="9" spans="1:9" s="17" customFormat="1" ht="31.5" customHeight="1">
      <c r="A9" s="23">
        <v>46150.627256944441</v>
      </c>
      <c r="B9" s="35" t="s">
        <v>1</v>
      </c>
      <c r="C9" s="16">
        <v>92</v>
      </c>
      <c r="D9" s="16">
        <v>166</v>
      </c>
      <c r="E9" s="15" t="s">
        <v>22</v>
      </c>
      <c r="F9" s="15" t="s">
        <v>35</v>
      </c>
      <c r="G9" s="15" t="s">
        <v>20</v>
      </c>
      <c r="H9" s="2" t="s">
        <v>20</v>
      </c>
      <c r="I9" s="43"/>
    </row>
    <row r="10" spans="1:9" s="17" customFormat="1" ht="31.5" customHeight="1">
      <c r="A10" s="23">
        <v>46150.627453703702</v>
      </c>
      <c r="B10" s="35" t="s">
        <v>1</v>
      </c>
      <c r="C10" s="15">
        <v>480</v>
      </c>
      <c r="D10" s="15">
        <v>720</v>
      </c>
      <c r="E10" s="15" t="s">
        <v>23</v>
      </c>
      <c r="F10" s="15" t="s">
        <v>35</v>
      </c>
      <c r="G10" s="15" t="s">
        <v>20</v>
      </c>
      <c r="H10" s="2" t="s">
        <v>20</v>
      </c>
      <c r="I10" s="43"/>
    </row>
    <row r="11" spans="1:9" s="17" customFormat="1" ht="31.5" customHeight="1">
      <c r="A11" s="23">
        <v>46150.627557870372</v>
      </c>
      <c r="B11" s="35" t="s">
        <v>0</v>
      </c>
      <c r="C11" s="15">
        <v>1</v>
      </c>
      <c r="D11" s="15">
        <v>9</v>
      </c>
      <c r="E11" s="15" t="s">
        <v>21</v>
      </c>
      <c r="F11" s="15" t="s">
        <v>35</v>
      </c>
      <c r="G11" s="15" t="s">
        <v>20</v>
      </c>
      <c r="H11" s="2" t="s">
        <v>20</v>
      </c>
      <c r="I11" s="43"/>
    </row>
    <row r="12" spans="1:9" s="17" customFormat="1" ht="31.5" customHeight="1">
      <c r="A12" s="23">
        <v>46150.627858796295</v>
      </c>
      <c r="B12" s="35" t="s">
        <v>0</v>
      </c>
      <c r="C12" s="15">
        <v>2</v>
      </c>
      <c r="D12" s="15">
        <v>164</v>
      </c>
      <c r="E12" s="15" t="s">
        <v>22</v>
      </c>
      <c r="F12" s="15" t="s">
        <v>35</v>
      </c>
      <c r="G12" s="15" t="s">
        <v>20</v>
      </c>
      <c r="H12" s="2" t="s">
        <v>20</v>
      </c>
      <c r="I12" s="43"/>
    </row>
    <row r="13" spans="1:9" s="17" customFormat="1" ht="31.5" customHeight="1">
      <c r="A13" s="23">
        <v>46150.627951388888</v>
      </c>
      <c r="B13" s="35" t="s">
        <v>0</v>
      </c>
      <c r="C13" s="15">
        <v>2</v>
      </c>
      <c r="D13" s="15">
        <v>162</v>
      </c>
      <c r="E13" s="15" t="s">
        <v>22</v>
      </c>
      <c r="F13" s="15" t="s">
        <v>35</v>
      </c>
      <c r="G13" s="15" t="s">
        <v>20</v>
      </c>
      <c r="H13" s="2" t="s">
        <v>20</v>
      </c>
      <c r="I13" s="43"/>
    </row>
    <row r="14" spans="1:9" s="17" customFormat="1" ht="31.5" customHeight="1">
      <c r="A14" s="23">
        <v>46150.628252314818</v>
      </c>
      <c r="B14" s="35" t="s">
        <v>0</v>
      </c>
      <c r="C14" s="15">
        <v>6</v>
      </c>
      <c r="D14" s="15">
        <v>714</v>
      </c>
      <c r="E14" s="15" t="s">
        <v>23</v>
      </c>
      <c r="F14" s="15" t="s">
        <v>35</v>
      </c>
      <c r="G14" s="15" t="s">
        <v>20</v>
      </c>
      <c r="H14" s="2" t="s">
        <v>20</v>
      </c>
      <c r="I14" s="43"/>
    </row>
    <row r="15" spans="1:9" s="17" customFormat="1" ht="31.5" customHeight="1">
      <c r="A15" s="23">
        <v>46150.628495370373</v>
      </c>
      <c r="B15" s="35" t="s">
        <v>0</v>
      </c>
      <c r="C15" s="15">
        <v>3</v>
      </c>
      <c r="D15" s="15">
        <v>159</v>
      </c>
      <c r="E15" s="15" t="s">
        <v>22</v>
      </c>
      <c r="F15" s="15" t="s">
        <v>35</v>
      </c>
      <c r="G15" s="15" t="s">
        <v>20</v>
      </c>
      <c r="H15" s="2" t="s">
        <v>20</v>
      </c>
      <c r="I15" s="43"/>
    </row>
    <row r="16" spans="1:9" s="17" customFormat="1" ht="31.5" customHeight="1">
      <c r="A16" s="23">
        <v>46150.628761574073</v>
      </c>
      <c r="B16" s="35" t="s">
        <v>0</v>
      </c>
      <c r="C16" s="15">
        <v>7</v>
      </c>
      <c r="D16" s="15">
        <v>707</v>
      </c>
      <c r="E16" s="15" t="s">
        <v>23</v>
      </c>
      <c r="F16" s="15" t="s">
        <v>35</v>
      </c>
      <c r="G16" s="15" t="s">
        <v>20</v>
      </c>
      <c r="H16" s="2" t="s">
        <v>20</v>
      </c>
      <c r="I16" s="43"/>
    </row>
    <row r="17" spans="1:9" s="17" customFormat="1" ht="31.5" customHeight="1">
      <c r="A17" s="23">
        <v>46151.369085648148</v>
      </c>
      <c r="B17" s="35" t="s">
        <v>0</v>
      </c>
      <c r="C17" s="15">
        <v>3</v>
      </c>
      <c r="D17" s="15">
        <v>156</v>
      </c>
      <c r="E17" s="15" t="s">
        <v>22</v>
      </c>
      <c r="F17" s="15" t="s">
        <v>35</v>
      </c>
      <c r="G17" s="15" t="s">
        <v>20</v>
      </c>
      <c r="H17" s="2" t="s">
        <v>20</v>
      </c>
      <c r="I17" s="43"/>
    </row>
    <row r="18" spans="1:9" s="17" customFormat="1" ht="31.5" customHeight="1">
      <c r="A18" s="23">
        <v>46151.369699074072</v>
      </c>
      <c r="B18" s="35" t="s">
        <v>0</v>
      </c>
      <c r="C18" s="15">
        <v>3</v>
      </c>
      <c r="D18" s="15">
        <v>153</v>
      </c>
      <c r="E18" s="15" t="s">
        <v>22</v>
      </c>
      <c r="F18" s="15" t="s">
        <v>35</v>
      </c>
      <c r="G18" s="15" t="s">
        <v>20</v>
      </c>
      <c r="H18" s="2" t="s">
        <v>20</v>
      </c>
      <c r="I18" s="43"/>
    </row>
    <row r="19" spans="1:9" s="17" customFormat="1" ht="31.5" customHeight="1">
      <c r="A19" s="23">
        <v>46151.373761574076</v>
      </c>
      <c r="B19" s="35" t="s">
        <v>1</v>
      </c>
      <c r="C19" s="15">
        <v>240</v>
      </c>
      <c r="D19" s="15">
        <v>380</v>
      </c>
      <c r="E19" s="15" t="s">
        <v>17</v>
      </c>
      <c r="F19" s="15" t="s">
        <v>35</v>
      </c>
      <c r="G19" s="15" t="s">
        <v>17</v>
      </c>
      <c r="H19" s="2" t="s">
        <v>16</v>
      </c>
      <c r="I19" s="43"/>
    </row>
    <row r="20" spans="1:9" s="17" customFormat="1" ht="31.5" customHeight="1">
      <c r="A20" s="23">
        <v>46151.462094907409</v>
      </c>
      <c r="B20" s="35" t="s">
        <v>0</v>
      </c>
      <c r="C20" s="15">
        <v>40</v>
      </c>
      <c r="D20" s="15">
        <v>6760</v>
      </c>
      <c r="E20" s="15" t="s">
        <v>18</v>
      </c>
      <c r="F20" s="15" t="s">
        <v>35</v>
      </c>
      <c r="G20" s="15" t="s">
        <v>17</v>
      </c>
      <c r="H20" s="2" t="s">
        <v>16</v>
      </c>
      <c r="I20" s="43"/>
    </row>
    <row r="21" spans="1:9" s="17" customFormat="1" ht="31.5" customHeight="1">
      <c r="A21" s="23">
        <v>46151.462141203701</v>
      </c>
      <c r="B21" s="35" t="s">
        <v>0</v>
      </c>
      <c r="C21" s="15">
        <v>40</v>
      </c>
      <c r="D21" s="15">
        <v>340</v>
      </c>
      <c r="E21" s="15" t="s">
        <v>17</v>
      </c>
      <c r="F21" s="15" t="s">
        <v>35</v>
      </c>
      <c r="G21" s="15" t="s">
        <v>17</v>
      </c>
      <c r="H21" s="2" t="s">
        <v>16</v>
      </c>
      <c r="I21" s="43"/>
    </row>
    <row r="22" spans="1:9" s="17" customFormat="1" ht="31.5" customHeight="1">
      <c r="A22" s="23">
        <v>46151.462476851855</v>
      </c>
      <c r="B22" s="35" t="s">
        <v>0</v>
      </c>
      <c r="C22" s="15">
        <v>2</v>
      </c>
      <c r="D22" s="15">
        <v>151</v>
      </c>
      <c r="E22" s="15" t="s">
        <v>22</v>
      </c>
      <c r="F22" s="15" t="s">
        <v>35</v>
      </c>
      <c r="G22" s="15" t="s">
        <v>20</v>
      </c>
      <c r="H22" s="2" t="s">
        <v>20</v>
      </c>
      <c r="I22" s="43"/>
    </row>
    <row r="23" spans="1:9" s="17" customFormat="1" ht="31.5" customHeight="1">
      <c r="A23" s="23">
        <v>46152.430069444446</v>
      </c>
      <c r="B23" s="35" t="s">
        <v>0</v>
      </c>
      <c r="C23" s="15">
        <v>3</v>
      </c>
      <c r="D23" s="15">
        <v>6</v>
      </c>
      <c r="E23" s="15" t="s">
        <v>21</v>
      </c>
      <c r="F23" s="15" t="s">
        <v>35</v>
      </c>
      <c r="G23" s="15" t="s">
        <v>20</v>
      </c>
      <c r="H23" s="2" t="s">
        <v>20</v>
      </c>
      <c r="I23" s="43"/>
    </row>
    <row r="24" spans="1:9" s="17" customFormat="1" ht="31.5" customHeight="1">
      <c r="A24" s="23">
        <v>46152.430462962962</v>
      </c>
      <c r="B24" s="35" t="s">
        <v>0</v>
      </c>
      <c r="C24" s="15">
        <v>6</v>
      </c>
      <c r="D24" s="15">
        <v>701</v>
      </c>
      <c r="E24" s="15" t="s">
        <v>23</v>
      </c>
      <c r="F24" s="15" t="s">
        <v>35</v>
      </c>
      <c r="G24" s="15" t="s">
        <v>20</v>
      </c>
      <c r="H24" s="2" t="s">
        <v>20</v>
      </c>
      <c r="I24" s="43"/>
    </row>
    <row r="25" spans="1:9" s="17" customFormat="1" ht="31.5" customHeight="1">
      <c r="A25" s="23">
        <v>46153.397199074076</v>
      </c>
      <c r="B25" s="26" t="s">
        <v>0</v>
      </c>
      <c r="C25" s="15">
        <v>12</v>
      </c>
      <c r="D25" s="15">
        <v>689</v>
      </c>
      <c r="E25" s="15" t="s">
        <v>23</v>
      </c>
      <c r="F25" s="15" t="s">
        <v>35</v>
      </c>
      <c r="G25" s="15" t="s">
        <v>20</v>
      </c>
      <c r="H25" s="2" t="s">
        <v>20</v>
      </c>
      <c r="I25" s="43"/>
    </row>
    <row r="26" spans="1:9" s="17" customFormat="1" ht="31.5" customHeight="1">
      <c r="A26" s="23">
        <v>46153.567013888889</v>
      </c>
      <c r="B26" s="26" t="s">
        <v>1</v>
      </c>
      <c r="C26" s="15">
        <v>252</v>
      </c>
      <c r="D26" s="15">
        <v>592</v>
      </c>
      <c r="E26" s="15" t="s">
        <v>17</v>
      </c>
      <c r="F26" s="15" t="s">
        <v>35</v>
      </c>
      <c r="G26" s="15" t="s">
        <v>17</v>
      </c>
      <c r="H26" s="2" t="s">
        <v>16</v>
      </c>
      <c r="I26" s="43"/>
    </row>
    <row r="27" spans="1:9" s="17" customFormat="1" ht="31.5" customHeight="1">
      <c r="A27" s="23">
        <v>46155.414444444446</v>
      </c>
      <c r="B27" s="26" t="s">
        <v>0</v>
      </c>
      <c r="C27" s="15">
        <v>6</v>
      </c>
      <c r="D27" s="15">
        <v>683</v>
      </c>
      <c r="E27" s="15" t="s">
        <v>23</v>
      </c>
      <c r="F27" s="15" t="s">
        <v>35</v>
      </c>
      <c r="G27" s="15" t="s">
        <v>20</v>
      </c>
      <c r="H27" s="2" t="s">
        <v>20</v>
      </c>
      <c r="I27" s="43"/>
    </row>
    <row r="28" spans="1:9" s="17" customFormat="1" ht="31.5" customHeight="1">
      <c r="A28" s="23">
        <v>46158.367800925924</v>
      </c>
      <c r="B28" s="26" t="s">
        <v>0</v>
      </c>
      <c r="C28" s="15">
        <v>6</v>
      </c>
      <c r="D28" s="15">
        <v>677</v>
      </c>
      <c r="E28" s="15" t="s">
        <v>23</v>
      </c>
      <c r="F28" s="15" t="s">
        <v>35</v>
      </c>
      <c r="G28" s="15" t="s">
        <v>20</v>
      </c>
      <c r="H28" s="2" t="s">
        <v>20</v>
      </c>
      <c r="I28" s="43"/>
    </row>
    <row r="29" spans="1:9" s="17" customFormat="1" ht="31.5" customHeight="1">
      <c r="A29" s="23">
        <v>46158.369606481479</v>
      </c>
      <c r="B29" s="26" t="s">
        <v>0</v>
      </c>
      <c r="C29" s="15">
        <v>48</v>
      </c>
      <c r="D29" s="15">
        <v>716</v>
      </c>
      <c r="E29" s="15" t="s">
        <v>51</v>
      </c>
      <c r="F29" s="15" t="s">
        <v>35</v>
      </c>
      <c r="G29" s="15" t="s">
        <v>50</v>
      </c>
      <c r="H29" s="2" t="s">
        <v>50</v>
      </c>
      <c r="I29" s="43"/>
    </row>
    <row r="30" spans="1:9" s="17" customFormat="1" ht="31.5" customHeight="1">
      <c r="A30" s="23">
        <v>46158.378229166665</v>
      </c>
      <c r="B30" s="26" t="s">
        <v>1</v>
      </c>
      <c r="C30" s="15">
        <v>250</v>
      </c>
      <c r="D30" s="15">
        <v>842</v>
      </c>
      <c r="E30" s="15" t="s">
        <v>17</v>
      </c>
      <c r="F30" s="15" t="s">
        <v>35</v>
      </c>
      <c r="G30" s="15" t="s">
        <v>17</v>
      </c>
      <c r="H30" s="2" t="s">
        <v>16</v>
      </c>
      <c r="I30" s="43"/>
    </row>
    <row r="31" spans="1:9" s="17" customFormat="1" ht="31.5" customHeight="1">
      <c r="A31" s="23">
        <v>46158.379074074073</v>
      </c>
      <c r="B31" s="26" t="s">
        <v>0</v>
      </c>
      <c r="C31" s="15">
        <v>1</v>
      </c>
      <c r="D31" s="15">
        <v>5</v>
      </c>
      <c r="E31" s="15" t="s">
        <v>21</v>
      </c>
      <c r="F31" s="15" t="s">
        <v>35</v>
      </c>
      <c r="G31" s="15" t="s">
        <v>20</v>
      </c>
      <c r="H31" s="2" t="s">
        <v>20</v>
      </c>
      <c r="I31" s="43"/>
    </row>
    <row r="32" spans="1:9" s="17" customFormat="1" ht="31.5" customHeight="1">
      <c r="A32" s="23">
        <v>46158.379363425927</v>
      </c>
      <c r="B32" s="26" t="s">
        <v>0</v>
      </c>
      <c r="C32" s="15">
        <v>2</v>
      </c>
      <c r="D32" s="15">
        <v>149</v>
      </c>
      <c r="E32" s="15" t="s">
        <v>22</v>
      </c>
      <c r="F32" s="15" t="s">
        <v>35</v>
      </c>
      <c r="G32" s="15" t="s">
        <v>20</v>
      </c>
      <c r="H32" s="2" t="s">
        <v>20</v>
      </c>
      <c r="I32" s="43"/>
    </row>
    <row r="33" spans="1:9" s="17" customFormat="1" ht="31.5" customHeight="1">
      <c r="A33" s="23"/>
      <c r="B33" s="26"/>
      <c r="C33" s="15"/>
      <c r="D33" s="15"/>
      <c r="E33" s="15"/>
      <c r="F33" s="15"/>
      <c r="G33" s="15"/>
      <c r="H33" s="2"/>
      <c r="I33" s="43"/>
    </row>
    <row r="34" spans="1:9" s="17" customFormat="1" ht="31.5" customHeight="1">
      <c r="A34" s="23"/>
      <c r="B34" s="26"/>
      <c r="C34" s="15"/>
      <c r="D34" s="15"/>
      <c r="E34" s="15"/>
      <c r="F34" s="15"/>
      <c r="G34" s="15"/>
      <c r="H34" s="2"/>
      <c r="I34" s="43"/>
    </row>
    <row r="35" spans="1:9" s="17" customFormat="1" ht="31.5" customHeight="1">
      <c r="A35" s="97"/>
      <c r="B35" s="26"/>
      <c r="C35" s="15"/>
      <c r="D35" s="15"/>
      <c r="E35" s="15"/>
      <c r="F35" s="15"/>
      <c r="G35" s="15"/>
      <c r="H35" s="2"/>
      <c r="I35" s="43"/>
    </row>
    <row r="36" spans="1:9" s="17" customFormat="1" ht="31.5" customHeight="1">
      <c r="A36" s="24"/>
      <c r="B36" s="27"/>
      <c r="H36" s="2"/>
      <c r="I36" s="43"/>
    </row>
    <row r="37" spans="1:9" s="17" customFormat="1" ht="31.5" customHeight="1">
      <c r="A37" s="24"/>
      <c r="B37" s="27"/>
      <c r="H37" s="83"/>
      <c r="I37" s="43"/>
    </row>
    <row r="38" spans="1:9" s="17" customFormat="1" ht="31.5" customHeight="1">
      <c r="A38" s="24"/>
      <c r="B38" s="27"/>
      <c r="H38" s="83"/>
      <c r="I38" s="43"/>
    </row>
    <row r="39" spans="1:9" s="17" customFormat="1" ht="31.5" customHeight="1">
      <c r="A39" s="24"/>
      <c r="B39" s="27"/>
      <c r="H39" s="83"/>
      <c r="I39" s="43"/>
    </row>
    <row r="40" spans="1:9" s="17" customFormat="1" ht="31.5" customHeight="1">
      <c r="A40" s="24"/>
      <c r="B40" s="27"/>
      <c r="H40" s="83"/>
      <c r="I40" s="43"/>
    </row>
    <row r="41" spans="1:9" s="17" customFormat="1" ht="31.5" customHeight="1">
      <c r="A41" s="24"/>
      <c r="B41" s="27"/>
      <c r="H41" s="83"/>
      <c r="I41" s="43"/>
    </row>
    <row r="42" spans="1:9" s="17" customFormat="1" ht="31.5" customHeight="1">
      <c r="A42" s="24"/>
      <c r="B42" s="27"/>
      <c r="H42" s="83"/>
      <c r="I42" s="43"/>
    </row>
    <row r="43" spans="1:9" s="17" customFormat="1" ht="31.5" customHeight="1">
      <c r="A43" s="24"/>
      <c r="B43" s="27"/>
      <c r="H43" s="83"/>
      <c r="I43" s="43"/>
    </row>
    <row r="44" spans="1:9" s="17" customFormat="1" ht="31.5" customHeight="1">
      <c r="A44" s="24"/>
      <c r="B44" s="27"/>
      <c r="H44" s="83"/>
      <c r="I44" s="43"/>
    </row>
    <row r="45" spans="1:9" s="17" customFormat="1" ht="31.5" customHeight="1">
      <c r="A45" s="24"/>
      <c r="B45" s="27"/>
      <c r="H45" s="83"/>
      <c r="I45" s="43"/>
    </row>
    <row r="46" spans="1:9" s="17" customFormat="1" ht="31.5" customHeight="1">
      <c r="A46" s="24"/>
      <c r="B46" s="27"/>
      <c r="H46" s="83"/>
      <c r="I46" s="43"/>
    </row>
    <row r="47" spans="1:9" s="17" customFormat="1" ht="31.5" customHeight="1">
      <c r="A47" s="24"/>
      <c r="B47" s="27"/>
      <c r="H47" s="83"/>
      <c r="I47" s="43"/>
    </row>
    <row r="48" spans="1:9" s="17" customFormat="1" ht="31.5" customHeight="1">
      <c r="A48" s="24"/>
      <c r="B48" s="27"/>
      <c r="H48" s="83"/>
      <c r="I48" s="43"/>
    </row>
    <row r="49" spans="1:9" s="17" customFormat="1" ht="31.5" customHeight="1">
      <c r="A49" s="24"/>
      <c r="B49" s="27"/>
      <c r="H49" s="83"/>
      <c r="I49" s="43"/>
    </row>
    <row r="50" spans="1:9" s="17" customFormat="1" ht="31.5" customHeight="1">
      <c r="A50" s="24"/>
      <c r="B50" s="27"/>
      <c r="H50" s="83"/>
      <c r="I50" s="43"/>
    </row>
    <row r="51" spans="1:9" s="17" customFormat="1" ht="31.5" customHeight="1">
      <c r="A51" s="24"/>
      <c r="B51" s="27"/>
      <c r="H51" s="83"/>
      <c r="I51" s="43"/>
    </row>
    <row r="52" spans="1:9" s="17" customFormat="1" ht="31.5" customHeight="1">
      <c r="A52" s="24"/>
      <c r="B52" s="27"/>
      <c r="H52" s="83"/>
      <c r="I52" s="43"/>
    </row>
    <row r="53" spans="1:9" s="17" customFormat="1" ht="31.5" customHeight="1">
      <c r="A53" s="24"/>
      <c r="B53" s="27"/>
      <c r="H53" s="83"/>
      <c r="I53" s="43"/>
    </row>
    <row r="54" spans="1:9" s="17" customFormat="1" ht="31.5" customHeight="1">
      <c r="A54" s="24"/>
      <c r="B54" s="27"/>
      <c r="H54" s="83"/>
      <c r="I54" s="43"/>
    </row>
    <row r="55" spans="1:9" s="17" customFormat="1" ht="31.5" customHeight="1">
      <c r="A55" s="24"/>
      <c r="B55" s="27"/>
      <c r="H55" s="83"/>
      <c r="I55" s="43"/>
    </row>
    <row r="56" spans="1:9" s="17" customFormat="1" ht="31.5" customHeight="1">
      <c r="A56" s="24"/>
      <c r="B56" s="27"/>
      <c r="H56" s="83"/>
      <c r="I56" s="43"/>
    </row>
    <row r="57" spans="1:9" s="17" customFormat="1" ht="31.5" customHeight="1">
      <c r="A57" s="24"/>
      <c r="B57" s="27"/>
      <c r="H57" s="83"/>
      <c r="I57" s="43"/>
    </row>
    <row r="58" spans="1:9" s="17" customFormat="1" ht="31.5" customHeight="1">
      <c r="A58" s="24"/>
      <c r="B58" s="27"/>
      <c r="H58" s="83"/>
      <c r="I58" s="43"/>
    </row>
    <row r="59" spans="1:9" s="17" customFormat="1" ht="31.5" customHeight="1">
      <c r="A59" s="24"/>
      <c r="B59" s="27"/>
      <c r="H59" s="83"/>
      <c r="I59" s="43"/>
    </row>
    <row r="60" spans="1:9" s="17" customFormat="1" ht="31.5" customHeight="1">
      <c r="A60" s="24"/>
      <c r="B60" s="27"/>
      <c r="H60" s="83"/>
      <c r="I60" s="43"/>
    </row>
    <row r="61" spans="1:9" s="17" customFormat="1" ht="31.5" customHeight="1">
      <c r="A61" s="24"/>
      <c r="B61" s="27"/>
      <c r="H61" s="83"/>
      <c r="I61" s="43"/>
    </row>
    <row r="62" spans="1:9" s="17" customFormat="1" ht="31.5" customHeight="1">
      <c r="A62" s="24"/>
      <c r="B62" s="27"/>
      <c r="H62" s="83"/>
      <c r="I62" s="43"/>
    </row>
    <row r="63" spans="1:9" s="17" customFormat="1" ht="31.5" customHeight="1">
      <c r="A63" s="24"/>
      <c r="B63" s="27"/>
      <c r="H63" s="83"/>
      <c r="I63" s="43"/>
    </row>
    <row r="64" spans="1:9" s="17" customFormat="1" ht="31.5" customHeight="1">
      <c r="A64" s="24"/>
      <c r="B64" s="27"/>
      <c r="H64" s="83"/>
      <c r="I64" s="43"/>
    </row>
    <row r="65" spans="1:9" s="17" customFormat="1" ht="31.5" customHeight="1">
      <c r="A65" s="24"/>
      <c r="B65" s="27"/>
      <c r="H65" s="83"/>
      <c r="I65" s="43"/>
    </row>
    <row r="66" spans="1:9" s="17" customFormat="1" ht="31.5" customHeight="1">
      <c r="A66" s="24"/>
      <c r="B66" s="27"/>
      <c r="H66" s="83"/>
      <c r="I66" s="43"/>
    </row>
    <row r="67" spans="1:9" s="17" customFormat="1" ht="31.5" customHeight="1">
      <c r="A67" s="24"/>
      <c r="B67" s="27"/>
      <c r="H67" s="83"/>
      <c r="I67" s="43"/>
    </row>
    <row r="68" spans="1:9" s="17" customFormat="1" ht="31.5" customHeight="1">
      <c r="A68" s="24"/>
      <c r="B68" s="27"/>
      <c r="H68" s="83"/>
      <c r="I68" s="43"/>
    </row>
    <row r="69" spans="1:9" s="17" customFormat="1" ht="31.5" customHeight="1">
      <c r="A69" s="24"/>
      <c r="B69" s="27"/>
      <c r="H69" s="83"/>
      <c r="I69" s="43"/>
    </row>
    <row r="70" spans="1:9" s="17" customFormat="1" ht="31.5" customHeight="1">
      <c r="A70" s="24"/>
      <c r="B70" s="27"/>
      <c r="H70" s="83"/>
      <c r="I70" s="43"/>
    </row>
    <row r="71" spans="1:9" s="17" customFormat="1" ht="31.5" customHeight="1">
      <c r="A71" s="24"/>
      <c r="B71" s="27"/>
      <c r="H71" s="83"/>
      <c r="I71" s="43"/>
    </row>
    <row r="72" spans="1:9" s="17" customFormat="1" ht="31.5" customHeight="1">
      <c r="A72" s="24"/>
      <c r="B72" s="27"/>
      <c r="H72" s="83"/>
      <c r="I72" s="43"/>
    </row>
    <row r="73" spans="1:9" s="17" customFormat="1" ht="31.5" customHeight="1">
      <c r="A73" s="24"/>
      <c r="B73" s="27"/>
      <c r="H73" s="83"/>
      <c r="I73" s="43"/>
    </row>
    <row r="74" spans="1:9" s="17" customFormat="1" ht="31.5" customHeight="1">
      <c r="A74" s="24"/>
      <c r="B74" s="27"/>
      <c r="H74" s="83"/>
      <c r="I74" s="43"/>
    </row>
    <row r="75" spans="1:9" s="17" customFormat="1" ht="31.5" customHeight="1">
      <c r="A75" s="24"/>
      <c r="B75" s="27"/>
      <c r="H75" s="83"/>
      <c r="I75" s="43"/>
    </row>
    <row r="76" spans="1:9" s="17" customFormat="1" ht="31.5" customHeight="1">
      <c r="A76" s="24"/>
      <c r="B76" s="27"/>
      <c r="H76" s="83"/>
      <c r="I76" s="43"/>
    </row>
    <row r="77" spans="1:9" s="17" customFormat="1" ht="31.5" customHeight="1">
      <c r="A77" s="24"/>
      <c r="B77" s="27"/>
      <c r="H77" s="83"/>
      <c r="I77" s="43"/>
    </row>
    <row r="78" spans="1:9" s="17" customFormat="1" ht="31.5" customHeight="1">
      <c r="A78" s="24"/>
      <c r="B78" s="27"/>
      <c r="H78" s="83"/>
      <c r="I78" s="43"/>
    </row>
    <row r="79" spans="1:9" s="17" customFormat="1" ht="31.5" customHeight="1">
      <c r="A79" s="24"/>
      <c r="B79" s="27"/>
      <c r="H79" s="83"/>
      <c r="I79" s="43"/>
    </row>
    <row r="80" spans="1:9" s="17" customFormat="1" ht="31.5" customHeight="1">
      <c r="A80" s="24"/>
      <c r="B80" s="27"/>
      <c r="H80" s="83"/>
      <c r="I80" s="43"/>
    </row>
    <row r="81" spans="1:9" s="17" customFormat="1" ht="31.5" customHeight="1">
      <c r="A81" s="24"/>
      <c r="B81" s="27"/>
      <c r="H81" s="83"/>
      <c r="I81" s="43"/>
    </row>
    <row r="82" spans="1:9" s="17" customFormat="1" ht="31.5" customHeight="1">
      <c r="A82" s="24"/>
      <c r="B82" s="27"/>
      <c r="H82" s="83"/>
      <c r="I82" s="43"/>
    </row>
    <row r="83" spans="1:9" s="17" customFormat="1" ht="31.5" customHeight="1">
      <c r="A83" s="24"/>
      <c r="B83" s="27"/>
      <c r="H83" s="83"/>
      <c r="I83" s="43"/>
    </row>
    <row r="84" spans="1:9" s="17" customFormat="1" ht="31.5" customHeight="1">
      <c r="A84" s="24"/>
      <c r="B84" s="27"/>
      <c r="H84" s="83"/>
      <c r="I84" s="43"/>
    </row>
    <row r="85" spans="1:9" s="17" customFormat="1" ht="31.5" customHeight="1">
      <c r="A85" s="24"/>
      <c r="B85" s="27"/>
      <c r="H85" s="83"/>
      <c r="I85" s="43"/>
    </row>
    <row r="86" spans="1:9" s="17" customFormat="1" ht="31.5" customHeight="1">
      <c r="A86" s="24"/>
      <c r="B86" s="27"/>
      <c r="H86" s="83"/>
      <c r="I86" s="43"/>
    </row>
    <row r="87" spans="1:9" s="17" customFormat="1" ht="31.5" customHeight="1">
      <c r="A87" s="24"/>
      <c r="B87" s="27"/>
      <c r="H87" s="83"/>
      <c r="I87" s="43"/>
    </row>
    <row r="88" spans="1:9" s="17" customFormat="1" ht="31.5" customHeight="1">
      <c r="A88" s="24"/>
      <c r="B88" s="27"/>
      <c r="H88" s="83"/>
      <c r="I88" s="43"/>
    </row>
    <row r="89" spans="1:9" s="17" customFormat="1" ht="31.5" customHeight="1">
      <c r="A89" s="24"/>
      <c r="B89" s="27"/>
      <c r="H89" s="83"/>
      <c r="I89" s="43"/>
    </row>
    <row r="90" spans="1:9" s="17" customFormat="1" ht="31.5" customHeight="1">
      <c r="A90" s="24"/>
      <c r="B90" s="27"/>
      <c r="H90" s="83"/>
      <c r="I90" s="43"/>
    </row>
    <row r="91" spans="1:9" s="17" customFormat="1" ht="31.5" customHeight="1">
      <c r="A91" s="24"/>
      <c r="B91" s="27"/>
      <c r="H91" s="83"/>
      <c r="I91" s="43"/>
    </row>
    <row r="92" spans="1:9" s="17" customFormat="1" ht="31.5" customHeight="1">
      <c r="A92" s="24"/>
      <c r="B92" s="27"/>
      <c r="H92" s="83"/>
      <c r="I92" s="43"/>
    </row>
    <row r="93" spans="1:9" s="17" customFormat="1" ht="31.5" customHeight="1">
      <c r="A93" s="24"/>
      <c r="B93" s="27"/>
      <c r="H93" s="83"/>
      <c r="I93" s="43"/>
    </row>
    <row r="94" spans="1:9" s="17" customFormat="1" ht="31.5" customHeight="1">
      <c r="A94" s="24"/>
      <c r="B94" s="27"/>
      <c r="H94" s="83"/>
      <c r="I94" s="43"/>
    </row>
    <row r="95" spans="1:9" s="17" customFormat="1" ht="31.5" customHeight="1">
      <c r="A95" s="24"/>
      <c r="B95" s="27"/>
      <c r="H95" s="83"/>
      <c r="I95" s="43"/>
    </row>
    <row r="96" spans="1:9" s="17" customFormat="1" ht="31.5" customHeight="1">
      <c r="A96" s="24"/>
      <c r="B96" s="27"/>
      <c r="H96" s="83"/>
      <c r="I96" s="43"/>
    </row>
    <row r="97" spans="1:9" s="17" customFormat="1" ht="31.5" customHeight="1">
      <c r="A97" s="24"/>
      <c r="B97" s="27"/>
      <c r="H97" s="83"/>
      <c r="I97" s="43"/>
    </row>
    <row r="98" spans="1:9" s="17" customFormat="1" ht="31.5" customHeight="1">
      <c r="A98" s="24"/>
      <c r="B98" s="27"/>
      <c r="H98" s="83"/>
      <c r="I98" s="43"/>
    </row>
    <row r="99" spans="1:9" s="17" customFormat="1" ht="31.5" customHeight="1">
      <c r="A99" s="24"/>
      <c r="B99" s="27"/>
      <c r="H99" s="83"/>
      <c r="I99" s="43"/>
    </row>
    <row r="100" spans="1:9" s="17" customFormat="1" ht="31.5" customHeight="1">
      <c r="A100" s="24"/>
      <c r="B100" s="27"/>
      <c r="H100" s="83"/>
      <c r="I100" s="43"/>
    </row>
    <row r="101" spans="1:9" ht="40.5" customHeight="1"/>
    <row r="102" spans="1:9" ht="40.5" customHeight="1"/>
    <row r="103" spans="1:9" ht="40.5" customHeight="1"/>
    <row r="104" spans="1:9" ht="40.5" customHeight="1"/>
    <row r="105" spans="1:9" ht="40.5" customHeight="1"/>
    <row r="106" spans="1:9" ht="40.5" customHeight="1"/>
    <row r="107" spans="1:9" ht="40.5" customHeight="1"/>
    <row r="108" spans="1:9" ht="40.5" customHeight="1"/>
    <row r="109" spans="1:9" ht="40.5" customHeight="1"/>
    <row r="110" spans="1:9" ht="40.5" customHeight="1"/>
    <row r="111" spans="1:9" ht="40.5" customHeight="1"/>
    <row r="112" spans="1:9" ht="40.5" customHeight="1"/>
    <row r="113" ht="40.5" customHeight="1"/>
    <row r="114" ht="40.5" customHeight="1"/>
    <row r="115" ht="40.5" customHeight="1"/>
    <row r="116" ht="40.5" customHeight="1"/>
    <row r="117" ht="40.5" customHeight="1"/>
    <row r="118" ht="40.5" customHeight="1"/>
    <row r="119" ht="40.5" customHeight="1"/>
    <row r="120" ht="40.5" customHeight="1"/>
    <row r="121" ht="40.5" customHeight="1"/>
    <row r="122" ht="40.5" customHeight="1"/>
    <row r="123" ht="40.5" customHeight="1"/>
    <row r="124" ht="40.5" customHeight="1"/>
    <row r="125" ht="40.5" customHeight="1"/>
    <row r="126" ht="40.5" customHeight="1"/>
    <row r="127" ht="40.5" customHeight="1"/>
    <row r="128" ht="40.5" customHeight="1"/>
    <row r="129" ht="40.5" customHeight="1"/>
    <row r="130" ht="40.5" customHeight="1"/>
    <row r="131" ht="40.5" customHeight="1"/>
    <row r="132" ht="40.5" customHeight="1"/>
    <row r="133" ht="40.5" customHeight="1"/>
    <row r="134" ht="40.5" customHeight="1"/>
    <row r="135" ht="40.5" customHeight="1"/>
    <row r="136" ht="40.5" customHeight="1"/>
    <row r="137" ht="40.5" customHeight="1"/>
    <row r="138" ht="40.5" customHeight="1"/>
    <row r="139" ht="40.5" customHeight="1"/>
    <row r="140" ht="40.5" customHeight="1"/>
    <row r="141" ht="40.5" customHeight="1"/>
    <row r="142" ht="40.5" customHeight="1"/>
    <row r="143" ht="40.5" customHeight="1"/>
    <row r="144" ht="40.5" customHeight="1"/>
    <row r="145" ht="40.5" customHeight="1"/>
    <row r="146" ht="40.5" customHeight="1"/>
    <row r="147" ht="40.5" customHeight="1"/>
    <row r="148" ht="40.5" customHeight="1"/>
    <row r="149" ht="40.5" customHeight="1"/>
    <row r="150" ht="40.5" customHeight="1"/>
    <row r="151" ht="40.5" customHeight="1"/>
    <row r="152" ht="40.5" customHeight="1"/>
    <row r="153" ht="40.5" customHeight="1"/>
    <row r="154" ht="40.5" customHeight="1"/>
    <row r="155" ht="40.5" customHeight="1"/>
    <row r="156" ht="40.5" customHeight="1"/>
    <row r="157" ht="40.5" customHeight="1"/>
    <row r="158" ht="40.5" customHeight="1"/>
    <row r="159" ht="40.5" customHeight="1"/>
    <row r="160" ht="40.5" customHeight="1"/>
    <row r="161" ht="40.5" customHeight="1"/>
    <row r="162" ht="40.5" customHeight="1"/>
    <row r="163" ht="40.5" customHeight="1"/>
    <row r="164" ht="40.5" customHeight="1"/>
    <row r="165" ht="40.5" customHeight="1"/>
    <row r="166" ht="40.5" customHeight="1"/>
    <row r="167" ht="40.5" customHeight="1"/>
    <row r="168" ht="40.5" customHeight="1"/>
    <row r="169" ht="40.5" customHeight="1"/>
    <row r="170" ht="40.5" customHeight="1"/>
    <row r="171" ht="40.5" customHeight="1"/>
    <row r="172" ht="40.5" customHeight="1"/>
    <row r="173" ht="40.5" customHeight="1"/>
    <row r="174" ht="40.5" customHeight="1"/>
    <row r="175" ht="40.5" customHeight="1"/>
    <row r="176" ht="40.5" customHeight="1"/>
    <row r="177" ht="40.5" customHeight="1"/>
    <row r="178" ht="40.5" customHeight="1"/>
    <row r="179" ht="40.5" customHeight="1"/>
    <row r="180" ht="40.5" customHeight="1"/>
    <row r="181" ht="40.5" customHeight="1"/>
    <row r="182" ht="40.5" customHeight="1"/>
    <row r="183" ht="40.5" customHeight="1"/>
    <row r="184" ht="40.5" customHeight="1"/>
    <row r="185" ht="40.5" customHeight="1"/>
    <row r="186" ht="40.5" customHeight="1"/>
    <row r="187" ht="40.5" customHeight="1"/>
    <row r="188" ht="40.5" customHeight="1"/>
    <row r="189" ht="40.5" customHeight="1"/>
    <row r="190" ht="40.5" customHeight="1"/>
    <row r="191" ht="40.5" customHeight="1"/>
    <row r="192" ht="40.5" customHeight="1"/>
    <row r="193" ht="40.5" customHeight="1"/>
    <row r="194" ht="40.5" customHeight="1"/>
    <row r="195" ht="40.5" customHeight="1"/>
    <row r="196" ht="40.5" customHeight="1"/>
    <row r="197" ht="40.5" customHeight="1"/>
    <row r="198" ht="40.5" customHeight="1"/>
    <row r="199" ht="40.5" customHeight="1"/>
    <row r="200" ht="40.5" customHeight="1"/>
    <row r="201" ht="40.5" customHeight="1"/>
    <row r="202" ht="40.5" customHeight="1"/>
    <row r="203" ht="40.5" customHeight="1"/>
    <row r="204" ht="40.5" customHeight="1"/>
    <row r="205" ht="40.5" customHeight="1"/>
    <row r="206" ht="40.5" customHeight="1"/>
    <row r="207" ht="40.5" customHeight="1"/>
    <row r="208" ht="40.5" customHeight="1"/>
    <row r="209" ht="40.5" customHeight="1"/>
    <row r="210" ht="40.5" customHeight="1"/>
    <row r="211" ht="40.5" customHeight="1"/>
    <row r="212" ht="40.5" customHeight="1"/>
    <row r="213" ht="40.5" customHeight="1"/>
    <row r="214" ht="40.5" customHeight="1"/>
    <row r="215" ht="40.5" customHeight="1"/>
    <row r="216" ht="40.5" customHeight="1"/>
    <row r="217" ht="40.5" customHeight="1"/>
  </sheetData>
  <autoFilter ref="A1:H217" xr:uid="{00000000-0009-0000-0000-000004000000}"/>
  <conditionalFormatting sqref="B1:B1048576">
    <cfRule type="containsText" dxfId="1" priority="1" operator="containsText" text="OUT">
      <formula>NOT(ISERROR(SEARCH("OUT",B1)))</formula>
    </cfRule>
    <cfRule type="containsText" dxfId="0" priority="4" operator="containsText" text="IN">
      <formula>NOT(ISERROR(SEARCH("IN",B1)))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Pallet</vt:lpstr>
      <vt:lpstr>Card</vt:lpstr>
      <vt:lpstr>Shrink</vt:lpstr>
      <vt:lpstr>String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 Ghareb</cp:lastModifiedBy>
  <cp:lastPrinted>2026-05-10T09:00:19Z</cp:lastPrinted>
  <dcterms:created xsi:type="dcterms:W3CDTF">2026-04-22T15:27:50Z</dcterms:created>
  <dcterms:modified xsi:type="dcterms:W3CDTF">2026-05-16T06:07:03Z</dcterms:modified>
</cp:coreProperties>
</file>