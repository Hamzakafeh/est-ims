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mza\Desktop\EST-IMS Online\est-ims\zones\zone3\2026\06-June\"/>
    </mc:Choice>
  </mc:AlternateContent>
  <xr:revisionPtr revIDLastSave="0" documentId="13_ncr:1_{4AD818CE-F86F-4607-AF30-76F18FA04895}" xr6:coauthVersionLast="47" xr6:coauthVersionMax="47" xr10:uidLastSave="{00000000-0000-0000-0000-000000000000}"/>
  <bookViews>
    <workbookView xWindow="-108" yWindow="-108" windowWidth="23256" windowHeight="12576" tabRatio="636" xr2:uid="{00000000-000D-0000-FFFF-FFFF00000000}"/>
  </bookViews>
  <sheets>
    <sheet name="Chicken" sheetId="13" r:id="rId1"/>
    <sheet name="COW" sheetId="4" r:id="rId2"/>
    <sheet name="WithOut" sheetId="5" r:id="rId3"/>
    <sheet name="Koptimix" sheetId="6" r:id="rId4"/>
    <sheet name="Plastic" sheetId="11" r:id="rId5"/>
    <sheet name="Koptimix Lable" sheetId="9" r:id="rId6"/>
    <sheet name="EST Lable" sheetId="10" r:id="rId7"/>
    <sheet name="Roll" sheetId="12" r:id="rId8"/>
    <sheet name="Stocktaking" sheetId="14" r:id="rId9"/>
    <sheet name="Log" sheetId="8" r:id="rId10"/>
  </sheets>
  <definedNames>
    <definedName name="_xlnm._FilterDatabase" localSheetId="5" hidden="1">'Koptimix Lable'!$C$1:$C$37</definedName>
    <definedName name="_xlnm._FilterDatabase" localSheetId="9" hidden="1">Log!$A$1:$H$217</definedName>
    <definedName name="_xlnm.Print_Area" localSheetId="8">Stocktaking!$G$1:$U$59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6" i="14" l="1" a="1"/>
  <c r="M16" i="14" s="1"/>
  <c r="M13" i="14" a="1"/>
  <c r="M13" i="14" s="1"/>
  <c r="M4" i="14" a="1"/>
  <c r="M4" i="14" s="1"/>
  <c r="M7" i="14" a="1"/>
  <c r="M7" i="14" s="1"/>
  <c r="M10" i="14" a="1"/>
  <c r="M10" i="14" s="1"/>
  <c r="M19" i="14" a="1"/>
  <c r="M19" i="14" s="1"/>
  <c r="M22" i="14" a="1"/>
  <c r="M22" i="14" s="1"/>
  <c r="M25" i="14" a="1"/>
  <c r="M25" i="14" s="1"/>
  <c r="Q4" i="14" a="1"/>
  <c r="Q4" i="14" s="1"/>
  <c r="O28" i="14" a="1"/>
  <c r="O28" i="14" s="1"/>
  <c r="O25" i="14" a="1"/>
  <c r="O25" i="14" s="1"/>
  <c r="O22" i="14" a="1"/>
  <c r="O22" i="14" s="1"/>
  <c r="O19" i="14" a="1"/>
  <c r="O19" i="14" s="1"/>
  <c r="O16" i="14" a="1"/>
  <c r="O16" i="14" s="1"/>
  <c r="O10" i="14" a="1"/>
  <c r="O10" i="14" s="1"/>
  <c r="O13" i="14" a="1"/>
  <c r="O13" i="14" s="1"/>
  <c r="O7" i="14"/>
  <c r="O4" i="14"/>
  <c r="M31" i="14" l="1"/>
  <c r="M28" i="14"/>
  <c r="Q19" i="14" l="1"/>
  <c r="Q16" i="14"/>
  <c r="Q13" i="14"/>
  <c r="Q10" i="14"/>
  <c r="Q7" i="14"/>
  <c r="K16" i="14" l="1" a="1"/>
  <c r="K16" i="14" s="1"/>
  <c r="K19" i="14" a="1"/>
  <c r="K19" i="14" s="1"/>
  <c r="K22" i="14" a="1"/>
  <c r="K22" i="14" s="1"/>
  <c r="K13" i="14" a="1"/>
  <c r="K13" i="14" s="1"/>
  <c r="K10" i="14" a="1"/>
  <c r="K10" i="14" s="1"/>
  <c r="K4" i="14" a="1"/>
  <c r="K4" i="14" s="1"/>
  <c r="K7" i="14" a="1"/>
  <c r="K7" i="14" s="1"/>
  <c r="I7" i="14" a="1"/>
  <c r="I7" i="14" s="1"/>
  <c r="I13" i="14" a="1"/>
  <c r="I13" i="14" s="1"/>
  <c r="I16" i="14" a="1"/>
  <c r="I16" i="14" s="1"/>
  <c r="I22" i="14" a="1"/>
  <c r="I22" i="14" s="1"/>
  <c r="I19" i="14" a="1"/>
  <c r="I19" i="14" s="1"/>
  <c r="I10" i="14" a="1"/>
  <c r="I10" i="14" s="1"/>
  <c r="I4" i="14" a="1"/>
  <c r="I4" i="14" s="1"/>
  <c r="G13" i="14" a="1"/>
  <c r="G13" i="14" s="1"/>
  <c r="G10" i="14" a="1"/>
  <c r="G10" i="14" s="1"/>
  <c r="G7" i="14" a="1"/>
  <c r="G7" i="14" s="1"/>
  <c r="G4" i="14" a="1"/>
  <c r="G4" i="14" s="1"/>
  <c r="G43" i="14" a="1"/>
  <c r="G43" i="14" s="1"/>
  <c r="G40" i="14" a="1"/>
  <c r="G40" i="14" s="1"/>
  <c r="G37" i="14" a="1"/>
  <c r="G37" i="14" s="1"/>
  <c r="G34" i="14" a="1"/>
  <c r="G34" i="14" s="1"/>
  <c r="G31" i="14" a="1"/>
  <c r="G31" i="14" s="1"/>
  <c r="G28" i="14" a="1"/>
  <c r="G28" i="14" s="1"/>
  <c r="G25" i="14" a="1"/>
  <c r="G25" i="14" s="1"/>
  <c r="G22" i="14" a="1"/>
  <c r="G22" i="14" s="1"/>
  <c r="G19" i="14" a="1"/>
  <c r="G19" i="14" s="1"/>
  <c r="G16" i="14" a="1"/>
  <c r="G16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Mlo5</author>
  </authors>
  <commentList>
    <comment ref="D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Mlo5: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>Quantity after adjustment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<sst xmlns="http://schemas.openxmlformats.org/spreadsheetml/2006/main" count="4444" uniqueCount="98">
  <si>
    <t>OUT</t>
  </si>
  <si>
    <t>IN</t>
  </si>
  <si>
    <t>C&amp;S</t>
  </si>
  <si>
    <t>Chicken</t>
  </si>
  <si>
    <t>Koptimix</t>
  </si>
  <si>
    <t>WithOut</t>
  </si>
  <si>
    <t>WITHOUT</t>
  </si>
  <si>
    <t>KOPTIMIX</t>
  </si>
  <si>
    <t>CHICKEN</t>
  </si>
  <si>
    <t>COW AND SHEEP</t>
  </si>
  <si>
    <t>Category</t>
  </si>
  <si>
    <t>Type</t>
  </si>
  <si>
    <t>Color</t>
  </si>
  <si>
    <t>Size</t>
  </si>
  <si>
    <t>Basic Balance</t>
  </si>
  <si>
    <t>Current Balance</t>
  </si>
  <si>
    <t>Calculation</t>
  </si>
  <si>
    <t>Date</t>
  </si>
  <si>
    <t>Sacks</t>
  </si>
  <si>
    <t>QAA</t>
  </si>
  <si>
    <t>Quantity</t>
  </si>
  <si>
    <t>Process</t>
  </si>
  <si>
    <t>Date-Time</t>
  </si>
  <si>
    <t>Lable</t>
  </si>
  <si>
    <t>Blue</t>
  </si>
  <si>
    <t>160x240</t>
  </si>
  <si>
    <t>140x240</t>
  </si>
  <si>
    <t>Note</t>
  </si>
  <si>
    <t>Purple</t>
  </si>
  <si>
    <t>(75*9)</t>
  </si>
  <si>
    <t>Orange</t>
  </si>
  <si>
    <t>Gray</t>
  </si>
  <si>
    <t>(75*13)</t>
  </si>
  <si>
    <t>Orange (13)</t>
  </si>
  <si>
    <t>Orange (70*45)</t>
  </si>
  <si>
    <t>(70*45)</t>
  </si>
  <si>
    <t>Red</t>
  </si>
  <si>
    <t>Green</t>
  </si>
  <si>
    <t>Dark Green</t>
  </si>
  <si>
    <t>Light Blue</t>
  </si>
  <si>
    <t>Dark Blue</t>
  </si>
  <si>
    <t>Yellow</t>
  </si>
  <si>
    <t>Brown</t>
  </si>
  <si>
    <t>Brown(13)</t>
  </si>
  <si>
    <t>Dark Green(75*50*13)</t>
  </si>
  <si>
    <t>Red Black(1i)</t>
  </si>
  <si>
    <t>Blue Green(1J)</t>
  </si>
  <si>
    <t>Red Dark Blue(1E)</t>
  </si>
  <si>
    <t>Blue Gray(1A)</t>
  </si>
  <si>
    <t>Blue Black(1H)</t>
  </si>
  <si>
    <t>Purple Dark Blue(1B)</t>
  </si>
  <si>
    <t>Blue Purple(1C)</t>
  </si>
  <si>
    <t xml:space="preserve">    </t>
  </si>
  <si>
    <t>Green Black(GB)</t>
  </si>
  <si>
    <t>Purple (Fish)</t>
  </si>
  <si>
    <t>Purple (10)</t>
  </si>
  <si>
    <t>(70*45*10)</t>
  </si>
  <si>
    <t>Orange (10)</t>
  </si>
  <si>
    <t>White</t>
  </si>
  <si>
    <t>Plastic</t>
  </si>
  <si>
    <t>Purple Popp</t>
  </si>
  <si>
    <t>From-To</t>
  </si>
  <si>
    <t>White 50G</t>
  </si>
  <si>
    <t>Blue KOP</t>
  </si>
  <si>
    <t>Red KOP</t>
  </si>
  <si>
    <t>EST</t>
  </si>
  <si>
    <t xml:space="preserve">EST </t>
  </si>
  <si>
    <t>Black</t>
  </si>
  <si>
    <t>Blue+</t>
  </si>
  <si>
    <t>165x300</t>
  </si>
  <si>
    <t xml:space="preserve">Roll </t>
  </si>
  <si>
    <t>Ribbon</t>
  </si>
  <si>
    <t>Roll</t>
  </si>
  <si>
    <t>KOP</t>
  </si>
  <si>
    <t>QC</t>
  </si>
  <si>
    <t>8.6 (Dia.)</t>
  </si>
  <si>
    <t>16x24</t>
  </si>
  <si>
    <t>Plain White</t>
  </si>
  <si>
    <t>7*5</t>
  </si>
  <si>
    <t>Green+</t>
  </si>
  <si>
    <t>CW641</t>
  </si>
  <si>
    <t>Orange (13</t>
  </si>
  <si>
    <t>Brown (13)</t>
  </si>
  <si>
    <t>White 25K</t>
  </si>
  <si>
    <t>White 50K</t>
  </si>
  <si>
    <t>PLASTIC</t>
  </si>
  <si>
    <t>MAY</t>
  </si>
  <si>
    <t>Red Popp</t>
  </si>
  <si>
    <t>PD</t>
  </si>
  <si>
    <t>Purple Popp 25KG</t>
  </si>
  <si>
    <t>Blue Popp 25KG</t>
  </si>
  <si>
    <t>Green Popp 25KG</t>
  </si>
  <si>
    <t>Red 50KG</t>
  </si>
  <si>
    <t>Green 50KG</t>
  </si>
  <si>
    <t>Purple 50KG</t>
  </si>
  <si>
    <t>White 25KG</t>
  </si>
  <si>
    <t>White 50KG</t>
  </si>
  <si>
    <t>(65*100)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</si>
</sst>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3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sz val="28"/>
      <name val="Calibri"/>
      <family val="2"/>
      <scheme val="minor"/>
    </font>
    <font>
      <sz val="24"/>
      <name val="Calibri"/>
      <family val="2"/>
      <scheme val="minor"/>
    </font>
    <font>
      <b/>
      <i/>
      <sz val="22"/>
      <name val="Calibri"/>
      <family val="2"/>
      <scheme val="minor"/>
    </font>
    <font>
      <b/>
      <i/>
      <sz val="20"/>
      <name val="Calibri"/>
      <family val="2"/>
      <scheme val="minor"/>
    </font>
    <font>
      <sz val="22"/>
      <name val="29LT Bukra Bold Italic"/>
      <family val="2"/>
    </font>
    <font>
      <sz val="11"/>
      <name val="Calibri"/>
      <family val="2"/>
      <scheme val="minor"/>
    </font>
    <font>
      <b/>
      <sz val="22"/>
      <name val="29LT Bukra Bold Italic"/>
      <family val="2"/>
    </font>
    <font>
      <b/>
      <sz val="22"/>
      <name val="Calibri"/>
      <family val="2"/>
      <scheme val="minor"/>
    </font>
    <font>
      <b/>
      <sz val="16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20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sz val="8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theme="5"/>
      </patternFill>
    </fill>
    <fill>
      <patternFill patternType="solid">
        <fgColor rgb="FF00B050"/>
        <bgColor indexed="64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7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7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174CF"/>
        <bgColor indexed="64"/>
      </patternFill>
    </fill>
    <fill>
      <patternFill patternType="solid">
        <fgColor rgb="FF632523"/>
        <bgColor indexed="64"/>
      </patternFill>
    </fill>
    <fill>
      <patternFill patternType="solid">
        <fgColor rgb="FF79F4F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2200F0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medium">
        <color indexed="64"/>
      </top>
      <bottom/>
      <diagonal/>
    </border>
    <border>
      <left style="thin">
        <color rgb="FFB2B2B2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9">
    <xf numFmtId="0" fontId="0" fillId="0" borderId="0"/>
    <xf numFmtId="0" fontId="1" fillId="2" borderId="1" applyNumberFormat="0" applyFont="0" applyAlignment="0" applyProtection="0"/>
    <xf numFmtId="0" fontId="2" fillId="4" borderId="0" applyNumberFormat="0" applyBorder="0" applyAlignment="0" applyProtection="0"/>
    <xf numFmtId="0" fontId="3" fillId="6" borderId="5" applyNumberFormat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43" fontId="1" fillId="0" borderId="0" applyFont="0" applyFill="0" applyBorder="0" applyAlignment="0" applyProtection="0"/>
    <xf numFmtId="0" fontId="14" fillId="16" borderId="0" applyNumberFormat="0" applyBorder="0" applyAlignment="0" applyProtection="0"/>
  </cellStyleXfs>
  <cellXfs count="142">
    <xf numFmtId="0" fontId="0" fillId="0" borderId="0" xfId="0"/>
    <xf numFmtId="0" fontId="7" fillId="0" borderId="0" xfId="0" applyFont="1"/>
    <xf numFmtId="0" fontId="7" fillId="0" borderId="2" xfId="0" applyFont="1" applyBorder="1" applyAlignment="1">
      <alignment horizontal="center" vertical="center"/>
    </xf>
    <xf numFmtId="0" fontId="0" fillId="0" borderId="2" xfId="0" applyBorder="1"/>
    <xf numFmtId="0" fontId="8" fillId="2" borderId="10" xfId="1" applyFont="1" applyBorder="1" applyAlignment="1">
      <alignment horizontal="center" vertical="center"/>
    </xf>
    <xf numFmtId="0" fontId="8" fillId="2" borderId="11" xfId="1" applyFont="1" applyBorder="1" applyAlignment="1">
      <alignment horizontal="center" vertical="center"/>
    </xf>
    <xf numFmtId="0" fontId="8" fillId="2" borderId="12" xfId="1" applyFont="1" applyBorder="1" applyAlignment="1">
      <alignment horizontal="center" vertical="center"/>
    </xf>
    <xf numFmtId="0" fontId="0" fillId="0" borderId="8" xfId="0" applyBorder="1"/>
    <xf numFmtId="0" fontId="5" fillId="13" borderId="2" xfId="0" applyFont="1" applyFill="1" applyBorder="1" applyAlignment="1">
      <alignment horizontal="center" vertical="center"/>
    </xf>
    <xf numFmtId="0" fontId="12" fillId="13" borderId="0" xfId="0" applyFont="1" applyFill="1"/>
    <xf numFmtId="164" fontId="0" fillId="0" borderId="0" xfId="7" applyNumberFormat="1" applyFont="1"/>
    <xf numFmtId="0" fontId="7" fillId="13" borderId="0" xfId="0" applyFont="1" applyFill="1"/>
    <xf numFmtId="0" fontId="0" fillId="13" borderId="0" xfId="0" applyFill="1"/>
    <xf numFmtId="164" fontId="8" fillId="2" borderId="11" xfId="7" applyNumberFormat="1" applyFont="1" applyFill="1" applyBorder="1" applyAlignment="1">
      <alignment horizontal="center" vertical="center"/>
    </xf>
    <xf numFmtId="164" fontId="0" fillId="0" borderId="0" xfId="7" applyNumberFormat="1" applyFont="1" applyBorder="1"/>
    <xf numFmtId="0" fontId="5" fillId="0" borderId="2" xfId="0" applyFont="1" applyBorder="1"/>
    <xf numFmtId="0" fontId="0" fillId="17" borderId="0" xfId="0" applyFill="1"/>
    <xf numFmtId="0" fontId="0" fillId="18" borderId="0" xfId="0" applyFill="1"/>
    <xf numFmtId="0" fontId="21" fillId="13" borderId="0" xfId="0" applyFont="1" applyFill="1"/>
    <xf numFmtId="0" fontId="18" fillId="13" borderId="0" xfId="0" applyFont="1" applyFill="1" applyAlignment="1">
      <alignment horizontal="center" vertical="center"/>
    </xf>
    <xf numFmtId="0" fontId="15" fillId="13" borderId="0" xfId="0" applyFont="1" applyFill="1"/>
    <xf numFmtId="0" fontId="16" fillId="13" borderId="0" xfId="0" applyFont="1" applyFill="1" applyAlignment="1">
      <alignment vertical="center"/>
    </xf>
    <xf numFmtId="0" fontId="17" fillId="13" borderId="0" xfId="0" applyFont="1" applyFill="1" applyAlignment="1">
      <alignment vertical="center"/>
    </xf>
    <xf numFmtId="0" fontId="18" fillId="13" borderId="0" xfId="0" applyFont="1" applyFill="1" applyAlignment="1">
      <alignment vertical="center"/>
    </xf>
    <xf numFmtId="0" fontId="19" fillId="13" borderId="0" xfId="0" applyFont="1" applyFill="1" applyAlignment="1">
      <alignment vertical="center"/>
    </xf>
    <xf numFmtId="0" fontId="22" fillId="13" borderId="0" xfId="8" applyFont="1" applyFill="1" applyBorder="1" applyAlignment="1">
      <alignment vertical="center"/>
    </xf>
    <xf numFmtId="0" fontId="20" fillId="13" borderId="0" xfId="0" applyFont="1" applyFill="1" applyAlignment="1">
      <alignment vertical="center"/>
    </xf>
    <xf numFmtId="0" fontId="23" fillId="13" borderId="0" xfId="0" applyFont="1" applyFill="1" applyAlignment="1">
      <alignment vertical="center"/>
    </xf>
    <xf numFmtId="0" fontId="0" fillId="17" borderId="2" xfId="0" applyFill="1" applyBorder="1"/>
    <xf numFmtId="0" fontId="0" fillId="13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center" vertical="center"/>
    </xf>
    <xf numFmtId="15" fontId="5" fillId="0" borderId="2" xfId="0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15" fontId="8" fillId="0" borderId="2" xfId="0" applyNumberFormat="1" applyFont="1" applyBorder="1" applyAlignment="1">
      <alignment horizontal="center" vertical="center"/>
    </xf>
    <xf numFmtId="164" fontId="5" fillId="0" borderId="2" xfId="7" applyNumberFormat="1" applyFont="1" applyBorder="1" applyAlignment="1">
      <alignment vertical="center"/>
    </xf>
    <xf numFmtId="0" fontId="5" fillId="0" borderId="13" xfId="0" applyFont="1" applyBorder="1" applyAlignment="1">
      <alignment horizontal="center" vertical="center"/>
    </xf>
    <xf numFmtId="164" fontId="5" fillId="0" borderId="13" xfId="7" applyNumberFormat="1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64" fontId="5" fillId="0" borderId="6" xfId="7" applyNumberFormat="1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5" fillId="0" borderId="0" xfId="7" applyNumberFormat="1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8" fillId="2" borderId="2" xfId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164" fontId="5" fillId="0" borderId="2" xfId="7" applyNumberFormat="1" applyFont="1" applyBorder="1" applyAlignment="1">
      <alignment horizontal="left" vertical="center"/>
    </xf>
    <xf numFmtId="164" fontId="5" fillId="0" borderId="2" xfId="7" applyNumberFormat="1" applyFont="1" applyBorder="1" applyAlignment="1">
      <alignment horizontal="right" vertical="center"/>
    </xf>
    <xf numFmtId="0" fontId="8" fillId="0" borderId="2" xfId="0" applyFont="1" applyBorder="1" applyAlignment="1">
      <alignment horizontal="center" vertical="center"/>
    </xf>
    <xf numFmtId="164" fontId="13" fillId="13" borderId="2" xfId="7" applyNumberFormat="1" applyFont="1" applyFill="1" applyBorder="1" applyAlignment="1">
      <alignment horizontal="center" vertical="center"/>
    </xf>
    <xf numFmtId="15" fontId="5" fillId="0" borderId="13" xfId="0" applyNumberFormat="1" applyFont="1" applyBorder="1" applyAlignment="1">
      <alignment horizontal="center" vertical="center"/>
    </xf>
    <xf numFmtId="15" fontId="5" fillId="0" borderId="6" xfId="0" applyNumberFormat="1" applyFont="1" applyBorder="1" applyAlignment="1">
      <alignment horizontal="center" vertical="center"/>
    </xf>
    <xf numFmtId="15" fontId="27" fillId="0" borderId="2" xfId="0" applyNumberFormat="1" applyFont="1" applyBorder="1" applyAlignment="1">
      <alignment horizontal="center" vertical="center"/>
    </xf>
    <xf numFmtId="164" fontId="13" fillId="0" borderId="2" xfId="7" applyNumberFormat="1" applyFont="1" applyFill="1" applyBorder="1" applyAlignment="1">
      <alignment horizontal="center" vertical="center"/>
    </xf>
    <xf numFmtId="164" fontId="8" fillId="0" borderId="2" xfId="7" applyNumberFormat="1" applyFont="1" applyFill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left" vertical="center"/>
    </xf>
    <xf numFmtId="0" fontId="8" fillId="2" borderId="13" xfId="1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3" fillId="0" borderId="2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8" fillId="5" borderId="6" xfId="1" applyFont="1" applyFill="1" applyBorder="1" applyAlignment="1">
      <alignment horizontal="center" vertical="center"/>
    </xf>
    <xf numFmtId="0" fontId="8" fillId="3" borderId="6" xfId="1" applyFont="1" applyFill="1" applyBorder="1" applyAlignment="1">
      <alignment horizontal="center" vertical="center"/>
    </xf>
    <xf numFmtId="164" fontId="8" fillId="0" borderId="2" xfId="7" applyNumberFormat="1" applyFont="1" applyBorder="1" applyAlignment="1">
      <alignment horizontal="center" vertical="center"/>
    </xf>
    <xf numFmtId="164" fontId="5" fillId="0" borderId="2" xfId="7" applyNumberFormat="1" applyFont="1" applyFill="1" applyBorder="1" applyAlignment="1">
      <alignment horizontal="center" vertical="center"/>
    </xf>
    <xf numFmtId="164" fontId="27" fillId="0" borderId="2" xfId="7" applyNumberFormat="1" applyFont="1" applyFill="1" applyBorder="1" applyAlignment="1">
      <alignment horizontal="center" vertical="center"/>
    </xf>
    <xf numFmtId="164" fontId="8" fillId="2" borderId="2" xfId="7" applyNumberFormat="1" applyFont="1" applyFill="1" applyBorder="1" applyAlignment="1">
      <alignment horizontal="center" vertical="center"/>
    </xf>
    <xf numFmtId="0" fontId="21" fillId="0" borderId="0" xfId="0" applyFont="1"/>
    <xf numFmtId="0" fontId="7" fillId="0" borderId="0" xfId="0" applyFont="1" applyAlignment="1">
      <alignment horizontal="center" vertical="center"/>
    </xf>
    <xf numFmtId="15" fontId="5" fillId="13" borderId="2" xfId="0" applyNumberFormat="1" applyFont="1" applyFill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22" fontId="5" fillId="0" borderId="2" xfId="0" applyNumberFormat="1" applyFont="1" applyBorder="1" applyAlignment="1">
      <alignment horizontal="center" vertical="center"/>
    </xf>
    <xf numFmtId="0" fontId="8" fillId="2" borderId="14" xfId="1" applyFont="1" applyBorder="1" applyAlignment="1">
      <alignment horizontal="center" vertical="center"/>
    </xf>
    <xf numFmtId="0" fontId="5" fillId="2" borderId="15" xfId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8" fillId="3" borderId="9" xfId="1" applyFont="1" applyFill="1" applyBorder="1" applyAlignment="1">
      <alignment horizontal="center" vertical="center"/>
    </xf>
    <xf numFmtId="0" fontId="0" fillId="13" borderId="7" xfId="0" applyFill="1" applyBorder="1" applyAlignment="1">
      <alignment horizontal="center" vertical="center"/>
    </xf>
    <xf numFmtId="0" fontId="0" fillId="13" borderId="7" xfId="0" applyFill="1" applyBorder="1"/>
    <xf numFmtId="164" fontId="5" fillId="13" borderId="2" xfId="7" applyNumberFormat="1" applyFont="1" applyFill="1" applyBorder="1" applyAlignment="1">
      <alignment horizontal="center" vertical="center"/>
    </xf>
    <xf numFmtId="164" fontId="5" fillId="13" borderId="2" xfId="7" applyNumberFormat="1" applyFont="1" applyFill="1" applyBorder="1"/>
    <xf numFmtId="164" fontId="5" fillId="0" borderId="2" xfId="7" applyNumberFormat="1" applyFont="1" applyFill="1" applyBorder="1" applyAlignment="1">
      <alignment vertical="center"/>
    </xf>
    <xf numFmtId="164" fontId="16" fillId="29" borderId="2" xfId="7" applyNumberFormat="1" applyFont="1" applyFill="1" applyBorder="1" applyAlignment="1">
      <alignment horizontal="center" vertical="center"/>
    </xf>
    <xf numFmtId="164" fontId="26" fillId="13" borderId="2" xfId="7" applyNumberFormat="1" applyFont="1" applyFill="1" applyBorder="1" applyAlignment="1">
      <alignment horizontal="center" vertical="center"/>
    </xf>
    <xf numFmtId="0" fontId="24" fillId="13" borderId="2" xfId="0" applyFont="1" applyFill="1" applyBorder="1" applyAlignment="1">
      <alignment horizontal="center" vertical="center"/>
    </xf>
    <xf numFmtId="164" fontId="24" fillId="13" borderId="2" xfId="7" applyNumberFormat="1" applyFont="1" applyFill="1" applyBorder="1" applyAlignment="1">
      <alignment horizontal="center" vertical="center"/>
    </xf>
    <xf numFmtId="0" fontId="24" fillId="13" borderId="4" xfId="0" applyFont="1" applyFill="1" applyBorder="1" applyAlignment="1">
      <alignment horizontal="center" vertical="center"/>
    </xf>
    <xf numFmtId="164" fontId="25" fillId="17" borderId="4" xfId="7" applyNumberFormat="1" applyFont="1" applyFill="1" applyBorder="1" applyAlignment="1">
      <alignment horizontal="center" vertical="center"/>
    </xf>
    <xf numFmtId="164" fontId="25" fillId="17" borderId="2" xfId="7" applyNumberFormat="1" applyFont="1" applyFill="1" applyBorder="1" applyAlignment="1">
      <alignment horizontal="center" vertical="center"/>
    </xf>
    <xf numFmtId="164" fontId="24" fillId="13" borderId="4" xfId="7" applyNumberFormat="1" applyFont="1" applyFill="1" applyBorder="1" applyAlignment="1">
      <alignment horizontal="center" vertical="center"/>
    </xf>
    <xf numFmtId="164" fontId="25" fillId="5" borderId="4" xfId="7" applyNumberFormat="1" applyFont="1" applyFill="1" applyBorder="1" applyAlignment="1">
      <alignment horizontal="center" vertical="center"/>
    </xf>
    <xf numFmtId="164" fontId="25" fillId="5" borderId="2" xfId="7" applyNumberFormat="1" applyFont="1" applyFill="1" applyBorder="1" applyAlignment="1">
      <alignment horizontal="center" vertical="center"/>
    </xf>
    <xf numFmtId="164" fontId="25" fillId="23" borderId="4" xfId="7" applyNumberFormat="1" applyFont="1" applyFill="1" applyBorder="1" applyAlignment="1">
      <alignment horizontal="center" vertical="center"/>
    </xf>
    <xf numFmtId="164" fontId="25" fillId="23" borderId="2" xfId="7" applyNumberFormat="1" applyFont="1" applyFill="1" applyBorder="1" applyAlignment="1">
      <alignment horizontal="center" vertical="center"/>
    </xf>
    <xf numFmtId="164" fontId="26" fillId="13" borderId="4" xfId="7" applyNumberFormat="1" applyFont="1" applyFill="1" applyBorder="1" applyAlignment="1">
      <alignment horizontal="center" vertical="center"/>
    </xf>
    <xf numFmtId="164" fontId="16" fillId="13" borderId="4" xfId="7" applyNumberFormat="1" applyFont="1" applyFill="1" applyBorder="1" applyAlignment="1">
      <alignment horizontal="center" vertical="center"/>
    </xf>
    <xf numFmtId="164" fontId="16" fillId="13" borderId="2" xfId="7" applyNumberFormat="1" applyFont="1" applyFill="1" applyBorder="1" applyAlignment="1">
      <alignment horizontal="center" vertical="center"/>
    </xf>
    <xf numFmtId="164" fontId="25" fillId="22" borderId="4" xfId="7" applyNumberFormat="1" applyFont="1" applyFill="1" applyBorder="1" applyAlignment="1">
      <alignment horizontal="center" vertical="center"/>
    </xf>
    <xf numFmtId="164" fontId="25" fillId="22" borderId="2" xfId="7" applyNumberFormat="1" applyFont="1" applyFill="1" applyBorder="1" applyAlignment="1">
      <alignment horizontal="center" vertical="center"/>
    </xf>
    <xf numFmtId="164" fontId="25" fillId="20" borderId="4" xfId="7" applyNumberFormat="1" applyFont="1" applyFill="1" applyBorder="1" applyAlignment="1">
      <alignment horizontal="center" vertical="center"/>
    </xf>
    <xf numFmtId="164" fontId="25" fillId="20" borderId="2" xfId="7" applyNumberFormat="1" applyFont="1" applyFill="1" applyBorder="1" applyAlignment="1">
      <alignment horizontal="center" vertical="center"/>
    </xf>
    <xf numFmtId="164" fontId="26" fillId="13" borderId="0" xfId="7" applyNumberFormat="1" applyFont="1" applyFill="1" applyBorder="1" applyAlignment="1">
      <alignment horizontal="center" vertical="center"/>
    </xf>
    <xf numFmtId="164" fontId="25" fillId="13" borderId="0" xfId="7" applyNumberFormat="1" applyFont="1" applyFill="1" applyBorder="1" applyAlignment="1">
      <alignment horizontal="center" vertical="center"/>
    </xf>
    <xf numFmtId="164" fontId="16" fillId="13" borderId="0" xfId="7" applyNumberFormat="1" applyFont="1" applyFill="1" applyBorder="1" applyAlignment="1">
      <alignment horizontal="center" vertical="center"/>
    </xf>
    <xf numFmtId="164" fontId="16" fillId="15" borderId="2" xfId="7" applyNumberFormat="1" applyFont="1" applyFill="1" applyBorder="1" applyAlignment="1">
      <alignment horizontal="center" vertical="center"/>
    </xf>
    <xf numFmtId="164" fontId="25" fillId="25" borderId="2" xfId="7" applyNumberFormat="1" applyFont="1" applyFill="1" applyBorder="1" applyAlignment="1">
      <alignment horizontal="center" vertical="center"/>
    </xf>
    <xf numFmtId="164" fontId="25" fillId="25" borderId="13" xfId="7" applyNumberFormat="1" applyFont="1" applyFill="1" applyBorder="1" applyAlignment="1">
      <alignment horizontal="center" vertical="center"/>
    </xf>
    <xf numFmtId="164" fontId="25" fillId="24" borderId="2" xfId="7" applyNumberFormat="1" applyFont="1" applyFill="1" applyBorder="1" applyAlignment="1">
      <alignment horizontal="center" vertical="center"/>
    </xf>
    <xf numFmtId="164" fontId="25" fillId="3" borderId="2" xfId="7" applyNumberFormat="1" applyFont="1" applyFill="1" applyBorder="1" applyAlignment="1">
      <alignment horizontal="center" vertical="center"/>
    </xf>
    <xf numFmtId="0" fontId="24" fillId="13" borderId="3" xfId="0" applyFont="1" applyFill="1" applyBorder="1" applyAlignment="1">
      <alignment horizontal="center" vertical="center"/>
    </xf>
    <xf numFmtId="164" fontId="25" fillId="19" borderId="2" xfId="7" applyNumberFormat="1" applyFont="1" applyFill="1" applyBorder="1" applyAlignment="1">
      <alignment horizontal="center" vertical="center"/>
    </xf>
    <xf numFmtId="164" fontId="24" fillId="13" borderId="3" xfId="7" applyNumberFormat="1" applyFont="1" applyFill="1" applyBorder="1" applyAlignment="1">
      <alignment horizontal="center" vertical="center"/>
    </xf>
    <xf numFmtId="164" fontId="25" fillId="21" borderId="2" xfId="7" applyNumberFormat="1" applyFont="1" applyFill="1" applyBorder="1" applyAlignment="1">
      <alignment horizontal="center" vertical="center"/>
    </xf>
    <xf numFmtId="164" fontId="25" fillId="12" borderId="2" xfId="7" applyNumberFormat="1" applyFont="1" applyFill="1" applyBorder="1" applyAlignment="1">
      <alignment horizontal="center" vertical="center"/>
    </xf>
    <xf numFmtId="164" fontId="25" fillId="26" borderId="2" xfId="7" applyNumberFormat="1" applyFont="1" applyFill="1" applyBorder="1" applyAlignment="1">
      <alignment horizontal="center" vertical="center"/>
    </xf>
    <xf numFmtId="164" fontId="25" fillId="27" borderId="2" xfId="7" applyNumberFormat="1" applyFont="1" applyFill="1" applyBorder="1" applyAlignment="1">
      <alignment horizontal="center" vertical="center"/>
    </xf>
    <xf numFmtId="164" fontId="26" fillId="13" borderId="3" xfId="7" applyNumberFormat="1" applyFont="1" applyFill="1" applyBorder="1" applyAlignment="1">
      <alignment horizontal="center" vertical="center"/>
    </xf>
    <xf numFmtId="164" fontId="25" fillId="5" borderId="3" xfId="7" applyNumberFormat="1" applyFont="1" applyFill="1" applyBorder="1" applyAlignment="1">
      <alignment horizontal="center" vertical="center"/>
    </xf>
    <xf numFmtId="164" fontId="25" fillId="21" borderId="3" xfId="7" applyNumberFormat="1" applyFont="1" applyFill="1" applyBorder="1" applyAlignment="1">
      <alignment horizontal="center" vertical="center"/>
    </xf>
    <xf numFmtId="164" fontId="25" fillId="19" borderId="3" xfId="7" applyNumberFormat="1" applyFont="1" applyFill="1" applyBorder="1" applyAlignment="1">
      <alignment horizontal="center" vertical="center"/>
    </xf>
    <xf numFmtId="164" fontId="25" fillId="28" borderId="2" xfId="7" applyNumberFormat="1" applyFont="1" applyFill="1" applyBorder="1" applyAlignment="1">
      <alignment horizontal="center" vertical="center"/>
    </xf>
    <xf numFmtId="164" fontId="25" fillId="28" borderId="3" xfId="7" applyNumberFormat="1" applyFont="1" applyFill="1" applyBorder="1" applyAlignment="1">
      <alignment horizontal="center" vertical="center"/>
    </xf>
    <xf numFmtId="164" fontId="25" fillId="20" borderId="3" xfId="7" applyNumberFormat="1" applyFont="1" applyFill="1" applyBorder="1" applyAlignment="1">
      <alignment horizontal="center" vertical="center"/>
    </xf>
    <xf numFmtId="164" fontId="25" fillId="23" borderId="3" xfId="7" applyNumberFormat="1" applyFont="1" applyFill="1" applyBorder="1" applyAlignment="1">
      <alignment horizontal="center" vertical="center"/>
    </xf>
    <xf numFmtId="164" fontId="25" fillId="3" borderId="3" xfId="7" applyNumberFormat="1" applyFont="1" applyFill="1" applyBorder="1" applyAlignment="1">
      <alignment horizontal="center" vertical="center"/>
    </xf>
    <xf numFmtId="164" fontId="25" fillId="22" borderId="3" xfId="7" applyNumberFormat="1" applyFont="1" applyFill="1" applyBorder="1" applyAlignment="1">
      <alignment horizontal="center" vertical="center"/>
    </xf>
    <xf numFmtId="0" fontId="4" fillId="4" borderId="2" xfId="2" applyFont="1" applyBorder="1" applyAlignment="1">
      <alignment horizontal="center" vertical="center"/>
    </xf>
    <xf numFmtId="0" fontId="6" fillId="6" borderId="2" xfId="3" applyFont="1" applyBorder="1" applyAlignment="1">
      <alignment horizontal="center" vertical="center"/>
    </xf>
    <xf numFmtId="0" fontId="7" fillId="0" borderId="2" xfId="0" applyFont="1" applyBorder="1" applyAlignment="1">
      <alignment horizontal="center"/>
    </xf>
    <xf numFmtId="0" fontId="4" fillId="10" borderId="2" xfId="6" applyFont="1" applyFill="1" applyBorder="1" applyAlignment="1">
      <alignment horizontal="center" vertical="center"/>
    </xf>
    <xf numFmtId="0" fontId="13" fillId="6" borderId="2" xfId="3" applyFont="1" applyBorder="1" applyAlignment="1">
      <alignment horizontal="center" vertical="center"/>
    </xf>
    <xf numFmtId="0" fontId="13" fillId="6" borderId="13" xfId="3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4" fillId="7" borderId="2" xfId="4" applyFont="1" applyBorder="1" applyAlignment="1">
      <alignment horizontal="center" vertical="center"/>
    </xf>
    <xf numFmtId="0" fontId="4" fillId="8" borderId="2" xfId="5" applyFont="1" applyBorder="1" applyAlignment="1">
      <alignment horizontal="center" vertical="center"/>
    </xf>
    <xf numFmtId="0" fontId="4" fillId="14" borderId="2" xfId="5" applyFont="1" applyFill="1" applyBorder="1" applyAlignment="1">
      <alignment horizontal="center" vertical="center"/>
    </xf>
    <xf numFmtId="0" fontId="4" fillId="11" borderId="2" xfId="5" applyFont="1" applyFill="1" applyBorder="1" applyAlignment="1">
      <alignment horizontal="center" vertical="center"/>
    </xf>
    <xf numFmtId="0" fontId="4" fillId="12" borderId="2" xfId="5" applyFont="1" applyFill="1" applyBorder="1" applyAlignment="1">
      <alignment horizontal="center" vertical="center"/>
    </xf>
  </cellXfs>
  <cellStyles count="9">
    <cellStyle name="60% - Accent6" xfId="6" builtinId="52"/>
    <cellStyle name="Accent1" xfId="4" builtinId="29"/>
    <cellStyle name="Accent2" xfId="2" builtinId="33"/>
    <cellStyle name="Accent4" xfId="5" builtinId="41"/>
    <cellStyle name="Check Cell" xfId="3" builtinId="23"/>
    <cellStyle name="Comma" xfId="7" builtinId="3"/>
    <cellStyle name="Good" xfId="8" builtinId="26"/>
    <cellStyle name="Normal" xfId="0" builtinId="0"/>
    <cellStyle name="Note" xfId="1" builtinId="10"/>
  </cellStyles>
  <dxfs count="114"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ont>
        <b/>
        <i/>
        <u/>
        <color auto="1"/>
      </font>
      <fill>
        <patternFill patternType="solid">
          <fgColor theme="1"/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/>
        <strike val="0"/>
        <u/>
        <color theme="1"/>
      </font>
      <fill>
        <patternFill>
          <bgColor rgb="FFFFFF00"/>
        </patternFill>
      </fill>
      <border>
        <vertical/>
        <horizontal/>
      </border>
    </dxf>
    <dxf>
      <font>
        <b/>
        <i/>
        <u/>
        <color auto="1"/>
      </font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theme="2"/>
        </patternFill>
      </fill>
    </dxf>
    <dxf>
      <font>
        <color theme="0"/>
      </font>
      <fill>
        <patternFill patternType="gray0625">
          <fgColor theme="1"/>
          <bgColor theme="0"/>
        </patternFill>
      </fill>
    </dxf>
    <dxf>
      <fill>
        <patternFill patternType="mediumGray">
          <fgColor theme="0"/>
          <bgColor theme="1"/>
        </patternFill>
      </fill>
    </dxf>
    <dxf>
      <font>
        <color theme="5"/>
      </font>
      <fill>
        <patternFill>
          <bgColor theme="1" tint="0.34998626667073579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b val="0"/>
        <i/>
      </font>
      <fill>
        <patternFill patternType="gray0625"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5" tint="-0.499984740745262"/>
        </patternFill>
      </fill>
    </dxf>
    <dxf>
      <fill>
        <patternFill>
          <bgColor rgb="FF00B050"/>
        </patternFill>
      </fill>
    </dxf>
    <dxf>
      <fill>
        <patternFill>
          <bgColor rgb="FF30BAF8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2174CF"/>
        </patternFill>
      </fill>
    </dxf>
    <dxf>
      <fill>
        <patternFill>
          <bgColor rgb="FF79F4F7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00B7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gradientFill degree="90">
          <stop position="0">
            <color theme="1"/>
          </stop>
          <stop position="1">
            <color rgb="FF2200F0"/>
          </stop>
        </gradient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2200F0"/>
        </patternFill>
      </fill>
    </dxf>
    <dxf>
      <fill>
        <patternFill>
          <bgColor rgb="FF00B050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 patternType="gray0625">
          <fgColor theme="1"/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ill>
        <patternFill>
          <bgColor rgb="FF0070C0"/>
        </patternFill>
      </fill>
    </dxf>
    <dxf>
      <fill>
        <patternFill>
          <bgColor rgb="FFC0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gradientFill degree="90">
          <stop position="0">
            <color rgb="FF92D050"/>
          </stop>
          <stop position="1">
            <color theme="1"/>
          </stop>
        </gradientFill>
      </fill>
    </dxf>
    <dxf>
      <fill>
        <gradientFill degree="90">
          <stop position="0">
            <color rgb="FFFF0000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rgb="FF00B050"/>
          </stop>
        </gradientFill>
      </fill>
    </dxf>
    <dxf>
      <fill>
        <gradientFill degree="90">
          <stop position="0">
            <color rgb="FFFF000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theme="1"/>
          </stop>
        </gradientFill>
      </fill>
    </dxf>
    <dxf>
      <fill>
        <gradientFill degree="90">
          <stop position="0">
            <color rgb="FF30BAF8"/>
          </stop>
          <stop position="1">
            <color theme="0" tint="-0.49803155613879818"/>
          </stop>
        </gradientFill>
      </fill>
    </dxf>
    <dxf>
      <fill>
        <gradientFill degree="90">
          <stop position="0">
            <color rgb="FF7030A0"/>
          </stop>
          <stop position="1">
            <color rgb="FF1F09BF"/>
          </stop>
        </gradientFill>
      </fill>
    </dxf>
    <dxf>
      <fill>
        <gradientFill degree="90">
          <stop position="0">
            <color rgb="FF30BAF8"/>
          </stop>
          <stop position="1">
            <color rgb="FF7030A0"/>
          </stop>
        </gradientFill>
      </fill>
    </dxf>
    <dxf>
      <fill>
        <patternFill>
          <bgColor rgb="FF7030A0"/>
        </patternFill>
      </fill>
    </dxf>
    <dxf>
      <fill>
        <patternFill>
          <bgColor rgb="FF9933FF"/>
        </patternFill>
      </fill>
    </dxf>
    <dxf>
      <fill>
        <patternFill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 tint="-0.499984740745262"/>
        </patternFill>
      </fill>
    </dxf>
    <dxf>
      <font>
        <color theme="1"/>
      </font>
      <fill>
        <patternFill patternType="gray0625">
          <fgColor theme="1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66FF"/>
        </patternFill>
      </fill>
    </dxf>
    <dxf>
      <fill>
        <patternFill>
          <bgColor rgb="FFFFC000"/>
        </patternFill>
      </fill>
    </dxf>
    <dxf>
      <fill>
        <patternFill>
          <bgColor theme="0" tint="-0.34998626667073579"/>
        </patternFill>
      </fill>
    </dxf>
    <dxf>
      <fill>
        <patternFill>
          <bgColor theme="5" tint="-0.499984740745262"/>
        </patternFill>
      </fill>
    </dxf>
    <dxf>
      <font>
        <color theme="1"/>
      </font>
      <fill>
        <patternFill>
          <bgColor rgb="FFFFFF00"/>
        </patternFill>
      </fill>
    </dxf>
    <dxf>
      <fill>
        <patternFill>
          <bgColor theme="9" tint="-0.24994659260841701"/>
        </patternFill>
      </fill>
    </dxf>
    <dxf>
      <fill>
        <patternFill>
          <bgColor rgb="FF632523"/>
        </patternFill>
      </fill>
    </dxf>
    <dxf>
      <fill>
        <patternFill>
          <bgColor rgb="FF2174CF"/>
        </patternFill>
      </fill>
    </dxf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1"/>
      </font>
      <fill>
        <patternFill>
          <bgColor rgb="FF79F4F7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</dxfs>
  <tableStyles count="0" defaultTableStyle="TableStyleMedium9" defaultPivotStyle="PivotStyleLight16"/>
  <colors>
    <mruColors>
      <color rgb="FF3399FF"/>
      <color rgb="FF0066FF"/>
      <color rgb="FF79F4F7"/>
      <color rgb="FF00B0F0"/>
      <color rgb="FFFE0000"/>
      <color rgb="FF2200F0"/>
      <color rgb="FF00B050"/>
      <color rgb="FF92D050"/>
      <color rgb="FF30BAF8"/>
      <color rgb="FF63252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theme="0"/>
  </sheetPr>
  <dimension ref="C2:M300"/>
  <sheetViews>
    <sheetView tabSelected="1" topLeftCell="A16" zoomScale="70" zoomScaleNormal="70" workbookViewId="0">
      <selection activeCell="C29" sqref="C29"/>
    </sheetView>
  </sheetViews>
  <sheetFormatPr defaultRowHeight="14.4"/>
  <cols>
    <col min="3" max="3" width="41.44140625" style="36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7" customHeight="1">
      <c r="C2" s="130" t="s">
        <v>8</v>
      </c>
      <c r="D2" s="130"/>
      <c r="E2" s="130"/>
      <c r="F2" s="130"/>
      <c r="G2" s="130"/>
      <c r="H2" s="130"/>
      <c r="I2" s="130"/>
      <c r="J2" s="130"/>
      <c r="K2" s="1"/>
    </row>
    <row r="3" spans="3:13" ht="27" customHeight="1">
      <c r="C3" s="130"/>
      <c r="D3" s="130"/>
      <c r="E3" s="130"/>
      <c r="F3" s="130"/>
      <c r="G3" s="130"/>
      <c r="H3" s="130"/>
      <c r="I3" s="130"/>
      <c r="J3" s="130"/>
      <c r="K3" s="1"/>
      <c r="L3" s="131" t="s">
        <v>16</v>
      </c>
      <c r="M3" s="131"/>
    </row>
    <row r="4" spans="3:13" ht="27.75" customHeight="1">
      <c r="C4" s="130"/>
      <c r="D4" s="130"/>
      <c r="E4" s="130"/>
      <c r="F4" s="130"/>
      <c r="G4" s="130"/>
      <c r="H4" s="130"/>
      <c r="I4" s="130"/>
      <c r="J4" s="130"/>
      <c r="K4" s="1"/>
      <c r="L4" s="131"/>
      <c r="M4" s="131"/>
    </row>
    <row r="5" spans="3:13" ht="25.8">
      <c r="C5" s="132"/>
      <c r="D5" s="132"/>
      <c r="E5" s="132"/>
      <c r="F5" s="132"/>
      <c r="G5" s="132"/>
      <c r="H5" s="132"/>
      <c r="I5" s="132"/>
      <c r="J5" s="132"/>
      <c r="K5" s="1"/>
      <c r="L5" s="1"/>
      <c r="M5" s="1"/>
    </row>
    <row r="6" spans="3:13" ht="33" customHeight="1">
      <c r="C6" s="61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49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42" t="s">
        <v>18</v>
      </c>
      <c r="E7" s="33" t="s">
        <v>3</v>
      </c>
      <c r="F7" s="50" t="s">
        <v>28</v>
      </c>
      <c r="G7" s="33" t="s">
        <v>29</v>
      </c>
      <c r="H7" s="33" t="s">
        <v>86</v>
      </c>
      <c r="I7" s="51">
        <v>41067</v>
      </c>
      <c r="J7" s="52">
        <v>41067</v>
      </c>
      <c r="K7" s="1"/>
      <c r="L7" s="33"/>
      <c r="M7" s="33"/>
    </row>
    <row r="8" spans="3:13" ht="25.8">
      <c r="C8" s="35">
        <v>46174</v>
      </c>
      <c r="D8" s="33" t="s">
        <v>18</v>
      </c>
      <c r="E8" s="33" t="s">
        <v>3</v>
      </c>
      <c r="F8" s="50" t="s">
        <v>30</v>
      </c>
      <c r="G8" s="33" t="s">
        <v>29</v>
      </c>
      <c r="H8" s="33" t="s">
        <v>86</v>
      </c>
      <c r="I8" s="51">
        <v>59</v>
      </c>
      <c r="J8" s="52">
        <v>59</v>
      </c>
      <c r="K8" s="1"/>
      <c r="L8" s="33"/>
      <c r="M8" s="33"/>
    </row>
    <row r="9" spans="3:13" ht="25.8">
      <c r="C9" s="35">
        <v>46174</v>
      </c>
      <c r="D9" s="33" t="s">
        <v>18</v>
      </c>
      <c r="E9" s="33" t="s">
        <v>3</v>
      </c>
      <c r="F9" s="50" t="s">
        <v>34</v>
      </c>
      <c r="G9" s="33" t="s">
        <v>35</v>
      </c>
      <c r="H9" s="33" t="s">
        <v>86</v>
      </c>
      <c r="I9" s="51">
        <v>210</v>
      </c>
      <c r="J9" s="51">
        <v>210</v>
      </c>
      <c r="K9" s="1"/>
      <c r="L9" s="33"/>
      <c r="M9" s="33"/>
    </row>
    <row r="10" spans="3:13" ht="25.8">
      <c r="C10" s="35">
        <v>46174</v>
      </c>
      <c r="D10" s="33" t="s">
        <v>18</v>
      </c>
      <c r="E10" s="33" t="s">
        <v>3</v>
      </c>
      <c r="F10" s="50" t="s">
        <v>31</v>
      </c>
      <c r="G10" s="33" t="s">
        <v>29</v>
      </c>
      <c r="H10" s="33" t="s">
        <v>86</v>
      </c>
      <c r="I10" s="51">
        <v>6887</v>
      </c>
      <c r="J10" s="51">
        <v>6887</v>
      </c>
      <c r="K10" s="1"/>
      <c r="L10" s="33"/>
      <c r="M10" s="33"/>
    </row>
    <row r="11" spans="3:13" ht="25.8">
      <c r="C11" s="35">
        <v>46174</v>
      </c>
      <c r="D11" s="33" t="s">
        <v>18</v>
      </c>
      <c r="E11" s="33" t="s">
        <v>3</v>
      </c>
      <c r="F11" s="50" t="s">
        <v>36</v>
      </c>
      <c r="G11" s="33" t="s">
        <v>29</v>
      </c>
      <c r="H11" s="33" t="s">
        <v>86</v>
      </c>
      <c r="I11" s="51">
        <v>1099</v>
      </c>
      <c r="J11" s="51">
        <v>1099</v>
      </c>
      <c r="K11" s="1"/>
      <c r="L11" s="33"/>
      <c r="M11" s="33"/>
    </row>
    <row r="12" spans="3:13" ht="25.8">
      <c r="C12" s="35">
        <v>46174</v>
      </c>
      <c r="D12" s="33" t="s">
        <v>18</v>
      </c>
      <c r="E12" s="33" t="s">
        <v>3</v>
      </c>
      <c r="F12" s="50" t="s">
        <v>37</v>
      </c>
      <c r="G12" s="33" t="s">
        <v>29</v>
      </c>
      <c r="H12" s="33" t="s">
        <v>86</v>
      </c>
      <c r="I12" s="51">
        <v>54216</v>
      </c>
      <c r="J12" s="51">
        <v>54216</v>
      </c>
      <c r="K12" s="1"/>
      <c r="L12" s="33"/>
      <c r="M12" s="33"/>
    </row>
    <row r="13" spans="3:13" ht="25.8">
      <c r="C13" s="35">
        <v>46174</v>
      </c>
      <c r="D13" s="33" t="s">
        <v>18</v>
      </c>
      <c r="E13" s="33" t="s">
        <v>3</v>
      </c>
      <c r="F13" s="50" t="s">
        <v>38</v>
      </c>
      <c r="G13" s="33" t="s">
        <v>29</v>
      </c>
      <c r="H13" s="33" t="s">
        <v>86</v>
      </c>
      <c r="I13" s="51">
        <v>5091</v>
      </c>
      <c r="J13" s="51">
        <v>5091</v>
      </c>
      <c r="K13" s="1"/>
      <c r="L13" s="33"/>
      <c r="M13" s="33"/>
    </row>
    <row r="14" spans="3:13" s="12" customFormat="1" ht="25.8">
      <c r="C14" s="35">
        <v>46174</v>
      </c>
      <c r="D14" s="33" t="s">
        <v>18</v>
      </c>
      <c r="E14" s="33" t="s">
        <v>3</v>
      </c>
      <c r="F14" s="53" t="s">
        <v>39</v>
      </c>
      <c r="G14" s="33" t="s">
        <v>29</v>
      </c>
      <c r="H14" s="33" t="s">
        <v>86</v>
      </c>
      <c r="I14" s="51">
        <v>249</v>
      </c>
      <c r="J14" s="51">
        <v>249</v>
      </c>
      <c r="K14" s="1"/>
      <c r="L14" s="33"/>
      <c r="M14" s="33"/>
    </row>
    <row r="15" spans="3:13" ht="25.8">
      <c r="C15" s="35">
        <v>46174</v>
      </c>
      <c r="D15" s="33" t="s">
        <v>18</v>
      </c>
      <c r="E15" s="33" t="s">
        <v>3</v>
      </c>
      <c r="F15" s="50" t="s">
        <v>40</v>
      </c>
      <c r="G15" s="33" t="s">
        <v>29</v>
      </c>
      <c r="H15" s="33" t="s">
        <v>86</v>
      </c>
      <c r="I15" s="51">
        <v>60378</v>
      </c>
      <c r="J15" s="51">
        <v>60378</v>
      </c>
      <c r="K15" s="1"/>
      <c r="L15" s="33"/>
      <c r="M15" s="33"/>
    </row>
    <row r="16" spans="3:13" ht="25.8">
      <c r="C16" s="35">
        <v>46174</v>
      </c>
      <c r="D16" s="33" t="s">
        <v>18</v>
      </c>
      <c r="E16" s="33" t="s">
        <v>3</v>
      </c>
      <c r="F16" s="50" t="s">
        <v>24</v>
      </c>
      <c r="G16" s="33" t="s">
        <v>29</v>
      </c>
      <c r="H16" s="33" t="s">
        <v>86</v>
      </c>
      <c r="I16" s="51">
        <v>979</v>
      </c>
      <c r="J16" s="51">
        <v>979</v>
      </c>
      <c r="K16" s="1"/>
      <c r="L16" s="33"/>
      <c r="M16" s="33"/>
    </row>
    <row r="17" spans="3:13" ht="25.8">
      <c r="C17" s="35">
        <v>46174</v>
      </c>
      <c r="D17" s="33" t="s">
        <v>18</v>
      </c>
      <c r="E17" s="33" t="s">
        <v>3</v>
      </c>
      <c r="F17" s="50" t="s">
        <v>41</v>
      </c>
      <c r="G17" s="33" t="s">
        <v>29</v>
      </c>
      <c r="H17" s="33" t="s">
        <v>86</v>
      </c>
      <c r="I17" s="51">
        <v>7812</v>
      </c>
      <c r="J17" s="51">
        <v>7812</v>
      </c>
      <c r="K17" s="1"/>
      <c r="L17" s="33"/>
      <c r="M17" s="33"/>
    </row>
    <row r="18" spans="3:13" ht="25.8">
      <c r="C18" s="35">
        <v>46174</v>
      </c>
      <c r="D18" s="33" t="s">
        <v>18</v>
      </c>
      <c r="E18" s="33" t="s">
        <v>3</v>
      </c>
      <c r="F18" s="50" t="s">
        <v>42</v>
      </c>
      <c r="G18" s="33" t="s">
        <v>29</v>
      </c>
      <c r="H18" s="33" t="s">
        <v>86</v>
      </c>
      <c r="I18" s="51">
        <v>30</v>
      </c>
      <c r="J18" s="51">
        <v>30</v>
      </c>
      <c r="K18" s="1"/>
      <c r="L18" s="33"/>
      <c r="M18" s="33"/>
    </row>
    <row r="19" spans="3:13" ht="25.8">
      <c r="C19" s="35">
        <v>46174</v>
      </c>
      <c r="D19" s="33" t="s">
        <v>18</v>
      </c>
      <c r="E19" s="33" t="s">
        <v>3</v>
      </c>
      <c r="F19" s="50" t="s">
        <v>43</v>
      </c>
      <c r="G19" s="33" t="s">
        <v>32</v>
      </c>
      <c r="H19" s="33" t="s">
        <v>86</v>
      </c>
      <c r="I19" s="51">
        <v>0</v>
      </c>
      <c r="J19" s="51">
        <v>0</v>
      </c>
      <c r="K19" s="1"/>
      <c r="L19" s="33"/>
      <c r="M19" s="33"/>
    </row>
    <row r="20" spans="3:13" ht="25.8">
      <c r="C20" s="35">
        <v>46174</v>
      </c>
      <c r="D20" s="33" t="s">
        <v>18</v>
      </c>
      <c r="E20" s="33" t="s">
        <v>3</v>
      </c>
      <c r="F20" s="50" t="s">
        <v>33</v>
      </c>
      <c r="G20" s="33" t="s">
        <v>32</v>
      </c>
      <c r="H20" s="33" t="s">
        <v>86</v>
      </c>
      <c r="I20" s="51">
        <v>0</v>
      </c>
      <c r="J20" s="51">
        <v>0</v>
      </c>
      <c r="K20" s="1"/>
      <c r="L20" s="33"/>
      <c r="M20" s="33"/>
    </row>
    <row r="21" spans="3:13" ht="26.25" customHeight="1">
      <c r="C21" s="35">
        <v>46174</v>
      </c>
      <c r="D21" s="33" t="s">
        <v>18</v>
      </c>
      <c r="E21" s="33" t="s">
        <v>3</v>
      </c>
      <c r="F21" s="50" t="s">
        <v>28</v>
      </c>
      <c r="G21" s="33" t="s">
        <v>29</v>
      </c>
      <c r="H21" s="33" t="s">
        <v>88</v>
      </c>
      <c r="I21" s="60">
        <v>41067</v>
      </c>
      <c r="J21" s="60">
        <v>41046</v>
      </c>
      <c r="K21" s="11"/>
      <c r="L21" s="33"/>
      <c r="M21" s="33"/>
    </row>
    <row r="22" spans="3:13" ht="26.25" customHeight="1">
      <c r="C22" s="35">
        <v>46175</v>
      </c>
      <c r="D22" s="33" t="s">
        <v>18</v>
      </c>
      <c r="E22" s="33" t="s">
        <v>3</v>
      </c>
      <c r="F22" s="50" t="s">
        <v>40</v>
      </c>
      <c r="G22" s="33" t="s">
        <v>29</v>
      </c>
      <c r="H22" s="33" t="s">
        <v>88</v>
      </c>
      <c r="I22" s="60">
        <v>60378</v>
      </c>
      <c r="J22" s="60">
        <v>60368</v>
      </c>
      <c r="K22" s="1"/>
      <c r="L22" s="33"/>
      <c r="M22" s="33"/>
    </row>
    <row r="23" spans="3:13" ht="26.25" customHeight="1">
      <c r="C23" s="35">
        <v>46176</v>
      </c>
      <c r="D23" s="33" t="s">
        <v>18</v>
      </c>
      <c r="E23" s="33" t="s">
        <v>3</v>
      </c>
      <c r="F23" s="50" t="s">
        <v>31</v>
      </c>
      <c r="G23" s="33" t="s">
        <v>29</v>
      </c>
      <c r="H23" s="33" t="s">
        <v>88</v>
      </c>
      <c r="I23" s="60">
        <v>6887</v>
      </c>
      <c r="J23" s="60">
        <v>6862</v>
      </c>
      <c r="K23" s="1"/>
      <c r="L23" s="33"/>
      <c r="M23" s="33"/>
    </row>
    <row r="24" spans="3:13" ht="26.25" customHeight="1">
      <c r="C24" s="35">
        <v>46176</v>
      </c>
      <c r="D24" s="33" t="s">
        <v>18</v>
      </c>
      <c r="E24" s="33" t="s">
        <v>3</v>
      </c>
      <c r="F24" s="50" t="s">
        <v>40</v>
      </c>
      <c r="G24" s="33" t="s">
        <v>29</v>
      </c>
      <c r="H24" s="33" t="s">
        <v>88</v>
      </c>
      <c r="I24" s="60">
        <v>60368</v>
      </c>
      <c r="J24" s="60">
        <v>60360</v>
      </c>
      <c r="K24" s="1"/>
      <c r="L24" s="33"/>
      <c r="M24" s="33"/>
    </row>
    <row r="25" spans="3:13" ht="26.25" customHeight="1">
      <c r="C25" s="35">
        <v>46177</v>
      </c>
      <c r="D25" s="33" t="s">
        <v>18</v>
      </c>
      <c r="E25" s="33" t="s">
        <v>3</v>
      </c>
      <c r="F25" s="50" t="s">
        <v>36</v>
      </c>
      <c r="G25" s="33" t="s">
        <v>29</v>
      </c>
      <c r="H25" s="33" t="s">
        <v>88</v>
      </c>
      <c r="I25" s="60">
        <v>1099</v>
      </c>
      <c r="J25" s="60">
        <v>854</v>
      </c>
      <c r="K25" s="1"/>
      <c r="L25" s="33"/>
      <c r="M25" s="33"/>
    </row>
    <row r="26" spans="3:13" ht="26.25" customHeight="1">
      <c r="C26" s="35">
        <v>46177</v>
      </c>
      <c r="D26" s="33" t="s">
        <v>18</v>
      </c>
      <c r="E26" s="33" t="s">
        <v>3</v>
      </c>
      <c r="F26" s="50" t="s">
        <v>31</v>
      </c>
      <c r="G26" s="33" t="s">
        <v>29</v>
      </c>
      <c r="H26" s="33" t="s">
        <v>88</v>
      </c>
      <c r="I26" s="60">
        <v>6862</v>
      </c>
      <c r="J26" s="60">
        <v>6537</v>
      </c>
      <c r="K26" s="1"/>
      <c r="L26" s="33"/>
      <c r="M26" s="33"/>
    </row>
    <row r="27" spans="3:13" ht="26.25" customHeight="1">
      <c r="C27" s="35">
        <v>46177</v>
      </c>
      <c r="D27" s="33" t="s">
        <v>18</v>
      </c>
      <c r="E27" s="33" t="s">
        <v>3</v>
      </c>
      <c r="F27" s="50" t="s">
        <v>36</v>
      </c>
      <c r="G27" s="33" t="s">
        <v>29</v>
      </c>
      <c r="H27" s="33" t="s">
        <v>88</v>
      </c>
      <c r="I27" s="60">
        <v>854</v>
      </c>
      <c r="J27" s="60">
        <v>489</v>
      </c>
      <c r="K27" s="1"/>
      <c r="L27" s="33"/>
      <c r="M27" s="33"/>
    </row>
    <row r="28" spans="3:13" ht="26.25" customHeight="1">
      <c r="C28" s="35">
        <v>46177</v>
      </c>
      <c r="D28" s="33" t="s">
        <v>18</v>
      </c>
      <c r="E28" s="33" t="s">
        <v>3</v>
      </c>
      <c r="F28" s="50" t="s">
        <v>28</v>
      </c>
      <c r="G28" s="33" t="s">
        <v>29</v>
      </c>
      <c r="H28" s="33" t="s">
        <v>88</v>
      </c>
      <c r="I28" s="60">
        <v>41046</v>
      </c>
      <c r="J28" s="60">
        <v>37982</v>
      </c>
      <c r="K28" s="1"/>
      <c r="L28" s="48"/>
      <c r="M28" s="48"/>
    </row>
    <row r="29" spans="3:13" ht="26.25" customHeight="1">
      <c r="C29" s="35">
        <v>46177</v>
      </c>
      <c r="D29" s="33" t="s">
        <v>18</v>
      </c>
      <c r="E29" s="33" t="s">
        <v>3</v>
      </c>
      <c r="F29" s="50"/>
      <c r="G29" s="33"/>
      <c r="H29" s="33"/>
      <c r="I29" s="60"/>
      <c r="J29" s="60"/>
      <c r="K29" s="1"/>
      <c r="L29" s="48"/>
      <c r="M29" s="48"/>
    </row>
    <row r="30" spans="3:13" ht="26.25" customHeight="1">
      <c r="C30" s="35"/>
      <c r="D30" s="33" t="s">
        <v>18</v>
      </c>
      <c r="E30" s="33" t="s">
        <v>3</v>
      </c>
      <c r="F30" s="50"/>
      <c r="G30" s="33"/>
      <c r="H30" s="33"/>
      <c r="I30" s="60"/>
      <c r="J30" s="60"/>
      <c r="K30" s="1"/>
      <c r="L30" s="33"/>
      <c r="M30" s="33"/>
    </row>
    <row r="31" spans="3:13" ht="26.25" customHeight="1">
      <c r="C31" s="35"/>
      <c r="D31" s="33" t="s">
        <v>18</v>
      </c>
      <c r="E31" s="33" t="s">
        <v>3</v>
      </c>
      <c r="F31" s="50"/>
      <c r="G31" s="33"/>
      <c r="H31" s="33"/>
      <c r="I31" s="51"/>
      <c r="J31" s="51"/>
      <c r="K31" s="1"/>
      <c r="L31" s="33"/>
      <c r="M31" s="33"/>
    </row>
    <row r="32" spans="3:13" ht="26.25" customHeight="1">
      <c r="C32" s="35"/>
      <c r="D32" s="33" t="s">
        <v>18</v>
      </c>
      <c r="E32" s="33" t="s">
        <v>3</v>
      </c>
      <c r="F32" s="50"/>
      <c r="G32" s="33"/>
      <c r="H32" s="33"/>
      <c r="I32" s="51"/>
      <c r="J32" s="51"/>
      <c r="K32" s="1"/>
      <c r="L32" s="33"/>
      <c r="M32" s="33"/>
    </row>
    <row r="33" spans="3:13" ht="26.25" customHeight="1">
      <c r="C33" s="35"/>
      <c r="D33" s="33" t="s">
        <v>18</v>
      </c>
      <c r="E33" s="33" t="s">
        <v>3</v>
      </c>
      <c r="F33" s="50"/>
      <c r="G33" s="33"/>
      <c r="H33" s="33"/>
      <c r="I33" s="51"/>
      <c r="J33" s="51"/>
      <c r="K33" s="1"/>
      <c r="L33" s="33"/>
      <c r="M33" s="33"/>
    </row>
    <row r="34" spans="3:13" ht="26.25" customHeight="1">
      <c r="C34" s="35"/>
      <c r="D34" s="33" t="s">
        <v>18</v>
      </c>
      <c r="E34" s="33" t="s">
        <v>3</v>
      </c>
      <c r="F34" s="50"/>
      <c r="G34" s="33"/>
      <c r="H34" s="33"/>
      <c r="I34" s="51"/>
      <c r="J34" s="51"/>
      <c r="K34" s="1"/>
      <c r="L34" s="33"/>
      <c r="M34" s="33"/>
    </row>
    <row r="35" spans="3:13" ht="26.25" customHeight="1">
      <c r="C35" s="35"/>
      <c r="D35" s="33" t="s">
        <v>18</v>
      </c>
      <c r="E35" s="33" t="s">
        <v>3</v>
      </c>
      <c r="F35" s="50"/>
      <c r="G35" s="33"/>
      <c r="H35" s="33"/>
      <c r="I35" s="51"/>
      <c r="J35" s="51"/>
      <c r="K35" s="1"/>
      <c r="L35" s="33"/>
      <c r="M35" s="33"/>
    </row>
    <row r="36" spans="3:13" ht="26.25" customHeight="1">
      <c r="C36" s="35"/>
      <c r="D36" s="33" t="s">
        <v>18</v>
      </c>
      <c r="E36" s="33" t="s">
        <v>3</v>
      </c>
      <c r="F36" s="50"/>
      <c r="G36" s="33"/>
      <c r="H36" s="33"/>
      <c r="I36" s="51"/>
      <c r="J36" s="51"/>
      <c r="K36" s="1"/>
      <c r="L36" s="33"/>
      <c r="M36" s="33"/>
    </row>
    <row r="37" spans="3:13" ht="26.25" customHeight="1">
      <c r="C37" s="35"/>
      <c r="D37" s="33" t="s">
        <v>18</v>
      </c>
      <c r="E37" s="33" t="s">
        <v>3</v>
      </c>
      <c r="F37" s="50"/>
      <c r="G37" s="33"/>
      <c r="H37" s="33"/>
      <c r="I37" s="51"/>
      <c r="J37" s="51"/>
      <c r="K37" s="1"/>
      <c r="L37" s="33"/>
      <c r="M37" s="33"/>
    </row>
    <row r="38" spans="3:13" ht="25.8">
      <c r="C38" s="35"/>
      <c r="D38" s="33" t="s">
        <v>18</v>
      </c>
      <c r="E38" s="33" t="s">
        <v>3</v>
      </c>
      <c r="F38" s="50"/>
      <c r="G38" s="33"/>
      <c r="H38" s="33"/>
      <c r="I38" s="51"/>
      <c r="J38" s="51"/>
      <c r="K38" s="1"/>
      <c r="L38" s="33"/>
      <c r="M38" s="33"/>
    </row>
    <row r="39" spans="3:13" ht="26.25" customHeight="1">
      <c r="C39" s="35"/>
      <c r="D39" s="33" t="s">
        <v>18</v>
      </c>
      <c r="E39" s="33" t="s">
        <v>3</v>
      </c>
      <c r="F39" s="50"/>
      <c r="G39" s="33"/>
      <c r="H39" s="33"/>
      <c r="I39" s="83"/>
      <c r="J39" s="83"/>
      <c r="L39" s="15"/>
      <c r="M39" s="15"/>
    </row>
    <row r="40" spans="3:13" ht="26.25" customHeight="1">
      <c r="C40" s="35"/>
      <c r="D40" s="33" t="s">
        <v>18</v>
      </c>
      <c r="E40" s="33" t="s">
        <v>3</v>
      </c>
      <c r="F40" s="54"/>
      <c r="G40" s="83"/>
      <c r="H40" s="33"/>
      <c r="I40" s="83"/>
      <c r="J40" s="83"/>
      <c r="L40" s="15"/>
      <c r="M40" s="15"/>
    </row>
    <row r="41" spans="3:13" ht="26.25" customHeight="1">
      <c r="C41" s="35"/>
      <c r="D41" s="33" t="s">
        <v>18</v>
      </c>
      <c r="E41" s="33" t="s">
        <v>3</v>
      </c>
      <c r="F41" s="54"/>
      <c r="G41" s="83"/>
      <c r="H41" s="33"/>
      <c r="I41" s="83"/>
      <c r="J41" s="83"/>
      <c r="L41" s="15"/>
      <c r="M41" s="15"/>
    </row>
    <row r="42" spans="3:13" ht="26.25" customHeight="1">
      <c r="C42" s="35"/>
      <c r="D42" s="33" t="s">
        <v>18</v>
      </c>
      <c r="E42" s="33" t="s">
        <v>3</v>
      </c>
      <c r="F42" s="54"/>
      <c r="G42" s="83"/>
      <c r="H42" s="33"/>
      <c r="I42" s="83"/>
      <c r="J42" s="83"/>
      <c r="L42" s="15"/>
      <c r="M42" s="15"/>
    </row>
    <row r="43" spans="3:13" ht="26.25" customHeight="1">
      <c r="C43" s="35"/>
      <c r="D43" s="33" t="s">
        <v>18</v>
      </c>
      <c r="E43" s="33" t="s">
        <v>3</v>
      </c>
      <c r="F43" s="54"/>
      <c r="G43" s="83"/>
      <c r="H43" s="33"/>
      <c r="I43" s="83"/>
      <c r="J43" s="83"/>
      <c r="L43" s="15"/>
      <c r="M43" s="15"/>
    </row>
    <row r="44" spans="3:13" ht="26.25" customHeight="1">
      <c r="C44" s="35"/>
      <c r="D44" s="33" t="s">
        <v>18</v>
      </c>
      <c r="E44" s="33" t="s">
        <v>3</v>
      </c>
      <c r="F44" s="54"/>
      <c r="G44" s="83"/>
      <c r="H44" s="33"/>
      <c r="I44" s="83"/>
      <c r="J44" s="83"/>
      <c r="L44" s="15"/>
      <c r="M44" s="15"/>
    </row>
    <row r="45" spans="3:13" ht="26.25" customHeight="1">
      <c r="C45" s="35"/>
      <c r="D45" s="33" t="s">
        <v>18</v>
      </c>
      <c r="E45" s="33" t="s">
        <v>3</v>
      </c>
      <c r="F45" s="54"/>
      <c r="G45" s="83"/>
      <c r="H45" s="33"/>
      <c r="I45" s="83"/>
      <c r="J45" s="83"/>
      <c r="L45" s="15"/>
      <c r="M45" s="15"/>
    </row>
    <row r="46" spans="3:13" ht="26.25" customHeight="1">
      <c r="C46" s="35"/>
      <c r="D46" s="33" t="s">
        <v>18</v>
      </c>
      <c r="E46" s="33" t="s">
        <v>3</v>
      </c>
      <c r="F46" s="54"/>
      <c r="G46" s="83"/>
      <c r="H46" s="33"/>
      <c r="I46" s="83"/>
      <c r="J46" s="83"/>
      <c r="L46" s="15"/>
      <c r="M46" s="15"/>
    </row>
    <row r="47" spans="3:13" ht="26.25" customHeight="1">
      <c r="C47" s="35"/>
      <c r="D47" s="33" t="s">
        <v>18</v>
      </c>
      <c r="E47" s="33" t="s">
        <v>3</v>
      </c>
      <c r="F47" s="54"/>
      <c r="G47" s="83"/>
      <c r="H47" s="33"/>
      <c r="I47" s="83"/>
      <c r="J47" s="83"/>
      <c r="L47" s="15"/>
      <c r="M47" s="15"/>
    </row>
    <row r="48" spans="3:13" ht="26.25" customHeight="1">
      <c r="C48" s="35"/>
      <c r="D48" s="33" t="s">
        <v>18</v>
      </c>
      <c r="E48" s="33" t="s">
        <v>3</v>
      </c>
      <c r="F48" s="54"/>
      <c r="G48" s="83"/>
      <c r="H48" s="33"/>
      <c r="I48" s="83"/>
      <c r="J48" s="83"/>
      <c r="L48" s="15"/>
      <c r="M48" s="15"/>
    </row>
    <row r="49" spans="3:13" ht="26.25" customHeight="1">
      <c r="C49" s="57"/>
      <c r="D49" s="33" t="s">
        <v>18</v>
      </c>
      <c r="E49" s="33" t="s">
        <v>3</v>
      </c>
      <c r="F49" s="58"/>
      <c r="G49" s="69"/>
      <c r="H49" s="69"/>
      <c r="I49" s="69"/>
      <c r="J49" s="69"/>
      <c r="L49" s="15"/>
      <c r="M49" s="15"/>
    </row>
    <row r="50" spans="3:13" ht="26.25" customHeight="1">
      <c r="C50" s="57"/>
      <c r="D50" s="33" t="s">
        <v>18</v>
      </c>
      <c r="E50" s="33" t="s">
        <v>3</v>
      </c>
      <c r="F50" s="58"/>
      <c r="G50" s="69"/>
      <c r="H50" s="69"/>
      <c r="I50" s="69"/>
      <c r="J50" s="69"/>
      <c r="L50" s="15"/>
      <c r="M50" s="15"/>
    </row>
    <row r="51" spans="3:13" ht="26.25" customHeight="1">
      <c r="C51" s="35"/>
      <c r="D51" s="33" t="s">
        <v>18</v>
      </c>
      <c r="E51" s="33" t="s">
        <v>3</v>
      </c>
      <c r="F51" s="54"/>
      <c r="G51" s="83"/>
      <c r="H51" s="83"/>
      <c r="I51" s="84"/>
      <c r="J51" s="84"/>
      <c r="L51" s="15"/>
      <c r="M51" s="15"/>
    </row>
    <row r="52" spans="3:13" ht="25.8">
      <c r="C52" s="35"/>
      <c r="D52" s="33" t="s">
        <v>18</v>
      </c>
      <c r="E52" s="33" t="s">
        <v>3</v>
      </c>
      <c r="F52" s="50"/>
      <c r="G52" s="33"/>
      <c r="H52" s="33"/>
      <c r="I52" s="34"/>
      <c r="J52" s="34"/>
      <c r="L52" s="33"/>
      <c r="M52" s="33"/>
    </row>
    <row r="53" spans="3:13" ht="25.8">
      <c r="C53" s="35"/>
      <c r="D53" s="33" t="s">
        <v>18</v>
      </c>
      <c r="E53" s="33" t="s">
        <v>3</v>
      </c>
      <c r="F53" s="50"/>
      <c r="G53" s="33"/>
      <c r="H53" s="33"/>
      <c r="I53" s="34"/>
      <c r="J53" s="34"/>
      <c r="L53" s="33"/>
      <c r="M53" s="33"/>
    </row>
    <row r="54" spans="3:13" ht="25.8">
      <c r="C54" s="35"/>
      <c r="D54" s="33" t="s">
        <v>18</v>
      </c>
      <c r="E54" s="33" t="s">
        <v>3</v>
      </c>
      <c r="F54" s="50"/>
      <c r="G54" s="33"/>
      <c r="H54" s="33"/>
      <c r="I54" s="34"/>
      <c r="J54" s="34"/>
      <c r="L54" s="33"/>
      <c r="M54" s="33"/>
    </row>
    <row r="55" spans="3:13" ht="25.8">
      <c r="C55" s="35"/>
      <c r="D55" s="33" t="s">
        <v>18</v>
      </c>
      <c r="E55" s="33" t="s">
        <v>3</v>
      </c>
      <c r="F55" s="50"/>
      <c r="G55" s="33"/>
      <c r="H55" s="33"/>
      <c r="I55" s="34"/>
      <c r="J55" s="34"/>
      <c r="L55" s="33"/>
      <c r="M55" s="33"/>
    </row>
    <row r="56" spans="3:13" ht="25.8">
      <c r="C56" s="35"/>
      <c r="D56" s="33" t="s">
        <v>18</v>
      </c>
      <c r="E56" s="33" t="s">
        <v>3</v>
      </c>
      <c r="F56" s="50"/>
      <c r="G56" s="33"/>
      <c r="H56" s="33"/>
      <c r="I56" s="34"/>
      <c r="J56" s="34"/>
      <c r="L56" s="33"/>
      <c r="M56" s="33"/>
    </row>
    <row r="57" spans="3:13" ht="25.8">
      <c r="C57" s="35"/>
      <c r="D57" s="33" t="s">
        <v>18</v>
      </c>
      <c r="E57" s="33" t="s">
        <v>3</v>
      </c>
      <c r="F57" s="50"/>
      <c r="G57" s="33"/>
      <c r="H57" s="33"/>
      <c r="I57" s="34"/>
      <c r="J57" s="34"/>
      <c r="L57" s="33"/>
      <c r="M57" s="33"/>
    </row>
    <row r="58" spans="3:13" ht="25.8">
      <c r="C58" s="35"/>
      <c r="D58" s="33" t="s">
        <v>18</v>
      </c>
      <c r="E58" s="33" t="s">
        <v>3</v>
      </c>
      <c r="F58" s="50"/>
      <c r="G58" s="33"/>
      <c r="H58" s="33"/>
      <c r="I58" s="34"/>
      <c r="J58" s="34"/>
      <c r="L58" s="33"/>
      <c r="M58" s="33"/>
    </row>
    <row r="59" spans="3:13" ht="25.8">
      <c r="C59" s="35"/>
      <c r="D59" s="33" t="s">
        <v>18</v>
      </c>
      <c r="E59" s="33" t="s">
        <v>3</v>
      </c>
      <c r="F59" s="50"/>
      <c r="G59" s="33"/>
      <c r="H59" s="33"/>
      <c r="I59" s="34"/>
      <c r="J59" s="34"/>
      <c r="L59" s="33"/>
      <c r="M59" s="33"/>
    </row>
    <row r="60" spans="3:13" ht="25.8">
      <c r="C60" s="35"/>
      <c r="D60" s="33" t="s">
        <v>18</v>
      </c>
      <c r="E60" s="33" t="s">
        <v>3</v>
      </c>
      <c r="F60" s="50"/>
      <c r="G60" s="33"/>
      <c r="H60" s="33"/>
      <c r="I60" s="34"/>
      <c r="J60" s="34"/>
      <c r="L60" s="33"/>
      <c r="M60" s="33"/>
    </row>
    <row r="61" spans="3:13" ht="25.8">
      <c r="C61" s="35"/>
      <c r="D61" s="33" t="s">
        <v>18</v>
      </c>
      <c r="E61" s="33" t="s">
        <v>3</v>
      </c>
      <c r="F61" s="50"/>
      <c r="G61" s="33"/>
      <c r="H61" s="33"/>
      <c r="I61" s="34"/>
      <c r="J61" s="34"/>
      <c r="L61" s="33"/>
      <c r="M61" s="33"/>
    </row>
    <row r="62" spans="3:13" ht="25.8">
      <c r="C62" s="35"/>
      <c r="D62" s="33" t="s">
        <v>18</v>
      </c>
      <c r="E62" s="33" t="s">
        <v>3</v>
      </c>
      <c r="F62" s="50"/>
      <c r="G62" s="33"/>
      <c r="H62" s="33"/>
      <c r="I62" s="34"/>
      <c r="J62" s="34"/>
      <c r="L62" s="33"/>
      <c r="M62" s="33"/>
    </row>
    <row r="63" spans="3:13" ht="25.8">
      <c r="C63" s="35"/>
      <c r="D63" s="33" t="s">
        <v>18</v>
      </c>
      <c r="E63" s="33" t="s">
        <v>3</v>
      </c>
      <c r="F63" s="50"/>
      <c r="G63" s="33"/>
      <c r="H63" s="33"/>
      <c r="I63" s="34"/>
      <c r="J63" s="34"/>
      <c r="L63" s="33"/>
      <c r="M63" s="33"/>
    </row>
    <row r="64" spans="3:13" ht="25.8">
      <c r="C64" s="35"/>
      <c r="D64" s="33" t="s">
        <v>18</v>
      </c>
      <c r="E64" s="33" t="s">
        <v>3</v>
      </c>
      <c r="F64" s="50"/>
      <c r="G64" s="33"/>
      <c r="H64" s="33"/>
      <c r="I64" s="34"/>
      <c r="J64" s="34"/>
      <c r="L64" s="33"/>
      <c r="M64" s="33"/>
    </row>
    <row r="65" spans="3:13" ht="25.8">
      <c r="C65" s="35"/>
      <c r="D65" s="33" t="s">
        <v>18</v>
      </c>
      <c r="E65" s="33" t="s">
        <v>3</v>
      </c>
      <c r="F65" s="50"/>
      <c r="G65" s="33"/>
      <c r="H65" s="33"/>
      <c r="I65" s="34"/>
      <c r="J65" s="34"/>
      <c r="L65" s="33"/>
      <c r="M65" s="33"/>
    </row>
    <row r="66" spans="3:13" ht="25.8">
      <c r="C66" s="35"/>
      <c r="D66" s="33" t="s">
        <v>18</v>
      </c>
      <c r="E66" s="33" t="s">
        <v>3</v>
      </c>
      <c r="F66" s="50"/>
      <c r="G66" s="33"/>
      <c r="H66" s="33"/>
      <c r="I66" s="34"/>
      <c r="J66" s="34"/>
      <c r="L66" s="33"/>
      <c r="M66" s="33"/>
    </row>
    <row r="67" spans="3:13" ht="25.8">
      <c r="C67" s="35"/>
      <c r="D67" s="33" t="s">
        <v>18</v>
      </c>
      <c r="E67" s="33" t="s">
        <v>3</v>
      </c>
      <c r="F67" s="50"/>
      <c r="G67" s="33"/>
      <c r="H67" s="33"/>
      <c r="I67" s="34"/>
      <c r="J67" s="34"/>
      <c r="L67" s="33"/>
      <c r="M67" s="33"/>
    </row>
    <row r="68" spans="3:13" ht="25.8">
      <c r="C68" s="35"/>
      <c r="D68" s="33" t="s">
        <v>18</v>
      </c>
      <c r="E68" s="33" t="s">
        <v>3</v>
      </c>
      <c r="F68" s="50"/>
      <c r="G68" s="33"/>
      <c r="H68" s="33"/>
      <c r="I68" s="34"/>
      <c r="J68" s="34"/>
      <c r="L68" s="33"/>
      <c r="M68" s="33"/>
    </row>
    <row r="69" spans="3:13" ht="25.8">
      <c r="C69" s="35"/>
      <c r="D69" s="33" t="s">
        <v>18</v>
      </c>
      <c r="E69" s="33" t="s">
        <v>3</v>
      </c>
      <c r="F69" s="50"/>
      <c r="G69" s="33"/>
      <c r="H69" s="33"/>
      <c r="I69" s="34"/>
      <c r="J69" s="34"/>
      <c r="L69" s="33"/>
      <c r="M69" s="33"/>
    </row>
    <row r="70" spans="3:13" ht="25.8">
      <c r="C70" s="35"/>
      <c r="D70" s="33" t="s">
        <v>18</v>
      </c>
      <c r="E70" s="33" t="s">
        <v>3</v>
      </c>
      <c r="F70" s="50"/>
      <c r="G70" s="33"/>
      <c r="H70" s="33"/>
      <c r="I70" s="34"/>
      <c r="J70" s="34"/>
      <c r="L70" s="33"/>
      <c r="M70" s="33"/>
    </row>
    <row r="71" spans="3:13" ht="25.8">
      <c r="C71" s="35"/>
      <c r="D71" s="33" t="s">
        <v>18</v>
      </c>
      <c r="E71" s="33" t="s">
        <v>3</v>
      </c>
      <c r="F71" s="50"/>
      <c r="G71" s="33"/>
      <c r="H71" s="33"/>
      <c r="I71" s="34"/>
      <c r="J71" s="34"/>
      <c r="L71" s="33"/>
      <c r="M71" s="33"/>
    </row>
    <row r="72" spans="3:13" ht="25.8">
      <c r="C72" s="35"/>
      <c r="D72" s="33" t="s">
        <v>18</v>
      </c>
      <c r="E72" s="33" t="s">
        <v>3</v>
      </c>
      <c r="F72" s="50"/>
      <c r="G72" s="33"/>
      <c r="H72" s="33"/>
      <c r="I72" s="34"/>
      <c r="J72" s="34"/>
      <c r="L72" s="33"/>
      <c r="M72" s="33"/>
    </row>
    <row r="73" spans="3:13" ht="25.8">
      <c r="C73" s="35"/>
      <c r="D73" s="33" t="s">
        <v>18</v>
      </c>
      <c r="E73" s="33" t="s">
        <v>3</v>
      </c>
      <c r="F73" s="50"/>
      <c r="G73" s="33"/>
      <c r="H73" s="33"/>
      <c r="I73" s="34"/>
      <c r="J73" s="34"/>
      <c r="L73" s="33"/>
      <c r="M73" s="33"/>
    </row>
    <row r="74" spans="3:13" ht="25.8">
      <c r="C74" s="35"/>
      <c r="D74" s="33" t="s">
        <v>18</v>
      </c>
      <c r="E74" s="33" t="s">
        <v>3</v>
      </c>
      <c r="F74" s="50"/>
      <c r="G74" s="33"/>
      <c r="H74" s="33"/>
      <c r="I74" s="34"/>
      <c r="J74" s="34"/>
      <c r="L74" s="33"/>
      <c r="M74" s="33"/>
    </row>
    <row r="75" spans="3:13" ht="25.8">
      <c r="C75" s="35"/>
      <c r="D75" s="33" t="s">
        <v>18</v>
      </c>
      <c r="E75" s="33" t="s">
        <v>3</v>
      </c>
      <c r="F75" s="50"/>
      <c r="G75" s="33"/>
      <c r="H75" s="33"/>
      <c r="I75" s="34"/>
      <c r="J75" s="34"/>
      <c r="L75" s="33"/>
      <c r="M75" s="33"/>
    </row>
    <row r="76" spans="3:13" ht="25.8">
      <c r="C76" s="35"/>
      <c r="D76" s="33" t="s">
        <v>18</v>
      </c>
      <c r="E76" s="33" t="s">
        <v>3</v>
      </c>
      <c r="F76" s="50"/>
      <c r="G76" s="33"/>
      <c r="H76" s="33"/>
      <c r="I76" s="34"/>
      <c r="J76" s="34"/>
      <c r="L76" s="33"/>
      <c r="M76" s="33"/>
    </row>
    <row r="77" spans="3:13" ht="25.8">
      <c r="C77" s="55"/>
      <c r="D77" s="33" t="s">
        <v>18</v>
      </c>
      <c r="E77" s="33" t="s">
        <v>3</v>
      </c>
      <c r="F77" s="62"/>
      <c r="G77" s="39"/>
      <c r="H77" s="39"/>
      <c r="I77" s="40"/>
      <c r="J77" s="40"/>
      <c r="L77" s="39"/>
      <c r="M77" s="39"/>
    </row>
    <row r="78" spans="3:13" ht="25.8">
      <c r="C78" s="57"/>
      <c r="D78" s="33" t="s">
        <v>18</v>
      </c>
      <c r="E78" s="33" t="s">
        <v>3</v>
      </c>
      <c r="F78" s="63"/>
      <c r="G78" s="41"/>
      <c r="H78" s="41"/>
      <c r="I78" s="85"/>
      <c r="J78" s="85"/>
      <c r="L78" s="48"/>
      <c r="M78" s="48"/>
    </row>
    <row r="79" spans="3:13" ht="25.8">
      <c r="C79" s="56"/>
      <c r="D79" s="33" t="s">
        <v>18</v>
      </c>
      <c r="E79" s="33" t="s">
        <v>3</v>
      </c>
      <c r="F79" s="64"/>
      <c r="G79" s="43"/>
      <c r="H79" s="43"/>
      <c r="I79" s="44"/>
      <c r="J79" s="44"/>
      <c r="L79" s="43"/>
      <c r="M79" s="43"/>
    </row>
    <row r="80" spans="3:13" ht="25.8">
      <c r="C80" s="35"/>
      <c r="D80" s="33" t="s">
        <v>18</v>
      </c>
      <c r="E80" s="33" t="s">
        <v>3</v>
      </c>
      <c r="F80" s="50"/>
      <c r="G80" s="33"/>
      <c r="H80" s="33"/>
      <c r="I80" s="34"/>
      <c r="J80" s="34"/>
      <c r="L80" s="33"/>
      <c r="M80" s="33"/>
    </row>
    <row r="81" spans="3:13" ht="25.8">
      <c r="C81" s="35"/>
      <c r="D81" s="33" t="s">
        <v>18</v>
      </c>
      <c r="E81" s="33" t="s">
        <v>3</v>
      </c>
      <c r="F81" s="50"/>
      <c r="G81" s="33"/>
      <c r="H81" s="33"/>
      <c r="I81" s="38"/>
      <c r="J81" s="38"/>
      <c r="L81" s="33"/>
      <c r="M81" s="33"/>
    </row>
    <row r="82" spans="3:13" ht="25.8">
      <c r="C82" s="35"/>
      <c r="D82" s="33" t="s">
        <v>18</v>
      </c>
      <c r="E82" s="33" t="s">
        <v>3</v>
      </c>
      <c r="F82" s="50"/>
      <c r="G82" s="33"/>
      <c r="H82" s="33"/>
      <c r="I82" s="38"/>
      <c r="J82" s="38"/>
      <c r="L82" s="33"/>
      <c r="M82" s="33"/>
    </row>
    <row r="83" spans="3:13" ht="25.8">
      <c r="C83" s="35"/>
      <c r="D83" s="33" t="s">
        <v>18</v>
      </c>
      <c r="E83" s="33" t="s">
        <v>3</v>
      </c>
      <c r="F83" s="50"/>
      <c r="G83" s="33"/>
      <c r="H83" s="33"/>
      <c r="I83" s="38"/>
      <c r="J83" s="38"/>
      <c r="L83" s="33"/>
      <c r="M83" s="33"/>
    </row>
    <row r="84" spans="3:13" ht="25.8">
      <c r="C84" s="35"/>
      <c r="D84" s="33" t="s">
        <v>18</v>
      </c>
      <c r="E84" s="33" t="s">
        <v>3</v>
      </c>
      <c r="F84" s="50"/>
      <c r="G84" s="33"/>
      <c r="H84" s="33"/>
      <c r="I84" s="38"/>
      <c r="J84" s="38"/>
      <c r="L84" s="33"/>
      <c r="M84" s="33"/>
    </row>
    <row r="85" spans="3:13" ht="25.8">
      <c r="C85" s="35"/>
      <c r="D85" s="33" t="s">
        <v>18</v>
      </c>
      <c r="E85" s="33" t="s">
        <v>3</v>
      </c>
      <c r="F85" s="50"/>
      <c r="G85" s="33"/>
      <c r="H85" s="33"/>
      <c r="I85" s="34"/>
      <c r="J85" s="34"/>
      <c r="L85" s="33"/>
      <c r="M85" s="33"/>
    </row>
    <row r="86" spans="3:13" ht="25.8">
      <c r="C86" s="35"/>
      <c r="D86" s="33" t="s">
        <v>18</v>
      </c>
      <c r="E86" s="33" t="s">
        <v>3</v>
      </c>
      <c r="F86" s="50"/>
      <c r="G86" s="33"/>
      <c r="H86" s="33"/>
      <c r="I86" s="34"/>
      <c r="J86" s="34"/>
      <c r="L86" s="33"/>
      <c r="M86" s="33"/>
    </row>
    <row r="87" spans="3:13" ht="25.8">
      <c r="C87" s="35"/>
      <c r="D87" s="33" t="s">
        <v>18</v>
      </c>
      <c r="E87" s="33" t="s">
        <v>3</v>
      </c>
      <c r="F87" s="50"/>
      <c r="G87" s="33"/>
      <c r="H87" s="33"/>
      <c r="I87" s="34"/>
      <c r="J87" s="34"/>
      <c r="L87" s="33"/>
      <c r="M87" s="33"/>
    </row>
    <row r="88" spans="3:13" ht="25.8">
      <c r="C88" s="35"/>
      <c r="D88" s="33" t="s">
        <v>18</v>
      </c>
      <c r="E88" s="33" t="s">
        <v>3</v>
      </c>
      <c r="F88" s="50"/>
      <c r="G88" s="33"/>
      <c r="H88" s="33"/>
      <c r="I88" s="34"/>
      <c r="J88" s="34"/>
      <c r="L88" s="33"/>
      <c r="M88" s="33"/>
    </row>
    <row r="89" spans="3:13" ht="25.8">
      <c r="C89" s="35"/>
      <c r="D89" s="33" t="s">
        <v>18</v>
      </c>
      <c r="E89" s="33" t="s">
        <v>3</v>
      </c>
      <c r="F89" s="50"/>
      <c r="G89" s="33"/>
      <c r="H89" s="33"/>
      <c r="I89" s="34"/>
      <c r="J89" s="34"/>
      <c r="L89" s="33"/>
      <c r="M89" s="33"/>
    </row>
    <row r="90" spans="3:13" ht="25.8">
      <c r="C90" s="35"/>
      <c r="D90" s="33" t="s">
        <v>18</v>
      </c>
      <c r="E90" s="33" t="s">
        <v>3</v>
      </c>
      <c r="F90" s="50"/>
      <c r="G90" s="33"/>
      <c r="H90" s="33"/>
      <c r="I90" s="34"/>
      <c r="J90" s="34"/>
      <c r="L90" s="33"/>
      <c r="M90" s="33"/>
    </row>
    <row r="91" spans="3:13" ht="25.8">
      <c r="C91" s="35"/>
      <c r="D91" s="33" t="s">
        <v>18</v>
      </c>
      <c r="E91" s="33" t="s">
        <v>3</v>
      </c>
      <c r="F91" s="50"/>
      <c r="G91" s="33"/>
      <c r="H91" s="33"/>
      <c r="I91" s="34"/>
      <c r="J91" s="34"/>
      <c r="L91" s="33"/>
      <c r="M91" s="33"/>
    </row>
    <row r="92" spans="3:13" ht="25.8">
      <c r="C92" s="35"/>
      <c r="D92" s="33" t="s">
        <v>18</v>
      </c>
      <c r="E92" s="33" t="s">
        <v>3</v>
      </c>
      <c r="F92" s="50"/>
      <c r="G92" s="33"/>
      <c r="H92" s="33"/>
      <c r="I92" s="34"/>
      <c r="J92" s="34"/>
      <c r="L92" s="33"/>
      <c r="M92" s="33"/>
    </row>
    <row r="93" spans="3:13" ht="25.8">
      <c r="C93" s="35"/>
      <c r="D93" s="33" t="s">
        <v>18</v>
      </c>
      <c r="E93" s="33" t="s">
        <v>3</v>
      </c>
      <c r="F93" s="50"/>
      <c r="G93" s="33"/>
      <c r="H93" s="33"/>
      <c r="I93" s="34"/>
      <c r="J93" s="34"/>
      <c r="L93" s="33"/>
      <c r="M93" s="33"/>
    </row>
    <row r="94" spans="3:13" ht="25.8">
      <c r="C94" s="35"/>
      <c r="D94" s="33" t="s">
        <v>18</v>
      </c>
      <c r="E94" s="33" t="s">
        <v>3</v>
      </c>
      <c r="F94" s="50"/>
      <c r="G94" s="33"/>
      <c r="H94" s="33"/>
      <c r="I94" s="34"/>
      <c r="J94" s="34"/>
      <c r="L94" s="33"/>
      <c r="M94" s="33"/>
    </row>
    <row r="95" spans="3:13" ht="25.8">
      <c r="C95" s="35"/>
      <c r="D95" s="33" t="s">
        <v>18</v>
      </c>
      <c r="E95" s="33" t="s">
        <v>3</v>
      </c>
      <c r="F95" s="50"/>
      <c r="G95" s="33"/>
      <c r="H95" s="33"/>
      <c r="I95" s="34"/>
      <c r="J95" s="34"/>
      <c r="L95" s="33"/>
      <c r="M95" s="33"/>
    </row>
    <row r="96" spans="3:13" ht="25.8">
      <c r="C96" s="35"/>
      <c r="D96" s="33" t="s">
        <v>18</v>
      </c>
      <c r="E96" s="33" t="s">
        <v>3</v>
      </c>
      <c r="F96" s="50"/>
      <c r="G96" s="33"/>
      <c r="H96" s="33"/>
      <c r="I96" s="34"/>
      <c r="J96" s="34"/>
      <c r="L96" s="33"/>
      <c r="M96" s="33"/>
    </row>
    <row r="97" spans="3:13" ht="25.8">
      <c r="C97" s="35"/>
      <c r="D97" s="33" t="s">
        <v>18</v>
      </c>
      <c r="E97" s="33" t="s">
        <v>3</v>
      </c>
      <c r="F97" s="50"/>
      <c r="G97" s="33"/>
      <c r="H97" s="33"/>
      <c r="I97" s="34"/>
      <c r="J97" s="34"/>
      <c r="L97" s="33"/>
      <c r="M97" s="33"/>
    </row>
    <row r="98" spans="3:13" ht="25.8">
      <c r="C98" s="35"/>
      <c r="D98" s="33" t="s">
        <v>18</v>
      </c>
      <c r="E98" s="33" t="s">
        <v>3</v>
      </c>
      <c r="F98" s="50"/>
      <c r="G98" s="33"/>
      <c r="H98" s="33"/>
      <c r="I98" s="34"/>
      <c r="J98" s="34"/>
      <c r="L98" s="33"/>
      <c r="M98" s="33"/>
    </row>
    <row r="99" spans="3:13" ht="25.8">
      <c r="C99" s="35"/>
      <c r="D99" s="33" t="s">
        <v>18</v>
      </c>
      <c r="E99" s="33" t="s">
        <v>3</v>
      </c>
      <c r="F99" s="50"/>
      <c r="G99" s="33"/>
      <c r="H99" s="33"/>
      <c r="I99" s="34"/>
      <c r="J99" s="34"/>
      <c r="L99" s="33"/>
      <c r="M99" s="33"/>
    </row>
    <row r="100" spans="3:13" ht="25.8">
      <c r="C100" s="35"/>
      <c r="D100" s="33" t="s">
        <v>18</v>
      </c>
      <c r="E100" s="33" t="s">
        <v>3</v>
      </c>
      <c r="F100" s="50"/>
      <c r="G100" s="33"/>
      <c r="H100" s="33"/>
      <c r="I100" s="34"/>
      <c r="J100" s="34"/>
      <c r="L100" s="33"/>
      <c r="M100" s="33"/>
    </row>
    <row r="101" spans="3:13" ht="25.8">
      <c r="C101" s="35"/>
      <c r="D101" s="33" t="s">
        <v>18</v>
      </c>
      <c r="E101" s="33" t="s">
        <v>3</v>
      </c>
      <c r="F101" s="50"/>
      <c r="G101" s="33"/>
      <c r="H101" s="33"/>
      <c r="I101" s="34"/>
      <c r="J101" s="34"/>
      <c r="L101" s="33"/>
      <c r="M101" s="33"/>
    </row>
    <row r="102" spans="3:13" ht="25.8">
      <c r="C102" s="35"/>
      <c r="D102" s="33" t="s">
        <v>18</v>
      </c>
      <c r="E102" s="33" t="s">
        <v>3</v>
      </c>
      <c r="F102" s="50"/>
      <c r="G102" s="33"/>
      <c r="H102" s="33"/>
      <c r="I102" s="34"/>
      <c r="J102" s="34"/>
      <c r="L102" s="33"/>
      <c r="M102" s="33"/>
    </row>
    <row r="103" spans="3:13" ht="25.8">
      <c r="C103" s="35"/>
      <c r="D103" s="33" t="s">
        <v>18</v>
      </c>
      <c r="E103" s="33" t="s">
        <v>3</v>
      </c>
      <c r="F103" s="50"/>
      <c r="G103" s="33"/>
      <c r="H103" s="33"/>
      <c r="I103" s="34"/>
      <c r="J103" s="34"/>
      <c r="L103" s="33"/>
      <c r="M103" s="33"/>
    </row>
    <row r="104" spans="3:13" ht="25.8">
      <c r="C104" s="35"/>
      <c r="D104" s="33" t="s">
        <v>18</v>
      </c>
      <c r="E104" s="33" t="s">
        <v>3</v>
      </c>
      <c r="F104" s="50"/>
      <c r="G104" s="33"/>
      <c r="H104" s="33"/>
      <c r="I104" s="34"/>
      <c r="J104" s="34"/>
      <c r="L104" s="33"/>
      <c r="M104" s="33"/>
    </row>
    <row r="105" spans="3:13" ht="25.8">
      <c r="C105" s="35"/>
      <c r="D105" s="33" t="s">
        <v>18</v>
      </c>
      <c r="E105" s="33" t="s">
        <v>3</v>
      </c>
      <c r="F105" s="50"/>
      <c r="G105" s="33"/>
      <c r="H105" s="33"/>
      <c r="I105" s="34"/>
      <c r="J105" s="34"/>
      <c r="L105" s="33"/>
      <c r="M105" s="33"/>
    </row>
    <row r="106" spans="3:13" ht="25.8">
      <c r="C106" s="35"/>
      <c r="D106" s="33" t="s">
        <v>18</v>
      </c>
      <c r="E106" s="33" t="s">
        <v>3</v>
      </c>
      <c r="F106" s="50"/>
      <c r="G106" s="33"/>
      <c r="H106" s="33"/>
      <c r="I106" s="34"/>
      <c r="J106" s="34"/>
      <c r="L106" s="33"/>
      <c r="M106" s="33"/>
    </row>
    <row r="107" spans="3:13" ht="25.8">
      <c r="C107" s="41"/>
      <c r="D107" s="33" t="s">
        <v>18</v>
      </c>
      <c r="E107" s="33" t="s">
        <v>3</v>
      </c>
      <c r="F107" s="50"/>
      <c r="G107" s="33"/>
      <c r="H107" s="33"/>
      <c r="I107" s="34"/>
      <c r="J107" s="34"/>
      <c r="L107" s="33"/>
      <c r="M107" s="33"/>
    </row>
    <row r="108" spans="3:13" ht="25.8">
      <c r="C108" s="41"/>
      <c r="D108" s="33" t="s">
        <v>18</v>
      </c>
      <c r="E108" s="33" t="s">
        <v>3</v>
      </c>
      <c r="F108" s="50"/>
      <c r="G108" s="33"/>
      <c r="H108" s="33"/>
      <c r="I108" s="34"/>
      <c r="J108" s="34"/>
      <c r="L108" s="33"/>
      <c r="M108" s="33"/>
    </row>
    <row r="109" spans="3:13" ht="25.8">
      <c r="C109" s="41"/>
      <c r="D109" s="33" t="s">
        <v>18</v>
      </c>
      <c r="E109" s="33" t="s">
        <v>3</v>
      </c>
      <c r="F109" s="50"/>
      <c r="G109" s="33"/>
      <c r="H109" s="33"/>
      <c r="I109" s="34"/>
      <c r="J109" s="34"/>
      <c r="L109" s="33"/>
      <c r="M109" s="33"/>
    </row>
    <row r="110" spans="3:13" ht="25.8">
      <c r="C110" s="41"/>
      <c r="D110" s="33" t="s">
        <v>18</v>
      </c>
      <c r="E110" s="33" t="s">
        <v>3</v>
      </c>
      <c r="F110" s="50"/>
      <c r="G110" s="33"/>
      <c r="H110" s="33"/>
      <c r="I110" s="34"/>
      <c r="J110" s="34"/>
      <c r="L110" s="33"/>
      <c r="M110" s="33"/>
    </row>
    <row r="111" spans="3:13" ht="25.8">
      <c r="C111" s="41"/>
      <c r="D111" s="33" t="s">
        <v>18</v>
      </c>
      <c r="E111" s="33" t="s">
        <v>3</v>
      </c>
      <c r="F111" s="50"/>
      <c r="G111" s="33"/>
      <c r="H111" s="33"/>
      <c r="I111" s="34"/>
      <c r="J111" s="34"/>
      <c r="L111" s="33"/>
      <c r="M111" s="33"/>
    </row>
    <row r="112" spans="3:13" ht="25.8">
      <c r="C112" s="41"/>
      <c r="D112" s="33" t="s">
        <v>18</v>
      </c>
      <c r="E112" s="33" t="s">
        <v>3</v>
      </c>
      <c r="F112" s="63"/>
      <c r="G112" s="41"/>
      <c r="H112" s="41"/>
      <c r="I112" s="38"/>
      <c r="J112" s="38"/>
      <c r="L112" s="33"/>
      <c r="M112" s="33"/>
    </row>
    <row r="113" spans="3:13" ht="25.8">
      <c r="C113" s="41"/>
      <c r="D113" s="33" t="s">
        <v>18</v>
      </c>
      <c r="E113" s="33" t="s">
        <v>3</v>
      </c>
      <c r="F113" s="63"/>
      <c r="G113" s="41"/>
      <c r="H113" s="41"/>
      <c r="I113" s="38"/>
      <c r="J113" s="38"/>
      <c r="L113" s="33"/>
      <c r="M113" s="33"/>
    </row>
    <row r="114" spans="3:13" ht="25.8">
      <c r="C114" s="2"/>
      <c r="D114" s="33" t="s">
        <v>18</v>
      </c>
      <c r="E114" s="33" t="s">
        <v>3</v>
      </c>
      <c r="F114" s="65"/>
      <c r="G114" s="2"/>
      <c r="H114" s="2"/>
      <c r="I114" s="2"/>
      <c r="J114" s="2"/>
      <c r="L114" s="2"/>
      <c r="M114" s="2"/>
    </row>
    <row r="115" spans="3:13" ht="25.8">
      <c r="C115" s="2"/>
      <c r="D115" s="33" t="s">
        <v>18</v>
      </c>
      <c r="E115" s="33" t="s">
        <v>3</v>
      </c>
      <c r="F115" s="65"/>
      <c r="G115" s="2"/>
      <c r="H115" s="2"/>
      <c r="I115" s="2"/>
      <c r="J115" s="2"/>
      <c r="L115" s="2"/>
      <c r="M115" s="2"/>
    </row>
    <row r="116" spans="3:13" ht="25.8">
      <c r="C116" s="2"/>
      <c r="D116" s="33" t="s">
        <v>18</v>
      </c>
      <c r="E116" s="33" t="s">
        <v>3</v>
      </c>
      <c r="F116" s="65"/>
      <c r="G116" s="2"/>
      <c r="H116" s="2"/>
      <c r="I116" s="2"/>
      <c r="J116" s="2"/>
      <c r="L116" s="2"/>
      <c r="M116" s="2"/>
    </row>
    <row r="117" spans="3:13" ht="25.8">
      <c r="C117" s="2"/>
      <c r="D117" s="33" t="s">
        <v>18</v>
      </c>
      <c r="E117" s="33" t="s">
        <v>3</v>
      </c>
      <c r="F117" s="65"/>
      <c r="G117" s="2"/>
      <c r="H117" s="2"/>
      <c r="I117" s="2"/>
      <c r="J117" s="2"/>
      <c r="L117" s="2"/>
      <c r="M117" s="2"/>
    </row>
    <row r="118" spans="3:13" ht="25.8">
      <c r="C118" s="2"/>
      <c r="D118" s="33" t="s">
        <v>18</v>
      </c>
      <c r="E118" s="33" t="s">
        <v>3</v>
      </c>
      <c r="F118" s="65"/>
      <c r="G118" s="2"/>
      <c r="H118" s="2"/>
      <c r="I118" s="2"/>
      <c r="J118" s="2"/>
      <c r="L118" s="2"/>
      <c r="M118" s="2"/>
    </row>
    <row r="119" spans="3:13" ht="25.8">
      <c r="C119" s="2"/>
      <c r="D119" s="33" t="s">
        <v>18</v>
      </c>
      <c r="E119" s="33" t="s">
        <v>3</v>
      </c>
      <c r="F119" s="65"/>
      <c r="G119" s="2"/>
      <c r="H119" s="2"/>
      <c r="I119" s="2"/>
      <c r="J119" s="2"/>
      <c r="L119" s="2"/>
      <c r="M119" s="2"/>
    </row>
    <row r="120" spans="3:13" ht="25.8">
      <c r="C120" s="2"/>
      <c r="D120" s="33" t="s">
        <v>18</v>
      </c>
      <c r="E120" s="33" t="s">
        <v>3</v>
      </c>
      <c r="F120" s="65"/>
      <c r="G120" s="2"/>
      <c r="H120" s="2"/>
      <c r="I120" s="2"/>
      <c r="J120" s="2"/>
      <c r="L120" s="2"/>
      <c r="M120" s="2"/>
    </row>
    <row r="121" spans="3:13" ht="25.8">
      <c r="C121" s="2"/>
      <c r="D121" s="33" t="s">
        <v>18</v>
      </c>
      <c r="E121" s="33" t="s">
        <v>3</v>
      </c>
      <c r="F121" s="65"/>
      <c r="G121" s="2"/>
      <c r="H121" s="2"/>
      <c r="I121" s="2"/>
      <c r="J121" s="2"/>
      <c r="L121" s="2"/>
      <c r="M121" s="2"/>
    </row>
    <row r="122" spans="3:13" ht="25.8">
      <c r="C122" s="2"/>
      <c r="D122" s="33" t="s">
        <v>18</v>
      </c>
      <c r="E122" s="33" t="s">
        <v>3</v>
      </c>
      <c r="F122" s="65"/>
      <c r="G122" s="2"/>
      <c r="H122" s="2"/>
      <c r="I122" s="2"/>
      <c r="J122" s="2"/>
      <c r="L122" s="2"/>
      <c r="M122" s="2"/>
    </row>
    <row r="123" spans="3:13" ht="25.8">
      <c r="C123" s="2"/>
      <c r="D123" s="33" t="s">
        <v>18</v>
      </c>
      <c r="E123" s="33" t="s">
        <v>3</v>
      </c>
      <c r="F123" s="65"/>
      <c r="G123" s="2"/>
      <c r="H123" s="2"/>
      <c r="I123" s="2"/>
      <c r="J123" s="2"/>
      <c r="L123" s="2"/>
      <c r="M123" s="2"/>
    </row>
    <row r="124" spans="3:13" ht="25.8">
      <c r="C124" s="2"/>
      <c r="D124" s="33" t="s">
        <v>18</v>
      </c>
      <c r="E124" s="33" t="s">
        <v>3</v>
      </c>
      <c r="F124" s="65"/>
      <c r="G124" s="2"/>
      <c r="H124" s="2"/>
      <c r="I124" s="2"/>
      <c r="J124" s="2"/>
      <c r="L124" s="2"/>
      <c r="M124" s="2"/>
    </row>
    <row r="125" spans="3:13" ht="25.8">
      <c r="C125" s="2"/>
      <c r="D125" s="33" t="s">
        <v>18</v>
      </c>
      <c r="E125" s="33" t="s">
        <v>3</v>
      </c>
      <c r="F125" s="65"/>
      <c r="G125" s="2"/>
      <c r="H125" s="2"/>
      <c r="I125" s="2"/>
      <c r="J125" s="2"/>
      <c r="L125" s="2"/>
      <c r="M125" s="2"/>
    </row>
    <row r="126" spans="3:13" ht="25.8">
      <c r="C126" s="2"/>
      <c r="D126" s="33" t="s">
        <v>18</v>
      </c>
      <c r="E126" s="33" t="s">
        <v>3</v>
      </c>
      <c r="F126" s="65"/>
      <c r="G126" s="2"/>
      <c r="H126" s="2"/>
      <c r="I126" s="2"/>
      <c r="J126" s="2"/>
      <c r="L126" s="2"/>
      <c r="M126" s="2"/>
    </row>
    <row r="127" spans="3:13" ht="25.8">
      <c r="C127" s="2"/>
      <c r="D127" s="33" t="s">
        <v>18</v>
      </c>
      <c r="E127" s="33" t="s">
        <v>3</v>
      </c>
      <c r="F127" s="65"/>
      <c r="G127" s="2"/>
      <c r="H127" s="2"/>
      <c r="I127" s="2"/>
      <c r="J127" s="2"/>
      <c r="L127" s="2"/>
      <c r="M127" s="2"/>
    </row>
    <row r="128" spans="3:13" ht="25.8">
      <c r="C128" s="2"/>
      <c r="D128" s="33" t="s">
        <v>18</v>
      </c>
      <c r="E128" s="33" t="s">
        <v>3</v>
      </c>
      <c r="F128" s="65"/>
      <c r="G128" s="2"/>
      <c r="H128" s="2"/>
      <c r="I128" s="2"/>
      <c r="J128" s="2"/>
      <c r="L128" s="2"/>
      <c r="M128" s="2"/>
    </row>
    <row r="129" spans="3:13" ht="25.8">
      <c r="C129" s="2"/>
      <c r="D129" s="33" t="s">
        <v>18</v>
      </c>
      <c r="E129" s="33" t="s">
        <v>3</v>
      </c>
      <c r="F129" s="65"/>
      <c r="G129" s="2"/>
      <c r="H129" s="2"/>
      <c r="I129" s="2"/>
      <c r="J129" s="2"/>
      <c r="L129" s="2"/>
      <c r="M129" s="2"/>
    </row>
    <row r="130" spans="3:13" ht="25.8">
      <c r="C130" s="2"/>
      <c r="D130" s="33" t="s">
        <v>18</v>
      </c>
      <c r="E130" s="33" t="s">
        <v>3</v>
      </c>
      <c r="F130" s="65"/>
      <c r="G130" s="2"/>
      <c r="H130" s="2"/>
      <c r="I130" s="2"/>
      <c r="J130" s="2"/>
      <c r="L130" s="2"/>
      <c r="M130" s="2"/>
    </row>
    <row r="131" spans="3:13" ht="25.8">
      <c r="C131" s="2"/>
      <c r="D131" s="33" t="s">
        <v>18</v>
      </c>
      <c r="E131" s="33" t="s">
        <v>3</v>
      </c>
      <c r="F131" s="65"/>
      <c r="G131" s="2"/>
      <c r="H131" s="2"/>
      <c r="I131" s="2"/>
      <c r="J131" s="2"/>
      <c r="L131" s="2"/>
      <c r="M131" s="2"/>
    </row>
    <row r="132" spans="3:13" ht="25.8">
      <c r="C132" s="2"/>
      <c r="D132" s="33" t="s">
        <v>18</v>
      </c>
      <c r="E132" s="33" t="s">
        <v>3</v>
      </c>
      <c r="F132" s="65"/>
      <c r="G132" s="2"/>
      <c r="H132" s="2"/>
      <c r="I132" s="2"/>
      <c r="J132" s="2"/>
      <c r="L132" s="2"/>
      <c r="M132" s="2"/>
    </row>
    <row r="133" spans="3:13" ht="25.8">
      <c r="C133" s="2"/>
      <c r="D133" s="33" t="s">
        <v>18</v>
      </c>
      <c r="E133" s="33" t="s">
        <v>3</v>
      </c>
      <c r="F133" s="65"/>
      <c r="G133" s="2"/>
      <c r="H133" s="2"/>
      <c r="I133" s="2"/>
      <c r="J133" s="2"/>
      <c r="L133" s="2"/>
      <c r="M133" s="2"/>
    </row>
    <row r="134" spans="3:13" ht="25.8">
      <c r="C134" s="2"/>
      <c r="D134" s="33" t="s">
        <v>18</v>
      </c>
      <c r="E134" s="33" t="s">
        <v>3</v>
      </c>
      <c r="F134" s="65"/>
      <c r="G134" s="2"/>
      <c r="H134" s="2"/>
      <c r="I134" s="2"/>
      <c r="J134" s="2"/>
      <c r="L134" s="2"/>
      <c r="M134" s="2"/>
    </row>
    <row r="135" spans="3:13" ht="25.8">
      <c r="C135" s="2"/>
      <c r="D135" s="33" t="s">
        <v>18</v>
      </c>
      <c r="E135" s="33" t="s">
        <v>3</v>
      </c>
      <c r="F135" s="65"/>
      <c r="G135" s="2"/>
      <c r="H135" s="2"/>
      <c r="I135" s="2"/>
      <c r="J135" s="2"/>
      <c r="L135" s="2"/>
      <c r="M135" s="2"/>
    </row>
    <row r="136" spans="3:13" ht="25.8">
      <c r="C136" s="2"/>
      <c r="D136" s="33" t="s">
        <v>18</v>
      </c>
      <c r="E136" s="33" t="s">
        <v>3</v>
      </c>
      <c r="F136" s="65"/>
      <c r="G136" s="2"/>
      <c r="H136" s="2"/>
      <c r="I136" s="2"/>
      <c r="J136" s="2"/>
      <c r="L136" s="2"/>
      <c r="M136" s="2"/>
    </row>
    <row r="137" spans="3:13" ht="25.8">
      <c r="C137" s="2"/>
      <c r="D137" s="33" t="s">
        <v>18</v>
      </c>
      <c r="E137" s="33" t="s">
        <v>3</v>
      </c>
      <c r="F137" s="65"/>
      <c r="G137" s="2"/>
      <c r="H137" s="2"/>
      <c r="I137" s="2"/>
      <c r="J137" s="2"/>
      <c r="L137" s="2"/>
      <c r="M137" s="2"/>
    </row>
    <row r="138" spans="3:13" ht="25.8">
      <c r="C138" s="2"/>
      <c r="D138" s="33" t="s">
        <v>18</v>
      </c>
      <c r="E138" s="33" t="s">
        <v>3</v>
      </c>
      <c r="F138" s="65"/>
      <c r="G138" s="2"/>
      <c r="H138" s="2"/>
      <c r="I138" s="2"/>
      <c r="J138" s="2"/>
      <c r="L138" s="2"/>
      <c r="M138" s="2"/>
    </row>
    <row r="139" spans="3:13" ht="25.8">
      <c r="C139" s="2"/>
      <c r="D139" s="33" t="s">
        <v>18</v>
      </c>
      <c r="E139" s="33" t="s">
        <v>3</v>
      </c>
      <c r="F139" s="65"/>
      <c r="G139" s="2"/>
      <c r="H139" s="2"/>
      <c r="I139" s="2"/>
      <c r="J139" s="2"/>
      <c r="L139" s="2"/>
      <c r="M139" s="2"/>
    </row>
    <row r="140" spans="3:13" ht="25.8">
      <c r="C140" s="2"/>
      <c r="D140" s="33" t="s">
        <v>18</v>
      </c>
      <c r="E140" s="33" t="s">
        <v>3</v>
      </c>
      <c r="F140" s="65"/>
      <c r="G140" s="2"/>
      <c r="H140" s="2"/>
      <c r="I140" s="2"/>
      <c r="J140" s="2"/>
      <c r="L140" s="2"/>
      <c r="M140" s="2"/>
    </row>
    <row r="141" spans="3:13" ht="25.8">
      <c r="C141" s="2"/>
      <c r="D141" s="33" t="s">
        <v>18</v>
      </c>
      <c r="E141" s="33" t="s">
        <v>3</v>
      </c>
      <c r="F141" s="65"/>
      <c r="G141" s="2"/>
      <c r="H141" s="2"/>
      <c r="I141" s="2"/>
      <c r="J141" s="2"/>
      <c r="L141" s="2"/>
      <c r="M141" s="2"/>
    </row>
    <row r="142" spans="3:13" ht="25.8">
      <c r="C142" s="2"/>
      <c r="D142" s="33" t="s">
        <v>18</v>
      </c>
      <c r="E142" s="33" t="s">
        <v>3</v>
      </c>
      <c r="F142" s="65"/>
      <c r="G142" s="2"/>
      <c r="H142" s="2"/>
      <c r="I142" s="2"/>
      <c r="J142" s="2"/>
      <c r="L142" s="2"/>
      <c r="M142" s="2"/>
    </row>
    <row r="143" spans="3:13" ht="25.8">
      <c r="C143" s="2"/>
      <c r="D143" s="33" t="s">
        <v>18</v>
      </c>
      <c r="E143" s="33" t="s">
        <v>3</v>
      </c>
      <c r="F143" s="65"/>
      <c r="G143" s="2"/>
      <c r="H143" s="2"/>
      <c r="I143" s="2"/>
      <c r="J143" s="2"/>
      <c r="L143" s="2"/>
      <c r="M143" s="2"/>
    </row>
    <row r="144" spans="3:13" ht="25.8">
      <c r="C144" s="2"/>
      <c r="D144" s="33" t="s">
        <v>18</v>
      </c>
      <c r="E144" s="33" t="s">
        <v>3</v>
      </c>
      <c r="F144" s="65"/>
      <c r="G144" s="2"/>
      <c r="H144" s="2"/>
      <c r="I144" s="2"/>
      <c r="J144" s="2"/>
      <c r="L144" s="2"/>
      <c r="M144" s="2"/>
    </row>
    <row r="145" spans="3:13" ht="25.8">
      <c r="C145" s="2"/>
      <c r="D145" s="33" t="s">
        <v>18</v>
      </c>
      <c r="E145" s="33" t="s">
        <v>3</v>
      </c>
      <c r="F145" s="65"/>
      <c r="G145" s="2"/>
      <c r="H145" s="2"/>
      <c r="I145" s="2"/>
      <c r="J145" s="2"/>
      <c r="L145" s="2"/>
      <c r="M145" s="2"/>
    </row>
    <row r="146" spans="3:13" ht="25.8">
      <c r="C146" s="2"/>
      <c r="D146" s="33" t="s">
        <v>18</v>
      </c>
      <c r="E146" s="33" t="s">
        <v>3</v>
      </c>
      <c r="F146" s="65"/>
      <c r="G146" s="2"/>
      <c r="H146" s="2"/>
      <c r="I146" s="2"/>
      <c r="J146" s="2"/>
      <c r="L146" s="2"/>
      <c r="M146" s="2"/>
    </row>
    <row r="147" spans="3:13" ht="25.8">
      <c r="C147" s="2"/>
      <c r="D147" s="33" t="s">
        <v>18</v>
      </c>
      <c r="E147" s="33" t="s">
        <v>3</v>
      </c>
      <c r="F147" s="65"/>
      <c r="G147" s="2"/>
      <c r="H147" s="2"/>
      <c r="I147" s="2"/>
      <c r="J147" s="2"/>
      <c r="L147" s="2"/>
      <c r="M147" s="2"/>
    </row>
    <row r="148" spans="3:13" ht="25.8">
      <c r="C148" s="2"/>
      <c r="D148" s="33" t="s">
        <v>18</v>
      </c>
      <c r="E148" s="33" t="s">
        <v>3</v>
      </c>
      <c r="F148" s="65"/>
      <c r="G148" s="2"/>
      <c r="H148" s="2"/>
      <c r="I148" s="2"/>
      <c r="J148" s="2"/>
      <c r="L148" s="2"/>
      <c r="M148" s="2"/>
    </row>
    <row r="149" spans="3:13" ht="25.8">
      <c r="C149" s="2"/>
      <c r="D149" s="33" t="s">
        <v>18</v>
      </c>
      <c r="E149" s="33" t="s">
        <v>3</v>
      </c>
      <c r="F149" s="65"/>
      <c r="G149" s="2"/>
      <c r="H149" s="2"/>
      <c r="I149" s="2"/>
      <c r="J149" s="2"/>
      <c r="L149" s="2"/>
      <c r="M149" s="2"/>
    </row>
    <row r="150" spans="3:13" ht="25.8">
      <c r="C150" s="2"/>
      <c r="D150" s="33" t="s">
        <v>18</v>
      </c>
      <c r="E150" s="33" t="s">
        <v>3</v>
      </c>
      <c r="F150" s="65"/>
      <c r="G150" s="2"/>
      <c r="H150" s="2"/>
      <c r="I150" s="2"/>
      <c r="J150" s="2"/>
      <c r="L150" s="2"/>
      <c r="M150" s="2"/>
    </row>
    <row r="151" spans="3:13" ht="25.8">
      <c r="C151" s="2"/>
      <c r="D151" s="33" t="s">
        <v>18</v>
      </c>
      <c r="E151" s="33" t="s">
        <v>3</v>
      </c>
      <c r="F151" s="65"/>
      <c r="G151" s="2"/>
      <c r="H151" s="2"/>
      <c r="I151" s="2"/>
      <c r="J151" s="2"/>
      <c r="L151" s="2"/>
      <c r="M151" s="2"/>
    </row>
    <row r="152" spans="3:13" ht="25.8">
      <c r="C152" s="2"/>
      <c r="D152" s="33" t="s">
        <v>18</v>
      </c>
      <c r="E152" s="33" t="s">
        <v>3</v>
      </c>
      <c r="F152" s="65"/>
      <c r="G152" s="2"/>
      <c r="H152" s="2"/>
      <c r="I152" s="2"/>
      <c r="J152" s="2"/>
      <c r="L152" s="2"/>
      <c r="M152" s="2"/>
    </row>
    <row r="153" spans="3:13" ht="25.8">
      <c r="C153" s="2"/>
      <c r="D153" s="33" t="s">
        <v>18</v>
      </c>
      <c r="E153" s="33" t="s">
        <v>3</v>
      </c>
      <c r="F153" s="65"/>
      <c r="G153" s="2"/>
      <c r="H153" s="2"/>
      <c r="I153" s="2"/>
      <c r="J153" s="2"/>
      <c r="L153" s="2"/>
      <c r="M153" s="2"/>
    </row>
    <row r="154" spans="3:13" ht="25.8">
      <c r="C154" s="2"/>
      <c r="D154" s="33" t="s">
        <v>18</v>
      </c>
      <c r="E154" s="33" t="s">
        <v>3</v>
      </c>
      <c r="F154" s="65"/>
      <c r="G154" s="2"/>
      <c r="H154" s="2"/>
      <c r="I154" s="2"/>
      <c r="J154" s="2"/>
      <c r="L154" s="2"/>
      <c r="M154" s="2"/>
    </row>
    <row r="155" spans="3:13" ht="25.8">
      <c r="C155" s="2"/>
      <c r="D155" s="33" t="s">
        <v>18</v>
      </c>
      <c r="E155" s="33" t="s">
        <v>3</v>
      </c>
      <c r="F155" s="65"/>
      <c r="G155" s="2"/>
      <c r="H155" s="2"/>
      <c r="I155" s="2"/>
      <c r="J155" s="2"/>
      <c r="L155" s="2"/>
      <c r="M155" s="2"/>
    </row>
    <row r="156" spans="3:13" ht="25.8">
      <c r="C156" s="2"/>
      <c r="D156" s="33" t="s">
        <v>18</v>
      </c>
      <c r="E156" s="33" t="s">
        <v>3</v>
      </c>
      <c r="F156" s="65"/>
      <c r="G156" s="2"/>
      <c r="H156" s="2"/>
      <c r="I156" s="2"/>
      <c r="J156" s="2"/>
      <c r="L156" s="2"/>
      <c r="M156" s="2"/>
    </row>
    <row r="157" spans="3:13" ht="25.8">
      <c r="C157" s="2"/>
      <c r="D157" s="33" t="s">
        <v>18</v>
      </c>
      <c r="E157" s="33" t="s">
        <v>3</v>
      </c>
      <c r="F157" s="65"/>
      <c r="G157" s="2"/>
      <c r="H157" s="2"/>
      <c r="I157" s="2"/>
      <c r="J157" s="2"/>
      <c r="L157" s="2"/>
      <c r="M157" s="2"/>
    </row>
    <row r="158" spans="3:13" ht="25.8">
      <c r="C158" s="2"/>
      <c r="D158" s="33" t="s">
        <v>18</v>
      </c>
      <c r="E158" s="33" t="s">
        <v>3</v>
      </c>
      <c r="F158" s="65"/>
      <c r="G158" s="2"/>
      <c r="H158" s="2"/>
      <c r="I158" s="2"/>
      <c r="J158" s="2"/>
      <c r="L158" s="2"/>
      <c r="M158" s="2"/>
    </row>
    <row r="159" spans="3:13" ht="25.8">
      <c r="C159" s="2"/>
      <c r="D159" s="33" t="s">
        <v>18</v>
      </c>
      <c r="E159" s="33" t="s">
        <v>3</v>
      </c>
      <c r="F159" s="65"/>
      <c r="G159" s="2"/>
      <c r="H159" s="2"/>
      <c r="I159" s="2"/>
      <c r="J159" s="2"/>
      <c r="L159" s="2"/>
      <c r="M159" s="2"/>
    </row>
    <row r="160" spans="3:13" ht="25.8">
      <c r="C160" s="2"/>
      <c r="D160" s="33" t="s">
        <v>18</v>
      </c>
      <c r="E160" s="33" t="s">
        <v>3</v>
      </c>
      <c r="F160" s="65"/>
      <c r="G160" s="2"/>
      <c r="H160" s="2"/>
      <c r="I160" s="2"/>
      <c r="J160" s="2"/>
      <c r="L160" s="2"/>
      <c r="M160" s="2"/>
    </row>
    <row r="161" spans="3:13" ht="25.8">
      <c r="C161" s="2"/>
      <c r="D161" s="33" t="s">
        <v>18</v>
      </c>
      <c r="E161" s="33" t="s">
        <v>3</v>
      </c>
      <c r="F161" s="65"/>
      <c r="G161" s="2"/>
      <c r="H161" s="2"/>
      <c r="I161" s="2"/>
      <c r="J161" s="2"/>
      <c r="L161" s="2"/>
      <c r="M161" s="2"/>
    </row>
    <row r="162" spans="3:13" ht="25.8">
      <c r="C162" s="2"/>
      <c r="D162" s="33" t="s">
        <v>18</v>
      </c>
      <c r="E162" s="33" t="s">
        <v>3</v>
      </c>
      <c r="F162" s="65"/>
      <c r="G162" s="2"/>
      <c r="H162" s="2"/>
      <c r="I162" s="2"/>
      <c r="J162" s="2"/>
      <c r="L162" s="2"/>
      <c r="M162" s="2"/>
    </row>
    <row r="163" spans="3:13" ht="25.8">
      <c r="C163" s="2"/>
      <c r="D163" s="33" t="s">
        <v>18</v>
      </c>
      <c r="E163" s="33" t="s">
        <v>3</v>
      </c>
      <c r="F163" s="65"/>
      <c r="G163" s="2"/>
      <c r="H163" s="2"/>
      <c r="I163" s="2"/>
      <c r="J163" s="2"/>
      <c r="L163" s="2"/>
      <c r="M163" s="2"/>
    </row>
    <row r="164" spans="3:13" ht="25.8">
      <c r="C164" s="2"/>
      <c r="D164" s="33" t="s">
        <v>18</v>
      </c>
      <c r="E164" s="33" t="s">
        <v>3</v>
      </c>
      <c r="F164" s="65"/>
      <c r="G164" s="2"/>
      <c r="H164" s="2"/>
      <c r="I164" s="2"/>
      <c r="J164" s="2"/>
      <c r="L164" s="2"/>
      <c r="M164" s="2"/>
    </row>
    <row r="165" spans="3:13" ht="25.8">
      <c r="C165" s="2"/>
      <c r="D165" s="33" t="s">
        <v>18</v>
      </c>
      <c r="E165" s="33" t="s">
        <v>3</v>
      </c>
      <c r="F165" s="65"/>
      <c r="G165" s="2"/>
      <c r="H165" s="2"/>
      <c r="I165" s="2"/>
      <c r="J165" s="2"/>
      <c r="L165" s="2"/>
      <c r="M165" s="2"/>
    </row>
    <row r="166" spans="3:13" ht="25.8">
      <c r="C166" s="2"/>
      <c r="D166" s="33" t="s">
        <v>18</v>
      </c>
      <c r="E166" s="33" t="s">
        <v>3</v>
      </c>
      <c r="F166" s="65"/>
      <c r="G166" s="2"/>
      <c r="H166" s="2"/>
      <c r="I166" s="2"/>
      <c r="J166" s="2"/>
      <c r="L166" s="2"/>
      <c r="M166" s="2"/>
    </row>
    <row r="167" spans="3:13" ht="25.8">
      <c r="C167" s="2"/>
      <c r="D167" s="33" t="s">
        <v>18</v>
      </c>
      <c r="E167" s="33" t="s">
        <v>3</v>
      </c>
      <c r="F167" s="65"/>
      <c r="G167" s="2"/>
      <c r="H167" s="2"/>
      <c r="I167" s="2"/>
      <c r="J167" s="2"/>
      <c r="L167" s="2"/>
      <c r="M167" s="2"/>
    </row>
    <row r="168" spans="3:13" ht="25.8">
      <c r="C168" s="2"/>
      <c r="D168" s="33" t="s">
        <v>18</v>
      </c>
      <c r="E168" s="33" t="s">
        <v>3</v>
      </c>
      <c r="F168" s="65"/>
      <c r="G168" s="2"/>
      <c r="H168" s="2"/>
      <c r="I168" s="2"/>
      <c r="J168" s="2"/>
      <c r="L168" s="2"/>
      <c r="M168" s="2"/>
    </row>
    <row r="169" spans="3:13" ht="25.8">
      <c r="C169" s="2"/>
      <c r="D169" s="33" t="s">
        <v>18</v>
      </c>
      <c r="E169" s="33" t="s">
        <v>3</v>
      </c>
      <c r="F169" s="65"/>
      <c r="G169" s="2"/>
      <c r="H169" s="2"/>
      <c r="I169" s="2"/>
      <c r="J169" s="2"/>
      <c r="L169" s="2"/>
      <c r="M169" s="2"/>
    </row>
    <row r="170" spans="3:13" ht="25.8">
      <c r="C170" s="2"/>
      <c r="D170" s="33" t="s">
        <v>18</v>
      </c>
      <c r="E170" s="33" t="s">
        <v>3</v>
      </c>
      <c r="F170" s="65"/>
      <c r="G170" s="2"/>
      <c r="H170" s="2"/>
      <c r="I170" s="2"/>
      <c r="J170" s="2"/>
      <c r="L170" s="2"/>
      <c r="M170" s="2"/>
    </row>
    <row r="171" spans="3:13" ht="25.8">
      <c r="C171" s="2"/>
      <c r="D171" s="33" t="s">
        <v>18</v>
      </c>
      <c r="E171" s="33" t="s">
        <v>3</v>
      </c>
      <c r="F171" s="65"/>
      <c r="G171" s="2"/>
      <c r="H171" s="2"/>
      <c r="I171" s="2"/>
      <c r="J171" s="2"/>
      <c r="L171" s="2"/>
      <c r="M171" s="2"/>
    </row>
    <row r="172" spans="3:13" ht="25.8">
      <c r="C172" s="2"/>
      <c r="D172" s="33" t="s">
        <v>18</v>
      </c>
      <c r="E172" s="33" t="s">
        <v>3</v>
      </c>
      <c r="F172" s="65"/>
      <c r="G172" s="2"/>
      <c r="H172" s="2"/>
      <c r="I172" s="2"/>
      <c r="J172" s="2"/>
      <c r="L172" s="2"/>
      <c r="M172" s="2"/>
    </row>
    <row r="173" spans="3:13" ht="25.8">
      <c r="C173" s="2"/>
      <c r="D173" s="33" t="s">
        <v>18</v>
      </c>
      <c r="E173" s="33" t="s">
        <v>3</v>
      </c>
      <c r="F173" s="65"/>
      <c r="G173" s="2"/>
      <c r="H173" s="2"/>
      <c r="I173" s="2"/>
      <c r="J173" s="2"/>
      <c r="L173" s="2"/>
      <c r="M173" s="2"/>
    </row>
    <row r="174" spans="3:13" ht="25.8">
      <c r="C174" s="2"/>
      <c r="D174" s="33" t="s">
        <v>18</v>
      </c>
      <c r="E174" s="33" t="s">
        <v>3</v>
      </c>
      <c r="F174" s="65"/>
      <c r="G174" s="2"/>
      <c r="H174" s="2"/>
      <c r="I174" s="2"/>
      <c r="J174" s="2"/>
      <c r="L174" s="2"/>
      <c r="M174" s="2"/>
    </row>
    <row r="175" spans="3:13" ht="25.8">
      <c r="C175" s="2"/>
      <c r="D175" s="33" t="s">
        <v>18</v>
      </c>
      <c r="E175" s="33" t="s">
        <v>3</v>
      </c>
      <c r="F175" s="65"/>
      <c r="G175" s="2"/>
      <c r="H175" s="2"/>
      <c r="I175" s="2"/>
      <c r="J175" s="2"/>
      <c r="L175" s="2"/>
      <c r="M175" s="2"/>
    </row>
    <row r="176" spans="3:13" ht="25.8">
      <c r="C176" s="2"/>
      <c r="D176" s="33" t="s">
        <v>18</v>
      </c>
      <c r="E176" s="33" t="s">
        <v>3</v>
      </c>
      <c r="F176" s="65"/>
      <c r="G176" s="2"/>
      <c r="H176" s="2"/>
      <c r="I176" s="2"/>
      <c r="J176" s="2"/>
      <c r="L176" s="2"/>
      <c r="M176" s="2"/>
    </row>
    <row r="177" spans="3:13" ht="25.8">
      <c r="C177" s="2"/>
      <c r="D177" s="33" t="s">
        <v>18</v>
      </c>
      <c r="E177" s="33" t="s">
        <v>3</v>
      </c>
      <c r="F177" s="65"/>
      <c r="G177" s="2"/>
      <c r="H177" s="2"/>
      <c r="I177" s="2"/>
      <c r="J177" s="2"/>
      <c r="L177" s="2"/>
      <c r="M177" s="2"/>
    </row>
    <row r="178" spans="3:13" ht="25.8">
      <c r="C178" s="2"/>
      <c r="D178" s="33" t="s">
        <v>18</v>
      </c>
      <c r="E178" s="33" t="s">
        <v>3</v>
      </c>
      <c r="F178" s="65"/>
      <c r="G178" s="2"/>
      <c r="H178" s="2"/>
      <c r="I178" s="2"/>
      <c r="J178" s="2"/>
      <c r="L178" s="2"/>
      <c r="M178" s="2"/>
    </row>
    <row r="179" spans="3:13" ht="25.8">
      <c r="C179" s="2"/>
      <c r="D179" s="33" t="s">
        <v>18</v>
      </c>
      <c r="E179" s="33" t="s">
        <v>3</v>
      </c>
      <c r="F179" s="65"/>
      <c r="G179" s="2"/>
      <c r="H179" s="2"/>
      <c r="I179" s="2"/>
      <c r="J179" s="2"/>
      <c r="L179" s="2"/>
      <c r="M179" s="2"/>
    </row>
    <row r="180" spans="3:13" ht="25.8">
      <c r="C180" s="2"/>
      <c r="D180" s="33" t="s">
        <v>18</v>
      </c>
      <c r="E180" s="33" t="s">
        <v>3</v>
      </c>
      <c r="F180" s="65"/>
      <c r="G180" s="2"/>
      <c r="H180" s="2"/>
      <c r="I180" s="2"/>
      <c r="J180" s="2"/>
      <c r="L180" s="2"/>
      <c r="M180" s="2"/>
    </row>
    <row r="181" spans="3:13" ht="25.8">
      <c r="C181" s="2"/>
      <c r="D181" s="33" t="s">
        <v>18</v>
      </c>
      <c r="E181" s="33" t="s">
        <v>3</v>
      </c>
      <c r="F181" s="65"/>
      <c r="G181" s="2"/>
      <c r="H181" s="2"/>
      <c r="I181" s="2"/>
      <c r="J181" s="2"/>
      <c r="L181" s="2"/>
      <c r="M181" s="2"/>
    </row>
    <row r="182" spans="3:13" ht="25.8">
      <c r="C182" s="2"/>
      <c r="D182" s="33" t="s">
        <v>18</v>
      </c>
      <c r="E182" s="33" t="s">
        <v>3</v>
      </c>
      <c r="F182" s="65"/>
      <c r="G182" s="2"/>
      <c r="H182" s="2"/>
      <c r="I182" s="2"/>
      <c r="J182" s="2"/>
      <c r="L182" s="2"/>
      <c r="M182" s="2"/>
    </row>
    <row r="183" spans="3:13" ht="25.8">
      <c r="C183" s="2"/>
      <c r="D183" s="33" t="s">
        <v>18</v>
      </c>
      <c r="E183" s="33" t="s">
        <v>3</v>
      </c>
      <c r="F183" s="65"/>
      <c r="G183" s="2"/>
      <c r="H183" s="2"/>
      <c r="I183" s="2"/>
      <c r="J183" s="2"/>
      <c r="L183" s="2"/>
      <c r="M183" s="2"/>
    </row>
    <row r="184" spans="3:13" ht="25.8">
      <c r="C184" s="2"/>
      <c r="D184" s="33" t="s">
        <v>18</v>
      </c>
      <c r="E184" s="33" t="s">
        <v>3</v>
      </c>
      <c r="F184" s="65"/>
      <c r="G184" s="2"/>
      <c r="H184" s="2"/>
      <c r="I184" s="2"/>
      <c r="J184" s="2"/>
      <c r="L184" s="2"/>
      <c r="M184" s="2"/>
    </row>
    <row r="185" spans="3:13" ht="25.8">
      <c r="C185" s="2"/>
      <c r="D185" s="33" t="s">
        <v>18</v>
      </c>
      <c r="E185" s="33" t="s">
        <v>3</v>
      </c>
      <c r="F185" s="65"/>
      <c r="G185" s="2"/>
      <c r="H185" s="2"/>
      <c r="I185" s="2"/>
      <c r="J185" s="2"/>
      <c r="L185" s="2"/>
      <c r="M185" s="2"/>
    </row>
    <row r="186" spans="3:13" ht="25.8">
      <c r="C186" s="2"/>
      <c r="D186" s="33" t="s">
        <v>18</v>
      </c>
      <c r="E186" s="33" t="s">
        <v>3</v>
      </c>
      <c r="F186" s="65"/>
      <c r="G186" s="2"/>
      <c r="H186" s="2"/>
      <c r="I186" s="2"/>
      <c r="J186" s="2"/>
      <c r="L186" s="2"/>
      <c r="M186" s="2"/>
    </row>
    <row r="187" spans="3:13" ht="25.8">
      <c r="C187" s="2"/>
      <c r="D187" s="33" t="s">
        <v>18</v>
      </c>
      <c r="E187" s="33" t="s">
        <v>3</v>
      </c>
      <c r="F187" s="65"/>
      <c r="G187" s="2"/>
      <c r="H187" s="2"/>
      <c r="I187" s="2"/>
      <c r="J187" s="2"/>
      <c r="L187" s="2"/>
      <c r="M187" s="2"/>
    </row>
    <row r="188" spans="3:13" ht="25.8">
      <c r="C188" s="2"/>
      <c r="D188" s="33" t="s">
        <v>18</v>
      </c>
      <c r="E188" s="33" t="s">
        <v>3</v>
      </c>
      <c r="F188" s="65"/>
      <c r="G188" s="2"/>
      <c r="H188" s="2"/>
      <c r="I188" s="2"/>
      <c r="J188" s="2"/>
      <c r="L188" s="2"/>
      <c r="M188" s="2"/>
    </row>
    <row r="189" spans="3:13" ht="25.8">
      <c r="C189" s="2"/>
      <c r="D189" s="33" t="s">
        <v>18</v>
      </c>
      <c r="E189" s="33" t="s">
        <v>3</v>
      </c>
      <c r="F189" s="65"/>
      <c r="G189" s="2"/>
      <c r="H189" s="2"/>
      <c r="I189" s="2"/>
      <c r="J189" s="2"/>
      <c r="L189" s="2"/>
      <c r="M189" s="2"/>
    </row>
    <row r="190" spans="3:13" ht="25.8">
      <c r="C190" s="2"/>
      <c r="D190" s="33" t="s">
        <v>18</v>
      </c>
      <c r="E190" s="33" t="s">
        <v>3</v>
      </c>
      <c r="F190" s="65"/>
      <c r="G190" s="2"/>
      <c r="H190" s="2"/>
      <c r="I190" s="2"/>
      <c r="J190" s="2"/>
      <c r="L190" s="2"/>
      <c r="M190" s="2"/>
    </row>
    <row r="191" spans="3:13" ht="25.8">
      <c r="C191" s="2"/>
      <c r="D191" s="33" t="s">
        <v>18</v>
      </c>
      <c r="E191" s="33" t="s">
        <v>3</v>
      </c>
      <c r="F191" s="65"/>
      <c r="G191" s="2"/>
      <c r="H191" s="2"/>
      <c r="I191" s="2"/>
      <c r="J191" s="2"/>
      <c r="L191" s="2"/>
      <c r="M191" s="2"/>
    </row>
    <row r="192" spans="3:13" ht="25.8">
      <c r="C192" s="2"/>
      <c r="D192" s="33" t="s">
        <v>18</v>
      </c>
      <c r="E192" s="33" t="s">
        <v>3</v>
      </c>
      <c r="F192" s="65"/>
      <c r="G192" s="2"/>
      <c r="H192" s="2"/>
      <c r="I192" s="2"/>
      <c r="J192" s="2"/>
      <c r="L192" s="2"/>
      <c r="M192" s="2"/>
    </row>
    <row r="193" spans="3:13" ht="25.8">
      <c r="C193" s="2"/>
      <c r="D193" s="33" t="s">
        <v>18</v>
      </c>
      <c r="E193" s="33" t="s">
        <v>3</v>
      </c>
      <c r="F193" s="65"/>
      <c r="G193" s="2"/>
      <c r="H193" s="2"/>
      <c r="I193" s="2"/>
      <c r="J193" s="2"/>
      <c r="L193" s="2"/>
      <c r="M193" s="2"/>
    </row>
    <row r="194" spans="3:13" ht="25.8">
      <c r="C194" s="2"/>
      <c r="D194" s="33" t="s">
        <v>18</v>
      </c>
      <c r="E194" s="33" t="s">
        <v>3</v>
      </c>
      <c r="F194" s="65"/>
      <c r="G194" s="2"/>
      <c r="H194" s="2"/>
      <c r="I194" s="2"/>
      <c r="J194" s="2"/>
      <c r="L194" s="2"/>
      <c r="M194" s="2"/>
    </row>
    <row r="195" spans="3:13" ht="25.8">
      <c r="C195" s="2"/>
      <c r="D195" s="33" t="s">
        <v>18</v>
      </c>
      <c r="E195" s="33" t="s">
        <v>3</v>
      </c>
      <c r="F195" s="65"/>
      <c r="G195" s="2"/>
      <c r="H195" s="2"/>
      <c r="I195" s="2"/>
      <c r="J195" s="2"/>
      <c r="L195" s="2"/>
      <c r="M195" s="2"/>
    </row>
    <row r="196" spans="3:13" ht="25.8">
      <c r="C196" s="2"/>
      <c r="D196" s="33" t="s">
        <v>18</v>
      </c>
      <c r="E196" s="33" t="s">
        <v>3</v>
      </c>
      <c r="F196" s="65"/>
      <c r="G196" s="2"/>
      <c r="H196" s="2"/>
      <c r="I196" s="2"/>
      <c r="J196" s="2"/>
      <c r="L196" s="2"/>
      <c r="M196" s="2"/>
    </row>
    <row r="197" spans="3:13" ht="25.8">
      <c r="C197" s="2"/>
      <c r="D197" s="33" t="s">
        <v>18</v>
      </c>
      <c r="E197" s="33" t="s">
        <v>3</v>
      </c>
      <c r="F197" s="65"/>
      <c r="G197" s="2"/>
      <c r="H197" s="2"/>
      <c r="I197" s="2"/>
      <c r="J197" s="2"/>
      <c r="L197" s="2"/>
      <c r="M197" s="2"/>
    </row>
    <row r="198" spans="3:13" ht="25.8">
      <c r="C198" s="2"/>
      <c r="D198" s="33" t="s">
        <v>18</v>
      </c>
      <c r="E198" s="33" t="s">
        <v>3</v>
      </c>
      <c r="F198" s="65"/>
      <c r="G198" s="2"/>
      <c r="H198" s="2"/>
      <c r="I198" s="2"/>
      <c r="J198" s="2"/>
      <c r="L198" s="2"/>
      <c r="M198" s="2"/>
    </row>
    <row r="199" spans="3:13" ht="25.8">
      <c r="C199" s="2"/>
      <c r="D199" s="33" t="s">
        <v>18</v>
      </c>
      <c r="E199" s="33" t="s">
        <v>3</v>
      </c>
      <c r="F199" s="65"/>
      <c r="G199" s="2"/>
      <c r="H199" s="2"/>
      <c r="I199" s="2"/>
      <c r="J199" s="2"/>
      <c r="L199" s="2"/>
      <c r="M199" s="2"/>
    </row>
    <row r="200" spans="3:13" ht="25.8">
      <c r="C200" s="2"/>
      <c r="D200" s="33" t="s">
        <v>18</v>
      </c>
      <c r="E200" s="33" t="s">
        <v>3</v>
      </c>
      <c r="F200" s="65"/>
      <c r="G200" s="2"/>
      <c r="H200" s="2"/>
      <c r="I200" s="2"/>
      <c r="J200" s="2"/>
      <c r="L200" s="2"/>
      <c r="M200" s="2"/>
    </row>
    <row r="201" spans="3:13" ht="25.8">
      <c r="C201" s="2"/>
      <c r="D201" s="33" t="s">
        <v>18</v>
      </c>
      <c r="E201" s="33" t="s">
        <v>3</v>
      </c>
      <c r="F201" s="65"/>
      <c r="G201" s="2"/>
      <c r="H201" s="2"/>
      <c r="I201" s="2"/>
      <c r="J201" s="2"/>
      <c r="L201" s="2"/>
      <c r="M201" s="2"/>
    </row>
    <row r="202" spans="3:13" ht="25.8">
      <c r="C202" s="2"/>
      <c r="D202" s="33" t="s">
        <v>18</v>
      </c>
      <c r="E202" s="33" t="s">
        <v>3</v>
      </c>
      <c r="F202" s="65"/>
      <c r="G202" s="2"/>
      <c r="H202" s="2"/>
      <c r="I202" s="2"/>
      <c r="J202" s="2"/>
      <c r="L202" s="2"/>
      <c r="M202" s="2"/>
    </row>
    <row r="203" spans="3:13" ht="25.8">
      <c r="C203" s="2"/>
      <c r="D203" s="33" t="s">
        <v>18</v>
      </c>
      <c r="E203" s="33" t="s">
        <v>3</v>
      </c>
      <c r="F203" s="65"/>
      <c r="G203" s="2"/>
      <c r="H203" s="2"/>
      <c r="I203" s="2"/>
      <c r="J203" s="2"/>
      <c r="L203" s="2"/>
      <c r="M203" s="2"/>
    </row>
    <row r="204" spans="3:13" ht="25.8">
      <c r="C204" s="2"/>
      <c r="D204" s="33" t="s">
        <v>18</v>
      </c>
      <c r="E204" s="33" t="s">
        <v>3</v>
      </c>
      <c r="F204" s="65"/>
      <c r="G204" s="2"/>
      <c r="H204" s="2"/>
      <c r="I204" s="2"/>
      <c r="J204" s="2"/>
      <c r="L204" s="2"/>
      <c r="M204" s="2"/>
    </row>
    <row r="205" spans="3:13" ht="25.8">
      <c r="C205" s="2"/>
      <c r="D205" s="33" t="s">
        <v>18</v>
      </c>
      <c r="E205" s="33" t="s">
        <v>3</v>
      </c>
      <c r="F205" s="65"/>
      <c r="G205" s="2"/>
      <c r="H205" s="2"/>
      <c r="I205" s="2"/>
      <c r="J205" s="2"/>
      <c r="L205" s="2"/>
      <c r="M205" s="2"/>
    </row>
    <row r="206" spans="3:13" ht="25.8">
      <c r="C206" s="2"/>
      <c r="D206" s="33" t="s">
        <v>18</v>
      </c>
      <c r="E206" s="33" t="s">
        <v>3</v>
      </c>
      <c r="F206" s="65"/>
      <c r="G206" s="2"/>
      <c r="H206" s="2"/>
      <c r="I206" s="2"/>
      <c r="J206" s="2"/>
      <c r="L206" s="2"/>
      <c r="M206" s="2"/>
    </row>
    <row r="207" spans="3:13" ht="25.8">
      <c r="C207" s="2"/>
      <c r="D207" s="33" t="s">
        <v>18</v>
      </c>
      <c r="E207" s="33" t="s">
        <v>3</v>
      </c>
      <c r="F207" s="65"/>
      <c r="G207" s="2"/>
      <c r="H207" s="2"/>
      <c r="I207" s="2"/>
      <c r="J207" s="2"/>
      <c r="L207" s="2"/>
      <c r="M207" s="2"/>
    </row>
    <row r="208" spans="3:13" ht="25.8">
      <c r="C208" s="2"/>
      <c r="D208" s="33" t="s">
        <v>18</v>
      </c>
      <c r="E208" s="33" t="s">
        <v>3</v>
      </c>
      <c r="F208" s="65"/>
      <c r="G208" s="2"/>
      <c r="H208" s="2"/>
      <c r="I208" s="2"/>
      <c r="J208" s="2"/>
      <c r="L208" s="2"/>
      <c r="M208" s="2"/>
    </row>
    <row r="209" spans="3:13" ht="25.8">
      <c r="C209" s="2"/>
      <c r="D209" s="33" t="s">
        <v>18</v>
      </c>
      <c r="E209" s="33" t="s">
        <v>3</v>
      </c>
      <c r="F209" s="65"/>
      <c r="G209" s="2"/>
      <c r="H209" s="2"/>
      <c r="I209" s="2"/>
      <c r="J209" s="2"/>
      <c r="L209" s="2"/>
      <c r="M209" s="2"/>
    </row>
    <row r="210" spans="3:13" ht="25.8">
      <c r="C210" s="2"/>
      <c r="D210" s="33" t="s">
        <v>18</v>
      </c>
      <c r="E210" s="33" t="s">
        <v>3</v>
      </c>
      <c r="F210" s="65"/>
      <c r="G210" s="2"/>
      <c r="H210" s="2"/>
      <c r="I210" s="2"/>
      <c r="J210" s="2"/>
      <c r="L210" s="2"/>
      <c r="M210" s="2"/>
    </row>
    <row r="211" spans="3:13" ht="25.8">
      <c r="C211" s="2"/>
      <c r="D211" s="33" t="s">
        <v>18</v>
      </c>
      <c r="E211" s="33" t="s">
        <v>3</v>
      </c>
      <c r="F211" s="65"/>
      <c r="G211" s="2"/>
      <c r="H211" s="2"/>
      <c r="I211" s="2"/>
      <c r="J211" s="2"/>
      <c r="L211" s="2"/>
      <c r="M211" s="2"/>
    </row>
    <row r="212" spans="3:13" ht="25.8">
      <c r="C212" s="2"/>
      <c r="D212" s="33" t="s">
        <v>18</v>
      </c>
      <c r="E212" s="33" t="s">
        <v>3</v>
      </c>
      <c r="F212" s="65"/>
      <c r="G212" s="2"/>
      <c r="H212" s="2"/>
      <c r="I212" s="2"/>
      <c r="J212" s="2"/>
      <c r="L212" s="2"/>
      <c r="M212" s="2"/>
    </row>
    <row r="213" spans="3:13" ht="25.8">
      <c r="C213" s="2"/>
      <c r="D213" s="33" t="s">
        <v>18</v>
      </c>
      <c r="E213" s="33" t="s">
        <v>3</v>
      </c>
      <c r="F213" s="65"/>
      <c r="G213" s="2"/>
      <c r="H213" s="2"/>
      <c r="I213" s="2"/>
      <c r="J213" s="2"/>
      <c r="L213" s="2"/>
      <c r="M213" s="2"/>
    </row>
    <row r="214" spans="3:13" ht="25.8">
      <c r="C214" s="2"/>
      <c r="D214" s="33" t="s">
        <v>18</v>
      </c>
      <c r="E214" s="33" t="s">
        <v>3</v>
      </c>
      <c r="F214" s="65"/>
      <c r="G214" s="2"/>
      <c r="H214" s="2"/>
      <c r="I214" s="2"/>
      <c r="J214" s="2"/>
      <c r="L214" s="2"/>
      <c r="M214" s="2"/>
    </row>
    <row r="215" spans="3:13" ht="25.8">
      <c r="C215" s="2"/>
      <c r="D215" s="33" t="s">
        <v>18</v>
      </c>
      <c r="E215" s="33" t="s">
        <v>3</v>
      </c>
      <c r="F215" s="65"/>
      <c r="G215" s="2"/>
      <c r="H215" s="2"/>
      <c r="I215" s="2"/>
      <c r="J215" s="2"/>
      <c r="L215" s="2"/>
      <c r="M215" s="2"/>
    </row>
    <row r="216" spans="3:13" ht="25.8">
      <c r="C216" s="2"/>
      <c r="D216" s="33" t="s">
        <v>18</v>
      </c>
      <c r="E216" s="33" t="s">
        <v>3</v>
      </c>
      <c r="F216" s="65"/>
      <c r="G216" s="2"/>
      <c r="H216" s="2"/>
      <c r="I216" s="2"/>
      <c r="J216" s="2"/>
      <c r="L216" s="2"/>
      <c r="M216" s="2"/>
    </row>
    <row r="217" spans="3:13" ht="25.8">
      <c r="C217" s="2"/>
      <c r="D217" s="33" t="s">
        <v>18</v>
      </c>
      <c r="E217" s="33" t="s">
        <v>3</v>
      </c>
      <c r="F217" s="65"/>
      <c r="G217" s="2"/>
      <c r="H217" s="2"/>
      <c r="I217" s="2"/>
      <c r="J217" s="2"/>
      <c r="L217" s="2"/>
      <c r="M217" s="2"/>
    </row>
    <row r="218" spans="3:13" ht="25.8">
      <c r="C218" s="2"/>
      <c r="D218" s="33" t="s">
        <v>18</v>
      </c>
      <c r="E218" s="33" t="s">
        <v>3</v>
      </c>
      <c r="F218" s="65"/>
      <c r="G218" s="2"/>
      <c r="H218" s="2"/>
      <c r="I218" s="2"/>
      <c r="J218" s="2"/>
      <c r="L218" s="2"/>
      <c r="M218" s="2"/>
    </row>
    <row r="219" spans="3:13" ht="25.8">
      <c r="C219" s="2"/>
      <c r="D219" s="33" t="s">
        <v>18</v>
      </c>
      <c r="E219" s="33" t="s">
        <v>3</v>
      </c>
      <c r="F219" s="65"/>
      <c r="G219" s="2"/>
      <c r="H219" s="2"/>
      <c r="I219" s="2"/>
      <c r="J219" s="2"/>
      <c r="L219" s="2"/>
      <c r="M219" s="2"/>
    </row>
    <row r="220" spans="3:13" ht="25.8">
      <c r="C220" s="2"/>
      <c r="D220" s="33" t="s">
        <v>18</v>
      </c>
      <c r="E220" s="33" t="s">
        <v>3</v>
      </c>
      <c r="F220" s="65"/>
      <c r="G220" s="2"/>
      <c r="H220" s="2"/>
      <c r="I220" s="2"/>
      <c r="J220" s="2"/>
      <c r="L220" s="2"/>
      <c r="M220" s="2"/>
    </row>
    <row r="221" spans="3:13" ht="25.8">
      <c r="C221" s="2"/>
      <c r="D221" s="33" t="s">
        <v>18</v>
      </c>
      <c r="E221" s="33" t="s">
        <v>3</v>
      </c>
      <c r="F221" s="65"/>
      <c r="G221" s="2"/>
      <c r="H221" s="2"/>
      <c r="I221" s="2"/>
      <c r="J221" s="2"/>
      <c r="L221" s="2"/>
      <c r="M221" s="2"/>
    </row>
    <row r="222" spans="3:13" ht="25.8">
      <c r="C222" s="2"/>
      <c r="D222" s="33" t="s">
        <v>18</v>
      </c>
      <c r="E222" s="33" t="s">
        <v>3</v>
      </c>
      <c r="F222" s="65"/>
      <c r="G222" s="2"/>
      <c r="H222" s="2"/>
      <c r="I222" s="2"/>
      <c r="J222" s="2"/>
      <c r="L222" s="2"/>
      <c r="M222" s="2"/>
    </row>
    <row r="223" spans="3:13" ht="25.8">
      <c r="C223" s="2"/>
      <c r="D223" s="33" t="s">
        <v>18</v>
      </c>
      <c r="E223" s="33" t="s">
        <v>3</v>
      </c>
      <c r="F223" s="65"/>
      <c r="G223" s="2"/>
      <c r="H223" s="2"/>
      <c r="I223" s="2"/>
      <c r="J223" s="2"/>
      <c r="L223" s="2"/>
      <c r="M223" s="2"/>
    </row>
    <row r="224" spans="3:13" ht="25.8">
      <c r="C224" s="2"/>
      <c r="D224" s="33" t="s">
        <v>18</v>
      </c>
      <c r="E224" s="33" t="s">
        <v>3</v>
      </c>
      <c r="F224" s="65"/>
      <c r="G224" s="2"/>
      <c r="H224" s="2"/>
      <c r="I224" s="2"/>
      <c r="J224" s="2"/>
      <c r="L224" s="2"/>
      <c r="M224" s="2"/>
    </row>
    <row r="225" spans="3:13" ht="25.8">
      <c r="C225" s="2"/>
      <c r="D225" s="33" t="s">
        <v>18</v>
      </c>
      <c r="E225" s="33" t="s">
        <v>3</v>
      </c>
      <c r="F225" s="65"/>
      <c r="G225" s="2"/>
      <c r="H225" s="2"/>
      <c r="I225" s="2"/>
      <c r="J225" s="2"/>
      <c r="L225" s="2"/>
      <c r="M225" s="2"/>
    </row>
    <row r="226" spans="3:13" ht="25.8">
      <c r="C226" s="2"/>
      <c r="D226" s="33" t="s">
        <v>18</v>
      </c>
      <c r="E226" s="33" t="s">
        <v>3</v>
      </c>
      <c r="F226" s="65"/>
      <c r="G226" s="2"/>
      <c r="H226" s="2"/>
      <c r="I226" s="2"/>
      <c r="J226" s="2"/>
      <c r="L226" s="2"/>
      <c r="M226" s="2"/>
    </row>
    <row r="227" spans="3:13" ht="25.8">
      <c r="C227" s="2"/>
      <c r="D227" s="33" t="s">
        <v>18</v>
      </c>
      <c r="E227" s="33" t="s">
        <v>3</v>
      </c>
      <c r="F227" s="65"/>
      <c r="G227" s="2"/>
      <c r="H227" s="2"/>
      <c r="I227" s="2"/>
      <c r="J227" s="2"/>
      <c r="L227" s="2"/>
      <c r="M227" s="2"/>
    </row>
    <row r="228" spans="3:13" ht="25.8">
      <c r="C228" s="2"/>
      <c r="D228" s="33" t="s">
        <v>18</v>
      </c>
      <c r="E228" s="33" t="s">
        <v>3</v>
      </c>
      <c r="F228" s="65"/>
      <c r="G228" s="2"/>
      <c r="H228" s="2"/>
      <c r="I228" s="2"/>
      <c r="J228" s="2"/>
      <c r="L228" s="2"/>
      <c r="M228" s="2"/>
    </row>
    <row r="229" spans="3:13" ht="25.8">
      <c r="C229" s="2"/>
      <c r="D229" s="33" t="s">
        <v>18</v>
      </c>
      <c r="E229" s="33" t="s">
        <v>3</v>
      </c>
      <c r="F229" s="65"/>
      <c r="G229" s="2"/>
      <c r="H229" s="2"/>
      <c r="I229" s="2"/>
      <c r="J229" s="2"/>
      <c r="L229" s="2"/>
      <c r="M229" s="2"/>
    </row>
    <row r="230" spans="3:13" ht="25.8">
      <c r="C230" s="2"/>
      <c r="D230" s="33" t="s">
        <v>18</v>
      </c>
      <c r="E230" s="33" t="s">
        <v>3</v>
      </c>
      <c r="F230" s="65"/>
      <c r="G230" s="2"/>
      <c r="H230" s="2"/>
      <c r="I230" s="2"/>
      <c r="J230" s="2"/>
      <c r="L230" s="2"/>
      <c r="M230" s="2"/>
    </row>
    <row r="231" spans="3:13" ht="25.8">
      <c r="C231" s="2"/>
      <c r="D231" s="33" t="s">
        <v>18</v>
      </c>
      <c r="E231" s="33" t="s">
        <v>3</v>
      </c>
      <c r="F231" s="65"/>
      <c r="G231" s="2"/>
      <c r="H231" s="2"/>
      <c r="I231" s="2"/>
      <c r="J231" s="2"/>
      <c r="L231" s="2"/>
      <c r="M231" s="2"/>
    </row>
    <row r="232" spans="3:13" ht="25.8">
      <c r="C232" s="2"/>
      <c r="D232" s="33" t="s">
        <v>18</v>
      </c>
      <c r="E232" s="33" t="s">
        <v>3</v>
      </c>
      <c r="F232" s="65"/>
      <c r="G232" s="2"/>
      <c r="H232" s="2"/>
      <c r="I232" s="2"/>
      <c r="J232" s="2"/>
      <c r="L232" s="2"/>
      <c r="M232" s="2"/>
    </row>
    <row r="233" spans="3:13" ht="25.8">
      <c r="C233" s="2"/>
      <c r="D233" s="33" t="s">
        <v>18</v>
      </c>
      <c r="E233" s="33" t="s">
        <v>3</v>
      </c>
      <c r="F233" s="65"/>
      <c r="G233" s="2"/>
      <c r="H233" s="2"/>
      <c r="I233" s="2"/>
      <c r="J233" s="2"/>
      <c r="L233" s="2"/>
      <c r="M233" s="2"/>
    </row>
    <row r="234" spans="3:13" ht="25.8">
      <c r="C234" s="2"/>
      <c r="D234" s="33" t="s">
        <v>18</v>
      </c>
      <c r="E234" s="33" t="s">
        <v>3</v>
      </c>
      <c r="F234" s="65"/>
      <c r="G234" s="2"/>
      <c r="H234" s="2"/>
      <c r="I234" s="2"/>
      <c r="J234" s="2"/>
      <c r="L234" s="2"/>
      <c r="M234" s="2"/>
    </row>
    <row r="235" spans="3:13" ht="25.8">
      <c r="C235" s="2"/>
      <c r="D235" s="33" t="s">
        <v>18</v>
      </c>
      <c r="E235" s="33" t="s">
        <v>3</v>
      </c>
      <c r="F235" s="65"/>
      <c r="G235" s="2"/>
      <c r="H235" s="2"/>
      <c r="I235" s="2"/>
      <c r="J235" s="2"/>
      <c r="L235" s="2"/>
      <c r="M235" s="2"/>
    </row>
    <row r="236" spans="3:13" ht="25.8">
      <c r="C236" s="2"/>
      <c r="D236" s="33" t="s">
        <v>18</v>
      </c>
      <c r="E236" s="33" t="s">
        <v>3</v>
      </c>
      <c r="F236" s="65"/>
      <c r="G236" s="2"/>
      <c r="H236" s="2"/>
      <c r="I236" s="2"/>
      <c r="J236" s="2"/>
      <c r="L236" s="2"/>
      <c r="M236" s="2"/>
    </row>
    <row r="237" spans="3:13" ht="25.8">
      <c r="C237" s="2"/>
      <c r="D237" s="33" t="s">
        <v>18</v>
      </c>
      <c r="E237" s="33" t="s">
        <v>3</v>
      </c>
      <c r="F237" s="65"/>
      <c r="G237" s="2"/>
      <c r="H237" s="2"/>
      <c r="I237" s="2"/>
      <c r="J237" s="2"/>
      <c r="L237" s="2"/>
      <c r="M237" s="2"/>
    </row>
    <row r="238" spans="3:13" ht="25.8">
      <c r="C238" s="2"/>
      <c r="D238" s="33" t="s">
        <v>18</v>
      </c>
      <c r="E238" s="33" t="s">
        <v>3</v>
      </c>
      <c r="F238" s="65"/>
      <c r="G238" s="2"/>
      <c r="H238" s="2"/>
      <c r="I238" s="2"/>
      <c r="J238" s="2"/>
      <c r="L238" s="2"/>
      <c r="M238" s="2"/>
    </row>
    <row r="239" spans="3:13" ht="25.8">
      <c r="C239" s="2"/>
      <c r="D239" s="33" t="s">
        <v>18</v>
      </c>
      <c r="E239" s="33" t="s">
        <v>3</v>
      </c>
      <c r="F239" s="65"/>
      <c r="G239" s="2"/>
      <c r="H239" s="2"/>
      <c r="I239" s="2"/>
      <c r="J239" s="2"/>
      <c r="L239" s="2"/>
      <c r="M239" s="2"/>
    </row>
    <row r="240" spans="3:13" ht="25.8">
      <c r="C240" s="2"/>
      <c r="D240" s="33" t="s">
        <v>18</v>
      </c>
      <c r="E240" s="33" t="s">
        <v>3</v>
      </c>
      <c r="F240" s="65"/>
      <c r="G240" s="2"/>
      <c r="H240" s="2"/>
      <c r="I240" s="2"/>
      <c r="J240" s="2"/>
      <c r="L240" s="2"/>
      <c r="M240" s="2"/>
    </row>
    <row r="241" spans="3:13" ht="25.8">
      <c r="C241" s="2"/>
      <c r="D241" s="33" t="s">
        <v>18</v>
      </c>
      <c r="E241" s="33" t="s">
        <v>3</v>
      </c>
      <c r="F241" s="65"/>
      <c r="G241" s="2"/>
      <c r="H241" s="2"/>
      <c r="I241" s="2"/>
      <c r="J241" s="2"/>
      <c r="L241" s="2"/>
      <c r="M241" s="2"/>
    </row>
    <row r="242" spans="3:13" ht="25.8">
      <c r="C242" s="2"/>
      <c r="D242" s="33" t="s">
        <v>18</v>
      </c>
      <c r="E242" s="33" t="s">
        <v>3</v>
      </c>
      <c r="F242" s="65"/>
      <c r="G242" s="2"/>
      <c r="H242" s="2"/>
      <c r="I242" s="2"/>
      <c r="J242" s="2"/>
      <c r="L242" s="2"/>
      <c r="M242" s="2"/>
    </row>
    <row r="243" spans="3:13" ht="25.8">
      <c r="C243" s="2"/>
      <c r="D243" s="33" t="s">
        <v>18</v>
      </c>
      <c r="E243" s="33" t="s">
        <v>3</v>
      </c>
      <c r="F243" s="65"/>
      <c r="G243" s="2"/>
      <c r="H243" s="2"/>
      <c r="I243" s="2"/>
      <c r="J243" s="2"/>
      <c r="L243" s="2"/>
      <c r="M243" s="2"/>
    </row>
    <row r="244" spans="3:13" ht="25.8">
      <c r="C244" s="2"/>
      <c r="D244" s="33" t="s">
        <v>18</v>
      </c>
      <c r="E244" s="33" t="s">
        <v>3</v>
      </c>
      <c r="F244" s="65"/>
      <c r="G244" s="2"/>
      <c r="H244" s="2"/>
      <c r="I244" s="2"/>
      <c r="J244" s="2"/>
      <c r="L244" s="2"/>
      <c r="M244" s="2"/>
    </row>
    <row r="245" spans="3:13" ht="25.8">
      <c r="C245" s="2"/>
      <c r="D245" s="33" t="s">
        <v>18</v>
      </c>
      <c r="E245" s="33" t="s">
        <v>3</v>
      </c>
      <c r="F245" s="65"/>
      <c r="G245" s="2"/>
      <c r="H245" s="2"/>
      <c r="I245" s="2"/>
      <c r="J245" s="2"/>
      <c r="L245" s="2"/>
      <c r="M245" s="2"/>
    </row>
    <row r="246" spans="3:13" ht="25.8">
      <c r="C246" s="2"/>
      <c r="D246" s="33" t="s">
        <v>18</v>
      </c>
      <c r="E246" s="33" t="s">
        <v>3</v>
      </c>
      <c r="F246" s="65"/>
      <c r="G246" s="2"/>
      <c r="H246" s="2"/>
      <c r="I246" s="2"/>
      <c r="J246" s="2"/>
      <c r="L246" s="2"/>
      <c r="M246" s="2"/>
    </row>
    <row r="247" spans="3:13" ht="25.8">
      <c r="C247" s="2"/>
      <c r="D247" s="33" t="s">
        <v>18</v>
      </c>
      <c r="E247" s="33" t="s">
        <v>3</v>
      </c>
      <c r="F247" s="65"/>
      <c r="G247" s="2"/>
      <c r="H247" s="2"/>
      <c r="I247" s="2"/>
      <c r="J247" s="2"/>
      <c r="L247" s="2"/>
      <c r="M247" s="2"/>
    </row>
    <row r="248" spans="3:13" ht="25.8">
      <c r="C248" s="2"/>
      <c r="D248" s="33" t="s">
        <v>18</v>
      </c>
      <c r="E248" s="33" t="s">
        <v>3</v>
      </c>
      <c r="F248" s="65"/>
      <c r="G248" s="2"/>
      <c r="H248" s="2"/>
      <c r="I248" s="2"/>
      <c r="J248" s="2"/>
      <c r="L248" s="2"/>
      <c r="M248" s="2"/>
    </row>
    <row r="249" spans="3:13" ht="25.8">
      <c r="C249" s="2"/>
      <c r="D249" s="33" t="s">
        <v>18</v>
      </c>
      <c r="E249" s="33" t="s">
        <v>3</v>
      </c>
      <c r="F249" s="65"/>
      <c r="G249" s="2"/>
      <c r="H249" s="2"/>
      <c r="I249" s="2"/>
      <c r="J249" s="2"/>
      <c r="L249" s="2"/>
      <c r="M249" s="2"/>
    </row>
    <row r="250" spans="3:13" ht="25.8">
      <c r="C250" s="2"/>
      <c r="D250" s="33" t="s">
        <v>18</v>
      </c>
      <c r="E250" s="33" t="s">
        <v>3</v>
      </c>
      <c r="F250" s="65"/>
      <c r="G250" s="2"/>
      <c r="H250" s="2"/>
      <c r="I250" s="2"/>
      <c r="J250" s="2"/>
      <c r="L250" s="2"/>
      <c r="M250" s="2"/>
    </row>
    <row r="251" spans="3:13" ht="25.8">
      <c r="C251" s="2"/>
      <c r="D251" s="33" t="s">
        <v>18</v>
      </c>
      <c r="E251" s="33" t="s">
        <v>3</v>
      </c>
      <c r="F251" s="65"/>
      <c r="G251" s="2"/>
      <c r="H251" s="2"/>
      <c r="I251" s="2"/>
      <c r="J251" s="2"/>
      <c r="L251" s="2"/>
      <c r="M251" s="2"/>
    </row>
    <row r="252" spans="3:13" ht="25.8">
      <c r="C252" s="2"/>
      <c r="D252" s="33" t="s">
        <v>18</v>
      </c>
      <c r="E252" s="33" t="s">
        <v>3</v>
      </c>
      <c r="F252" s="65"/>
      <c r="G252" s="2"/>
      <c r="H252" s="2"/>
      <c r="I252" s="2"/>
      <c r="J252" s="2"/>
      <c r="L252" s="2"/>
      <c r="M252" s="2"/>
    </row>
    <row r="253" spans="3:13" ht="25.8">
      <c r="C253" s="2"/>
      <c r="D253" s="33" t="s">
        <v>18</v>
      </c>
      <c r="E253" s="33" t="s">
        <v>3</v>
      </c>
      <c r="F253" s="65"/>
      <c r="G253" s="2"/>
      <c r="H253" s="2"/>
      <c r="I253" s="2"/>
      <c r="J253" s="2"/>
      <c r="L253" s="2"/>
      <c r="M253" s="2"/>
    </row>
    <row r="254" spans="3:13" ht="25.8">
      <c r="C254" s="2"/>
      <c r="D254" s="33" t="s">
        <v>18</v>
      </c>
      <c r="E254" s="33" t="s">
        <v>3</v>
      </c>
      <c r="F254" s="65"/>
      <c r="G254" s="2"/>
      <c r="H254" s="2"/>
      <c r="I254" s="2"/>
      <c r="J254" s="2"/>
      <c r="L254" s="2"/>
      <c r="M254" s="2"/>
    </row>
    <row r="255" spans="3:13" ht="25.8">
      <c r="C255" s="2"/>
      <c r="D255" s="33" t="s">
        <v>18</v>
      </c>
      <c r="E255" s="33" t="s">
        <v>3</v>
      </c>
      <c r="F255" s="65"/>
      <c r="G255" s="2"/>
      <c r="H255" s="2"/>
      <c r="I255" s="2"/>
      <c r="J255" s="2"/>
      <c r="L255" s="2"/>
      <c r="M255" s="2"/>
    </row>
    <row r="256" spans="3:13" ht="25.8">
      <c r="C256" s="2"/>
      <c r="D256" s="33" t="s">
        <v>18</v>
      </c>
      <c r="E256" s="33" t="s">
        <v>3</v>
      </c>
      <c r="F256" s="65"/>
      <c r="G256" s="2"/>
      <c r="H256" s="2"/>
      <c r="I256" s="2"/>
      <c r="J256" s="2"/>
      <c r="L256" s="2"/>
      <c r="M256" s="2"/>
    </row>
    <row r="257" spans="3:13" ht="25.8">
      <c r="C257" s="2"/>
      <c r="D257" s="33" t="s">
        <v>18</v>
      </c>
      <c r="E257" s="33" t="s">
        <v>3</v>
      </c>
      <c r="F257" s="65"/>
      <c r="G257" s="2"/>
      <c r="H257" s="2"/>
      <c r="I257" s="2"/>
      <c r="J257" s="2"/>
      <c r="L257" s="2"/>
      <c r="M257" s="2"/>
    </row>
    <row r="258" spans="3:13" ht="25.8">
      <c r="C258" s="2"/>
      <c r="D258" s="33" t="s">
        <v>18</v>
      </c>
      <c r="E258" s="33" t="s">
        <v>3</v>
      </c>
      <c r="F258" s="65"/>
      <c r="G258" s="2"/>
      <c r="H258" s="2"/>
      <c r="I258" s="2"/>
      <c r="J258" s="2"/>
      <c r="L258" s="2"/>
      <c r="M258" s="2"/>
    </row>
    <row r="259" spans="3:13" ht="25.8">
      <c r="C259" s="2"/>
      <c r="D259" s="33" t="s">
        <v>18</v>
      </c>
      <c r="E259" s="33" t="s">
        <v>3</v>
      </c>
      <c r="F259" s="65"/>
      <c r="G259" s="2"/>
      <c r="H259" s="2"/>
      <c r="I259" s="2"/>
      <c r="J259" s="2"/>
      <c r="L259" s="2"/>
      <c r="M259" s="2"/>
    </row>
    <row r="260" spans="3:13" ht="25.8">
      <c r="C260" s="2"/>
      <c r="D260" s="33" t="s">
        <v>18</v>
      </c>
      <c r="E260" s="33" t="s">
        <v>3</v>
      </c>
      <c r="F260" s="65"/>
      <c r="G260" s="2"/>
      <c r="H260" s="2"/>
      <c r="I260" s="2"/>
      <c r="J260" s="2"/>
      <c r="L260" s="2"/>
      <c r="M260" s="2"/>
    </row>
    <row r="261" spans="3:13" ht="25.8">
      <c r="C261" s="2"/>
      <c r="D261" s="33" t="s">
        <v>18</v>
      </c>
      <c r="E261" s="33" t="s">
        <v>3</v>
      </c>
      <c r="F261" s="65"/>
      <c r="G261" s="2"/>
      <c r="H261" s="2"/>
      <c r="I261" s="2"/>
      <c r="J261" s="2"/>
      <c r="L261" s="2"/>
      <c r="M261" s="2"/>
    </row>
    <row r="262" spans="3:13" ht="25.8">
      <c r="C262" s="2"/>
      <c r="D262" s="33" t="s">
        <v>18</v>
      </c>
      <c r="E262" s="33" t="s">
        <v>3</v>
      </c>
      <c r="F262" s="65"/>
      <c r="G262" s="2"/>
      <c r="H262" s="2"/>
      <c r="I262" s="2"/>
      <c r="J262" s="2"/>
      <c r="L262" s="2"/>
      <c r="M262" s="2"/>
    </row>
    <row r="263" spans="3:13" ht="25.8">
      <c r="C263" s="2"/>
      <c r="D263" s="33" t="s">
        <v>18</v>
      </c>
      <c r="E263" s="33" t="s">
        <v>3</v>
      </c>
      <c r="F263" s="65"/>
      <c r="G263" s="2"/>
      <c r="H263" s="2"/>
      <c r="I263" s="2"/>
      <c r="J263" s="2"/>
      <c r="L263" s="2"/>
      <c r="M263" s="2"/>
    </row>
    <row r="264" spans="3:13" ht="25.8">
      <c r="C264" s="2"/>
      <c r="D264" s="33" t="s">
        <v>18</v>
      </c>
      <c r="E264" s="33" t="s">
        <v>3</v>
      </c>
      <c r="F264" s="65"/>
      <c r="G264" s="2"/>
      <c r="H264" s="2"/>
      <c r="I264" s="2"/>
      <c r="J264" s="2"/>
      <c r="L264" s="2"/>
      <c r="M264" s="2"/>
    </row>
    <row r="265" spans="3:13" ht="25.8">
      <c r="C265" s="2"/>
      <c r="D265" s="33" t="s">
        <v>18</v>
      </c>
      <c r="E265" s="33" t="s">
        <v>3</v>
      </c>
      <c r="F265" s="65"/>
      <c r="G265" s="2"/>
      <c r="H265" s="2"/>
      <c r="I265" s="2"/>
      <c r="J265" s="2"/>
      <c r="L265" s="2"/>
      <c r="M265" s="2"/>
    </row>
    <row r="266" spans="3:13" ht="25.8">
      <c r="C266" s="2"/>
      <c r="D266" s="33" t="s">
        <v>18</v>
      </c>
      <c r="E266" s="33" t="s">
        <v>3</v>
      </c>
      <c r="F266" s="65"/>
      <c r="G266" s="2"/>
      <c r="H266" s="2"/>
      <c r="I266" s="2"/>
      <c r="J266" s="2"/>
      <c r="L266" s="2"/>
      <c r="M266" s="2"/>
    </row>
    <row r="267" spans="3:13" ht="25.8">
      <c r="C267" s="2"/>
      <c r="D267" s="33" t="s">
        <v>18</v>
      </c>
      <c r="E267" s="33" t="s">
        <v>3</v>
      </c>
      <c r="F267" s="65"/>
      <c r="G267" s="2"/>
      <c r="H267" s="2"/>
      <c r="I267" s="2"/>
      <c r="J267" s="2"/>
      <c r="L267" s="2"/>
      <c r="M267" s="2"/>
    </row>
    <row r="268" spans="3:13" ht="25.8">
      <c r="C268" s="2"/>
      <c r="D268" s="33" t="s">
        <v>18</v>
      </c>
      <c r="E268" s="33" t="s">
        <v>3</v>
      </c>
      <c r="F268" s="65"/>
      <c r="G268" s="2"/>
      <c r="H268" s="2"/>
      <c r="I268" s="2"/>
      <c r="J268" s="2"/>
      <c r="L268" s="2"/>
      <c r="M268" s="2"/>
    </row>
    <row r="269" spans="3:13" ht="25.8">
      <c r="C269" s="2"/>
      <c r="D269" s="33" t="s">
        <v>18</v>
      </c>
      <c r="E269" s="33" t="s">
        <v>3</v>
      </c>
      <c r="F269" s="65"/>
      <c r="G269" s="2"/>
      <c r="H269" s="2"/>
      <c r="I269" s="2"/>
      <c r="J269" s="2"/>
      <c r="L269" s="2"/>
      <c r="M269" s="2"/>
    </row>
    <row r="270" spans="3:13" ht="25.8">
      <c r="C270" s="2"/>
      <c r="D270" s="33" t="s">
        <v>18</v>
      </c>
      <c r="E270" s="33" t="s">
        <v>3</v>
      </c>
      <c r="F270" s="65"/>
      <c r="G270" s="2"/>
      <c r="H270" s="2"/>
      <c r="I270" s="2"/>
      <c r="J270" s="2"/>
      <c r="L270" s="2"/>
      <c r="M270" s="2"/>
    </row>
    <row r="271" spans="3:13" ht="25.8">
      <c r="C271" s="2"/>
      <c r="D271" s="33" t="s">
        <v>18</v>
      </c>
      <c r="E271" s="33" t="s">
        <v>3</v>
      </c>
      <c r="F271" s="65"/>
      <c r="G271" s="2"/>
      <c r="H271" s="2"/>
      <c r="I271" s="2"/>
      <c r="J271" s="2"/>
      <c r="L271" s="2"/>
      <c r="M271" s="2"/>
    </row>
    <row r="272" spans="3:13" ht="25.8">
      <c r="C272" s="2"/>
      <c r="D272" s="33" t="s">
        <v>18</v>
      </c>
      <c r="E272" s="33" t="s">
        <v>3</v>
      </c>
      <c r="F272" s="65"/>
      <c r="G272" s="2"/>
      <c r="H272" s="2"/>
      <c r="I272" s="2"/>
      <c r="J272" s="2"/>
      <c r="L272" s="2"/>
      <c r="M272" s="2"/>
    </row>
    <row r="273" spans="3:13" ht="25.8">
      <c r="C273" s="2"/>
      <c r="D273" s="33" t="s">
        <v>18</v>
      </c>
      <c r="E273" s="33" t="s">
        <v>3</v>
      </c>
      <c r="F273" s="65"/>
      <c r="G273" s="2"/>
      <c r="H273" s="2"/>
      <c r="I273" s="2"/>
      <c r="J273" s="2"/>
      <c r="L273" s="2"/>
      <c r="M273" s="2"/>
    </row>
    <row r="274" spans="3:13" ht="25.8">
      <c r="C274" s="2"/>
      <c r="D274" s="33" t="s">
        <v>18</v>
      </c>
      <c r="E274" s="33" t="s">
        <v>3</v>
      </c>
      <c r="F274" s="65"/>
      <c r="G274" s="2"/>
      <c r="H274" s="2"/>
      <c r="I274" s="2"/>
      <c r="J274" s="2"/>
      <c r="L274" s="2"/>
      <c r="M274" s="2"/>
    </row>
    <row r="275" spans="3:13" ht="25.8">
      <c r="C275" s="2"/>
      <c r="D275" s="33" t="s">
        <v>18</v>
      </c>
      <c r="E275" s="33" t="s">
        <v>3</v>
      </c>
      <c r="F275" s="65"/>
      <c r="G275" s="2"/>
      <c r="H275" s="2"/>
      <c r="I275" s="2"/>
      <c r="J275" s="2"/>
      <c r="L275" s="2"/>
      <c r="M275" s="2"/>
    </row>
    <row r="276" spans="3:13" ht="25.8">
      <c r="C276" s="2"/>
      <c r="D276" s="33" t="s">
        <v>18</v>
      </c>
      <c r="E276" s="33" t="s">
        <v>3</v>
      </c>
      <c r="F276" s="65"/>
      <c r="G276" s="2"/>
      <c r="H276" s="2"/>
      <c r="I276" s="2"/>
      <c r="J276" s="2"/>
      <c r="L276" s="2"/>
      <c r="M276" s="2"/>
    </row>
    <row r="277" spans="3:13" ht="25.8">
      <c r="C277" s="2"/>
      <c r="D277" s="33" t="s">
        <v>18</v>
      </c>
      <c r="E277" s="33" t="s">
        <v>3</v>
      </c>
      <c r="F277" s="65"/>
      <c r="G277" s="2"/>
      <c r="H277" s="2"/>
      <c r="I277" s="2"/>
      <c r="J277" s="2"/>
      <c r="L277" s="2"/>
      <c r="M277" s="2"/>
    </row>
    <row r="278" spans="3:13" ht="25.8">
      <c r="C278" s="2"/>
      <c r="D278" s="33" t="s">
        <v>18</v>
      </c>
      <c r="E278" s="33" t="s">
        <v>3</v>
      </c>
      <c r="F278" s="65"/>
      <c r="G278" s="2"/>
      <c r="H278" s="2"/>
      <c r="I278" s="2"/>
      <c r="J278" s="2"/>
      <c r="L278" s="2"/>
      <c r="M278" s="2"/>
    </row>
    <row r="279" spans="3:13" ht="25.8">
      <c r="C279" s="2"/>
      <c r="D279" s="33" t="s">
        <v>18</v>
      </c>
      <c r="E279" s="33" t="s">
        <v>3</v>
      </c>
      <c r="F279" s="65"/>
      <c r="G279" s="2"/>
      <c r="H279" s="2"/>
      <c r="I279" s="2"/>
      <c r="J279" s="2"/>
      <c r="L279" s="2"/>
      <c r="M279" s="2"/>
    </row>
    <row r="280" spans="3:13" ht="25.8">
      <c r="C280" s="2"/>
      <c r="D280" s="33" t="s">
        <v>18</v>
      </c>
      <c r="E280" s="33" t="s">
        <v>3</v>
      </c>
      <c r="F280" s="65"/>
      <c r="G280" s="2"/>
      <c r="H280" s="2"/>
      <c r="I280" s="2"/>
      <c r="J280" s="2"/>
      <c r="L280" s="2"/>
      <c r="M280" s="2"/>
    </row>
    <row r="281" spans="3:13" ht="25.8">
      <c r="C281" s="2"/>
      <c r="D281" s="33" t="s">
        <v>18</v>
      </c>
      <c r="E281" s="33" t="s">
        <v>3</v>
      </c>
      <c r="F281" s="65"/>
      <c r="G281" s="2"/>
      <c r="H281" s="2"/>
      <c r="I281" s="2"/>
      <c r="J281" s="2"/>
      <c r="L281" s="2"/>
      <c r="M281" s="2"/>
    </row>
    <row r="282" spans="3:13" ht="25.8">
      <c r="C282" s="2"/>
      <c r="D282" s="33" t="s">
        <v>18</v>
      </c>
      <c r="E282" s="33" t="s">
        <v>3</v>
      </c>
      <c r="F282" s="65"/>
      <c r="G282" s="2"/>
      <c r="H282" s="2"/>
      <c r="I282" s="2"/>
      <c r="J282" s="2"/>
      <c r="L282" s="2"/>
      <c r="M282" s="2"/>
    </row>
    <row r="283" spans="3:13" ht="25.8">
      <c r="C283" s="2"/>
      <c r="D283" s="33" t="s">
        <v>18</v>
      </c>
      <c r="E283" s="33" t="s">
        <v>3</v>
      </c>
      <c r="F283" s="65"/>
      <c r="G283" s="2"/>
      <c r="H283" s="2"/>
      <c r="I283" s="2"/>
      <c r="J283" s="2"/>
      <c r="L283" s="2"/>
      <c r="M283" s="2"/>
    </row>
    <row r="284" spans="3:13" ht="25.8">
      <c r="C284" s="2"/>
      <c r="D284" s="33" t="s">
        <v>18</v>
      </c>
      <c r="E284" s="33" t="s">
        <v>3</v>
      </c>
      <c r="F284" s="65"/>
      <c r="G284" s="2"/>
      <c r="H284" s="2"/>
      <c r="I284" s="2"/>
      <c r="J284" s="2"/>
      <c r="L284" s="2"/>
      <c r="M284" s="2"/>
    </row>
    <row r="285" spans="3:13" ht="25.8">
      <c r="C285" s="2"/>
      <c r="D285" s="33" t="s">
        <v>18</v>
      </c>
      <c r="E285" s="33" t="s">
        <v>3</v>
      </c>
      <c r="F285" s="65"/>
      <c r="G285" s="2"/>
      <c r="H285" s="2"/>
      <c r="I285" s="2"/>
      <c r="J285" s="2"/>
      <c r="L285" s="2"/>
      <c r="M285" s="2"/>
    </row>
    <row r="286" spans="3:13" ht="25.8">
      <c r="C286" s="2"/>
      <c r="D286" s="33" t="s">
        <v>18</v>
      </c>
      <c r="E286" s="33" t="s">
        <v>3</v>
      </c>
      <c r="F286" s="65"/>
      <c r="G286" s="2"/>
      <c r="H286" s="2"/>
      <c r="I286" s="2"/>
      <c r="J286" s="2"/>
      <c r="L286" s="2"/>
      <c r="M286" s="2"/>
    </row>
    <row r="287" spans="3:13" ht="25.8">
      <c r="C287" s="2"/>
      <c r="D287" s="33" t="s">
        <v>18</v>
      </c>
      <c r="E287" s="33" t="s">
        <v>3</v>
      </c>
      <c r="F287" s="65"/>
      <c r="G287" s="2"/>
      <c r="H287" s="2"/>
      <c r="I287" s="2"/>
      <c r="J287" s="2"/>
      <c r="L287" s="2"/>
      <c r="M287" s="2"/>
    </row>
    <row r="288" spans="3:13" ht="25.8">
      <c r="C288" s="2"/>
      <c r="D288" s="33" t="s">
        <v>18</v>
      </c>
      <c r="E288" s="33" t="s">
        <v>3</v>
      </c>
      <c r="F288" s="65"/>
      <c r="G288" s="2"/>
      <c r="H288" s="2"/>
      <c r="I288" s="2"/>
      <c r="J288" s="2"/>
      <c r="L288" s="2"/>
      <c r="M288" s="2"/>
    </row>
    <row r="289" spans="3:13" ht="25.8">
      <c r="C289" s="2"/>
      <c r="D289" s="33" t="s">
        <v>18</v>
      </c>
      <c r="E289" s="33" t="s">
        <v>3</v>
      </c>
      <c r="F289" s="65"/>
      <c r="G289" s="2"/>
      <c r="H289" s="2"/>
      <c r="I289" s="2"/>
      <c r="J289" s="2"/>
      <c r="L289" s="2"/>
      <c r="M289" s="2"/>
    </row>
    <row r="290" spans="3:13" ht="25.8">
      <c r="C290" s="2"/>
      <c r="D290" s="33" t="s">
        <v>18</v>
      </c>
      <c r="E290" s="33" t="s">
        <v>3</v>
      </c>
      <c r="F290" s="65"/>
      <c r="G290" s="2"/>
      <c r="H290" s="2"/>
      <c r="I290" s="2"/>
      <c r="J290" s="2"/>
      <c r="L290" s="2"/>
      <c r="M290" s="2"/>
    </row>
    <row r="291" spans="3:13" ht="25.8">
      <c r="C291" s="2"/>
      <c r="D291" s="33" t="s">
        <v>18</v>
      </c>
      <c r="E291" s="33" t="s">
        <v>3</v>
      </c>
      <c r="F291" s="65"/>
      <c r="G291" s="2"/>
      <c r="H291" s="2"/>
      <c r="I291" s="2"/>
      <c r="J291" s="2"/>
      <c r="L291" s="2"/>
      <c r="M291" s="2"/>
    </row>
    <row r="292" spans="3:13" ht="25.8">
      <c r="C292" s="2"/>
      <c r="D292" s="33" t="s">
        <v>18</v>
      </c>
      <c r="E292" s="33" t="s">
        <v>3</v>
      </c>
      <c r="F292" s="65"/>
      <c r="G292" s="2"/>
      <c r="H292" s="2"/>
      <c r="I292" s="2"/>
      <c r="J292" s="2"/>
      <c r="L292" s="2"/>
      <c r="M292" s="2"/>
    </row>
    <row r="293" spans="3:13" ht="25.8">
      <c r="C293" s="2"/>
      <c r="D293" s="33" t="s">
        <v>18</v>
      </c>
      <c r="E293" s="33" t="s">
        <v>3</v>
      </c>
      <c r="F293" s="65"/>
      <c r="G293" s="2"/>
      <c r="H293" s="2"/>
      <c r="I293" s="2"/>
      <c r="J293" s="2"/>
      <c r="L293" s="2"/>
      <c r="M293" s="2"/>
    </row>
    <row r="294" spans="3:13" ht="25.8">
      <c r="C294" s="2"/>
      <c r="D294" s="33" t="s">
        <v>18</v>
      </c>
      <c r="E294" s="33" t="s">
        <v>3</v>
      </c>
      <c r="F294" s="65"/>
      <c r="G294" s="2"/>
      <c r="H294" s="2"/>
      <c r="I294" s="2"/>
      <c r="J294" s="2"/>
      <c r="L294" s="2"/>
      <c r="M294" s="2"/>
    </row>
    <row r="295" spans="3:13" ht="25.8">
      <c r="C295" s="2"/>
      <c r="D295" s="33" t="s">
        <v>18</v>
      </c>
      <c r="E295" s="33" t="s">
        <v>3</v>
      </c>
      <c r="F295" s="65"/>
      <c r="G295" s="2"/>
      <c r="H295" s="2"/>
      <c r="I295" s="2"/>
      <c r="J295" s="2"/>
      <c r="L295" s="2"/>
      <c r="M295" s="2"/>
    </row>
    <row r="296" spans="3:13" ht="25.8">
      <c r="C296" s="2"/>
      <c r="D296" s="33" t="s">
        <v>18</v>
      </c>
      <c r="E296" s="33" t="s">
        <v>3</v>
      </c>
      <c r="F296" s="65"/>
      <c r="G296" s="2"/>
      <c r="H296" s="2"/>
      <c r="I296" s="2"/>
      <c r="J296" s="2"/>
      <c r="L296" s="2"/>
      <c r="M296" s="2"/>
    </row>
    <row r="297" spans="3:13" ht="25.8">
      <c r="C297" s="2"/>
      <c r="D297" s="33" t="s">
        <v>18</v>
      </c>
      <c r="E297" s="33" t="s">
        <v>3</v>
      </c>
      <c r="F297" s="65"/>
      <c r="G297" s="2"/>
      <c r="H297" s="2"/>
      <c r="I297" s="2"/>
      <c r="J297" s="2"/>
      <c r="L297" s="2"/>
      <c r="M297" s="2"/>
    </row>
    <row r="298" spans="3:13" ht="25.8">
      <c r="C298" s="2"/>
      <c r="D298" s="33" t="s">
        <v>18</v>
      </c>
      <c r="E298" s="33" t="s">
        <v>3</v>
      </c>
      <c r="F298" s="65"/>
      <c r="G298" s="2"/>
      <c r="H298" s="2"/>
      <c r="I298" s="2"/>
      <c r="J298" s="2"/>
      <c r="L298" s="2"/>
      <c r="M298" s="2"/>
    </row>
    <row r="299" spans="3:13" ht="25.8">
      <c r="C299" s="2"/>
      <c r="D299" s="33" t="s">
        <v>18</v>
      </c>
      <c r="E299" s="33" t="s">
        <v>3</v>
      </c>
      <c r="F299" s="65"/>
      <c r="G299" s="2"/>
      <c r="H299" s="2"/>
      <c r="I299" s="2"/>
      <c r="J299" s="2"/>
      <c r="L299" s="2"/>
      <c r="M299" s="2"/>
    </row>
    <row r="300" spans="3:13" ht="25.8">
      <c r="C300" s="2"/>
      <c r="D300" s="33" t="s">
        <v>18</v>
      </c>
      <c r="E300" s="33" t="s">
        <v>3</v>
      </c>
      <c r="F300" s="65"/>
      <c r="G300" s="2"/>
      <c r="H300" s="2"/>
      <c r="I300" s="2"/>
      <c r="J300" s="2"/>
      <c r="L300" s="2"/>
      <c r="M300" s="2"/>
    </row>
  </sheetData>
  <mergeCells count="3">
    <mergeCell ref="C2:J4"/>
    <mergeCell ref="L3:M4"/>
    <mergeCell ref="C5:J5"/>
  </mergeCells>
  <conditionalFormatting sqref="F7:F300">
    <cfRule type="containsText" dxfId="113" priority="10" operator="containsText" text="Purple">
      <formula>NOT(ISERROR(SEARCH("Purple",F7)))</formula>
    </cfRule>
    <cfRule type="containsText" dxfId="112" priority="6" operator="containsText" text="Dark Green">
      <formula>NOT(ISERROR(SEARCH("Dark Green",F7)))</formula>
    </cfRule>
    <cfRule type="containsText" dxfId="111" priority="7" operator="containsText" text="Light Blue">
      <formula>NOT(ISERROR(SEARCH("Light Blue",F7)))</formula>
    </cfRule>
    <cfRule type="containsText" dxfId="110" priority="8" operator="containsText" text="Green">
      <formula>NOT(ISERROR(SEARCH("Green",F7)))</formula>
    </cfRule>
    <cfRule type="containsText" dxfId="109" priority="9" operator="containsText" text="Red">
      <formula>NOT(ISERROR(SEARCH("Red",F7)))</formula>
    </cfRule>
    <cfRule type="containsText" dxfId="108" priority="11" operator="containsText" text="Gray">
      <formula>NOT(ISERROR(SEARCH("Gray",F7)))</formula>
    </cfRule>
    <cfRule type="containsText" dxfId="107" priority="14" operator="containsText" text="Dark Blue">
      <formula>NOT(ISERROR(SEARCH("Dark Blue",F7)))</formula>
    </cfRule>
    <cfRule type="containsText" dxfId="106" priority="15" operator="containsText" text="Brown">
      <formula>NOT(ISERROR(SEARCH("Brown",F7)))</formula>
    </cfRule>
    <cfRule type="containsText" dxfId="105" priority="23" operator="containsText" text="Orange">
      <formula>NOT(ISERROR(SEARCH("Orange",F7)))</formula>
    </cfRule>
    <cfRule type="containsText" dxfId="104" priority="27" operator="containsText" text="Yellow">
      <formula>NOT(ISERROR(SEARCH("Yellow",F7)))</formula>
    </cfRule>
    <cfRule type="containsText" dxfId="103" priority="30" operator="containsText" text="Brown">
      <formula>NOT(ISERROR(SEARCH("Brown",F7)))</formula>
    </cfRule>
    <cfRule type="containsText" dxfId="102" priority="33" operator="containsText" text="Gray">
      <formula>NOT(ISERROR(SEARCH("Gray",F7)))</formula>
    </cfRule>
    <cfRule type="containsText" dxfId="101" priority="34" operator="containsText" text="Orange">
      <formula>NOT(ISERROR(SEARCH("Orange",F7)))</formula>
    </cfRule>
    <cfRule type="beginsWith" dxfId="100" priority="1" operator="beginsWith" text="Blue">
      <formula>LEFT(F7,LEN("Blue"))="Blue"</formula>
    </cfRule>
  </conditionalFormatting>
  <conditionalFormatting sqref="J1:J1048576">
    <cfRule type="beginsWith" dxfId="99" priority="4" operator="beginsWith" text="0">
      <formula>LEFT(J1,LEN("0"))="0"</formula>
    </cfRule>
  </conditionalFormatting>
  <conditionalFormatting sqref="I1:I1048576">
    <cfRule type="beginsWith" dxfId="98" priority="3" operator="beginsWith" text="0">
      <formula>LEFT(I1,LEN("0"))="0"</formula>
    </cfRule>
  </conditionalFormatting>
  <dataValidations count="4">
    <dataValidation type="list" allowBlank="1" showInputMessage="1" showErrorMessage="1" sqref="D7:D300" xr:uid="{00000000-0002-0000-0000-000000000000}">
      <formula1>"Sacks"</formula1>
    </dataValidation>
    <dataValidation type="list" allowBlank="1" showInputMessage="1" showErrorMessage="1" sqref="G2:G5 G7:G1048576" xr:uid="{00000000-0002-0000-0000-000001000000}">
      <formula1>"(75*9),(75*13),(70*45)"</formula1>
    </dataValidation>
    <dataValidation type="list" allowBlank="1" showInputMessage="1" showErrorMessage="1" sqref="E7:E300" xr:uid="{00000000-0002-0000-0000-000003000000}">
      <formula1>"Chicken"</formula1>
    </dataValidation>
    <dataValidation type="list" allowBlank="1" showInputMessage="1" showErrorMessage="1" sqref="F7:F1048576 F2:F5" xr:uid="{37B901A0-C9A7-4E4E-86B5-5E31B82D491F}">
      <formula1>"Purple, Orange,Orange (13),Orange (70*45), Gray, Red, Green, Brown,Brown(13), Dark Green, Light Blue, Yellow, Blue, Dark Blue,"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/>
  </sheetPr>
  <dimension ref="C2:M300"/>
  <sheetViews>
    <sheetView topLeftCell="A2" zoomScale="70" zoomScaleNormal="70" workbookViewId="0">
      <selection activeCell="F20" sqref="F20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8.55468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33" t="s">
        <v>9</v>
      </c>
      <c r="D2" s="133"/>
      <c r="E2" s="133"/>
      <c r="F2" s="133"/>
      <c r="G2" s="133"/>
      <c r="H2" s="133"/>
      <c r="I2" s="133"/>
      <c r="J2" s="133"/>
      <c r="K2" s="1"/>
    </row>
    <row r="3" spans="3:13" ht="25.8">
      <c r="C3" s="133"/>
      <c r="D3" s="133"/>
      <c r="E3" s="133"/>
      <c r="F3" s="133"/>
      <c r="G3" s="133"/>
      <c r="H3" s="133"/>
      <c r="I3" s="133"/>
      <c r="J3" s="133"/>
      <c r="K3" s="1"/>
      <c r="L3" s="134" t="s">
        <v>16</v>
      </c>
      <c r="M3" s="134"/>
    </row>
    <row r="4" spans="3:13" ht="25.8">
      <c r="C4" s="133"/>
      <c r="D4" s="133"/>
      <c r="E4" s="133"/>
      <c r="F4" s="133"/>
      <c r="G4" s="133"/>
      <c r="H4" s="133"/>
      <c r="I4" s="133"/>
      <c r="J4" s="133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49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18</v>
      </c>
      <c r="E7" s="33" t="s">
        <v>2</v>
      </c>
      <c r="F7" s="50" t="s">
        <v>28</v>
      </c>
      <c r="G7" s="33" t="s">
        <v>29</v>
      </c>
      <c r="H7" s="33" t="s">
        <v>86</v>
      </c>
      <c r="I7" s="34">
        <v>32066</v>
      </c>
      <c r="J7" s="68">
        <v>32066</v>
      </c>
      <c r="K7" s="1"/>
      <c r="L7" s="33"/>
      <c r="M7" s="33"/>
    </row>
    <row r="8" spans="3:13" ht="25.8">
      <c r="C8" s="35">
        <v>46174</v>
      </c>
      <c r="D8" s="33" t="s">
        <v>18</v>
      </c>
      <c r="E8" s="33" t="s">
        <v>2</v>
      </c>
      <c r="F8" s="50" t="s">
        <v>36</v>
      </c>
      <c r="G8" s="33" t="s">
        <v>29</v>
      </c>
      <c r="H8" s="33" t="s">
        <v>86</v>
      </c>
      <c r="I8" s="34">
        <v>4534</v>
      </c>
      <c r="J8" s="68">
        <v>4534</v>
      </c>
      <c r="K8" s="1"/>
      <c r="L8" s="33"/>
      <c r="M8" s="33"/>
    </row>
    <row r="9" spans="3:13" ht="25.8">
      <c r="C9" s="35">
        <v>46174</v>
      </c>
      <c r="D9" s="33" t="s">
        <v>18</v>
      </c>
      <c r="E9" s="33" t="s">
        <v>2</v>
      </c>
      <c r="F9" s="50" t="s">
        <v>30</v>
      </c>
      <c r="G9" s="33" t="s">
        <v>29</v>
      </c>
      <c r="H9" s="33" t="s">
        <v>86</v>
      </c>
      <c r="I9" s="34">
        <v>3626</v>
      </c>
      <c r="J9" s="68">
        <v>3626</v>
      </c>
      <c r="K9" s="1"/>
      <c r="L9" s="33"/>
      <c r="M9" s="33"/>
    </row>
    <row r="10" spans="3:13" ht="25.8">
      <c r="C10" s="35">
        <v>46174</v>
      </c>
      <c r="D10" s="33" t="s">
        <v>18</v>
      </c>
      <c r="E10" s="33" t="s">
        <v>2</v>
      </c>
      <c r="F10" s="50" t="s">
        <v>24</v>
      </c>
      <c r="G10" s="33" t="s">
        <v>29</v>
      </c>
      <c r="H10" s="33" t="s">
        <v>86</v>
      </c>
      <c r="I10" s="34">
        <v>47153</v>
      </c>
      <c r="J10" s="68">
        <v>47153</v>
      </c>
      <c r="K10" s="1"/>
      <c r="L10" s="33"/>
      <c r="M10" s="33"/>
    </row>
    <row r="11" spans="3:13" ht="25.8">
      <c r="C11" s="35">
        <v>46174</v>
      </c>
      <c r="D11" s="33" t="s">
        <v>18</v>
      </c>
      <c r="E11" s="33" t="s">
        <v>2</v>
      </c>
      <c r="F11" s="50" t="s">
        <v>37</v>
      </c>
      <c r="G11" s="33" t="s">
        <v>29</v>
      </c>
      <c r="H11" s="33" t="s">
        <v>86</v>
      </c>
      <c r="I11" s="34">
        <v>5904</v>
      </c>
      <c r="J11" s="68">
        <v>5904</v>
      </c>
      <c r="K11" s="1"/>
      <c r="L11" s="33"/>
      <c r="M11" s="33"/>
    </row>
    <row r="12" spans="3:13" ht="25.8">
      <c r="C12" s="35">
        <v>46174</v>
      </c>
      <c r="D12" s="33" t="s">
        <v>18</v>
      </c>
      <c r="E12" s="33" t="s">
        <v>2</v>
      </c>
      <c r="F12" s="50" t="s">
        <v>38</v>
      </c>
      <c r="G12" s="33" t="s">
        <v>29</v>
      </c>
      <c r="H12" s="33" t="s">
        <v>86</v>
      </c>
      <c r="I12" s="34">
        <v>38033</v>
      </c>
      <c r="J12" s="68">
        <v>38033</v>
      </c>
      <c r="K12" s="1"/>
      <c r="L12" s="33"/>
      <c r="M12" s="33"/>
    </row>
    <row r="13" spans="3:13" ht="25.8">
      <c r="C13" s="35">
        <v>46174</v>
      </c>
      <c r="D13" s="33" t="s">
        <v>18</v>
      </c>
      <c r="E13" s="33" t="s">
        <v>2</v>
      </c>
      <c r="F13" s="50" t="s">
        <v>44</v>
      </c>
      <c r="G13" s="33" t="s">
        <v>32</v>
      </c>
      <c r="H13" s="33" t="s">
        <v>86</v>
      </c>
      <c r="I13" s="34">
        <v>903</v>
      </c>
      <c r="J13" s="34">
        <v>903</v>
      </c>
      <c r="K13" s="1"/>
      <c r="L13" s="33"/>
      <c r="M13" s="33"/>
    </row>
    <row r="14" spans="3:13" s="12" customFormat="1" ht="25.8">
      <c r="C14" s="35">
        <v>46175</v>
      </c>
      <c r="D14" s="33" t="s">
        <v>18</v>
      </c>
      <c r="E14" s="33" t="s">
        <v>2</v>
      </c>
      <c r="F14" s="50" t="s">
        <v>37</v>
      </c>
      <c r="G14" s="33" t="s">
        <v>29</v>
      </c>
      <c r="H14" s="33" t="s">
        <v>88</v>
      </c>
      <c r="I14" s="69">
        <v>5904</v>
      </c>
      <c r="J14" s="34">
        <v>4979</v>
      </c>
      <c r="K14" s="1"/>
      <c r="L14" s="33"/>
      <c r="M14" s="33"/>
    </row>
    <row r="15" spans="3:13" ht="25.8">
      <c r="C15" s="35"/>
      <c r="D15" s="33" t="s">
        <v>18</v>
      </c>
      <c r="E15" s="33" t="s">
        <v>2</v>
      </c>
      <c r="F15" s="50"/>
      <c r="G15" s="33"/>
      <c r="H15" s="33"/>
      <c r="I15" s="69"/>
      <c r="J15" s="69"/>
      <c r="K15" s="1"/>
      <c r="L15" s="33"/>
      <c r="M15" s="33"/>
    </row>
    <row r="16" spans="3:13" ht="25.8">
      <c r="C16" s="35"/>
      <c r="D16" s="33" t="s">
        <v>18</v>
      </c>
      <c r="E16" s="33" t="s">
        <v>2</v>
      </c>
      <c r="F16" s="50"/>
      <c r="G16" s="33"/>
      <c r="H16" s="33"/>
      <c r="I16" s="69"/>
      <c r="J16" s="69"/>
      <c r="K16" s="1"/>
      <c r="L16" s="33"/>
      <c r="M16" s="33"/>
    </row>
    <row r="17" spans="3:13" ht="25.8">
      <c r="C17" s="35"/>
      <c r="D17" s="33" t="s">
        <v>18</v>
      </c>
      <c r="E17" s="33" t="s">
        <v>2</v>
      </c>
      <c r="F17" s="50"/>
      <c r="G17" s="33"/>
      <c r="H17" s="33"/>
      <c r="I17" s="69"/>
      <c r="J17" s="69"/>
      <c r="K17" s="1"/>
      <c r="L17" s="33"/>
      <c r="M17" s="33"/>
    </row>
    <row r="18" spans="3:13" ht="25.8">
      <c r="C18" s="35"/>
      <c r="D18" s="33" t="s">
        <v>18</v>
      </c>
      <c r="E18" s="33" t="s">
        <v>2</v>
      </c>
      <c r="F18" s="50"/>
      <c r="G18" s="33"/>
      <c r="H18" s="33"/>
      <c r="I18" s="69"/>
      <c r="J18" s="69"/>
      <c r="K18" s="1"/>
      <c r="L18" s="33"/>
      <c r="M18" s="33"/>
    </row>
    <row r="19" spans="3:13" ht="25.8">
      <c r="C19" s="35"/>
      <c r="D19" s="33" t="s">
        <v>18</v>
      </c>
      <c r="E19" s="33" t="s">
        <v>2</v>
      </c>
      <c r="F19" s="50"/>
      <c r="G19" s="33"/>
      <c r="H19" s="33"/>
      <c r="I19" s="69"/>
      <c r="J19" s="69"/>
      <c r="K19" s="1"/>
      <c r="L19" s="33"/>
      <c r="M19" s="33"/>
    </row>
    <row r="20" spans="3:13" ht="25.8">
      <c r="C20" s="57"/>
      <c r="D20" s="33" t="s">
        <v>18</v>
      </c>
      <c r="E20" s="33" t="s">
        <v>2</v>
      </c>
      <c r="F20" s="50"/>
      <c r="G20" s="33"/>
      <c r="H20" s="33"/>
      <c r="I20" s="69"/>
      <c r="J20" s="69"/>
      <c r="K20" s="1"/>
      <c r="L20" s="33"/>
      <c r="M20" s="33"/>
    </row>
    <row r="21" spans="3:13" ht="26.25" customHeight="1">
      <c r="C21" s="35"/>
      <c r="D21" s="33" t="s">
        <v>18</v>
      </c>
      <c r="E21" s="33" t="s">
        <v>2</v>
      </c>
      <c r="F21" s="50"/>
      <c r="G21" s="33"/>
      <c r="H21" s="33"/>
      <c r="I21" s="34"/>
      <c r="J21" s="69"/>
      <c r="K21" s="1"/>
      <c r="L21" s="33"/>
      <c r="M21" s="33"/>
    </row>
    <row r="22" spans="3:13" ht="26.25" customHeight="1">
      <c r="C22" s="35"/>
      <c r="D22" s="33" t="s">
        <v>18</v>
      </c>
      <c r="E22" s="33" t="s">
        <v>2</v>
      </c>
      <c r="F22" s="50"/>
      <c r="G22" s="33"/>
      <c r="H22" s="33"/>
      <c r="I22" s="34"/>
      <c r="J22" s="69"/>
      <c r="K22" s="1"/>
      <c r="L22" s="33"/>
      <c r="M22" s="33"/>
    </row>
    <row r="23" spans="3:13" ht="26.25" customHeight="1">
      <c r="C23" s="35"/>
      <c r="D23" s="33" t="s">
        <v>18</v>
      </c>
      <c r="E23" s="33" t="s">
        <v>2</v>
      </c>
      <c r="F23" s="50"/>
      <c r="G23" s="33"/>
      <c r="H23" s="33"/>
      <c r="I23" s="34"/>
      <c r="J23" s="69"/>
      <c r="K23" s="1"/>
      <c r="L23" s="33"/>
      <c r="M23" s="33"/>
    </row>
    <row r="24" spans="3:13" ht="26.25" customHeight="1">
      <c r="C24" s="35"/>
      <c r="D24" s="33" t="s">
        <v>18</v>
      </c>
      <c r="E24" s="33" t="s">
        <v>2</v>
      </c>
      <c r="F24" s="50"/>
      <c r="G24" s="33"/>
      <c r="H24" s="33"/>
      <c r="I24" s="34"/>
      <c r="J24" s="34"/>
      <c r="K24" s="1"/>
      <c r="L24" s="33"/>
      <c r="M24" s="33"/>
    </row>
    <row r="25" spans="3:13" ht="26.25" customHeight="1">
      <c r="C25" s="35"/>
      <c r="D25" s="33" t="s">
        <v>18</v>
      </c>
      <c r="E25" s="33" t="s">
        <v>2</v>
      </c>
      <c r="F25" s="50"/>
      <c r="G25" s="33"/>
      <c r="H25" s="33"/>
      <c r="I25" s="69"/>
      <c r="J25" s="69"/>
      <c r="K25" s="1"/>
      <c r="L25" s="33"/>
      <c r="M25" s="33"/>
    </row>
    <row r="26" spans="3:13" ht="26.25" customHeight="1">
      <c r="C26" s="35"/>
      <c r="D26" s="33" t="s">
        <v>18</v>
      </c>
      <c r="E26" s="33" t="s">
        <v>2</v>
      </c>
      <c r="F26" s="50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33" t="s">
        <v>18</v>
      </c>
      <c r="E27" s="33" t="s">
        <v>2</v>
      </c>
      <c r="F27" s="50"/>
      <c r="G27" s="33"/>
      <c r="H27" s="33"/>
      <c r="I27" s="69"/>
      <c r="J27" s="69"/>
      <c r="K27" s="1"/>
      <c r="L27" s="33"/>
      <c r="M27" s="33"/>
    </row>
    <row r="28" spans="3:13" ht="26.25" customHeight="1">
      <c r="C28" s="57"/>
      <c r="D28" s="33" t="s">
        <v>18</v>
      </c>
      <c r="E28" s="33" t="s">
        <v>2</v>
      </c>
      <c r="F28" s="50"/>
      <c r="G28" s="33"/>
      <c r="H28" s="33"/>
      <c r="I28" s="69"/>
      <c r="J28" s="69"/>
      <c r="K28" s="1"/>
      <c r="L28" s="33"/>
      <c r="M28" s="33"/>
    </row>
    <row r="29" spans="3:13" ht="26.25" customHeight="1">
      <c r="C29" s="57"/>
      <c r="D29" s="33" t="s">
        <v>18</v>
      </c>
      <c r="E29" s="33" t="s">
        <v>2</v>
      </c>
      <c r="F29" s="50"/>
      <c r="G29" s="33"/>
      <c r="H29" s="33"/>
      <c r="I29" s="69"/>
      <c r="J29" s="69"/>
      <c r="K29" s="1"/>
      <c r="L29" s="33"/>
      <c r="M29" s="33"/>
    </row>
    <row r="30" spans="3:13" ht="26.25" customHeight="1">
      <c r="C30" s="35"/>
      <c r="D30" s="33" t="s">
        <v>18</v>
      </c>
      <c r="E30" s="33" t="s">
        <v>2</v>
      </c>
      <c r="F30" s="50"/>
      <c r="G30" s="33"/>
      <c r="H30" s="33"/>
      <c r="I30" s="34"/>
      <c r="J30" s="34"/>
      <c r="K30" s="1"/>
      <c r="L30" s="33"/>
      <c r="M30" s="33"/>
    </row>
    <row r="31" spans="3:13" ht="26.25" customHeight="1">
      <c r="C31" s="35"/>
      <c r="D31" s="33" t="s">
        <v>18</v>
      </c>
      <c r="E31" s="33" t="s">
        <v>2</v>
      </c>
      <c r="F31" s="50"/>
      <c r="G31" s="33"/>
      <c r="H31" s="33"/>
      <c r="I31" s="34"/>
      <c r="J31" s="34"/>
      <c r="K31" s="1"/>
      <c r="L31" s="33"/>
      <c r="M31" s="33"/>
    </row>
    <row r="32" spans="3:13" ht="26.25" customHeight="1">
      <c r="C32" s="35"/>
      <c r="D32" s="33" t="s">
        <v>18</v>
      </c>
      <c r="E32" s="33" t="s">
        <v>2</v>
      </c>
      <c r="F32" s="50"/>
      <c r="G32" s="33"/>
      <c r="H32" s="33"/>
      <c r="I32" s="34"/>
      <c r="J32" s="34"/>
      <c r="K32" s="1"/>
      <c r="L32" s="33"/>
      <c r="M32" s="33"/>
    </row>
    <row r="33" spans="3:13" ht="26.25" customHeight="1">
      <c r="C33" s="35"/>
      <c r="D33" s="33" t="s">
        <v>18</v>
      </c>
      <c r="E33" s="33" t="s">
        <v>2</v>
      </c>
      <c r="F33" s="50"/>
      <c r="G33" s="33"/>
      <c r="H33" s="33"/>
      <c r="I33" s="34"/>
      <c r="J33" s="34"/>
      <c r="K33" s="1"/>
      <c r="L33" s="33"/>
      <c r="M33" s="33"/>
    </row>
    <row r="34" spans="3:13" ht="26.25" customHeight="1">
      <c r="C34" s="35"/>
      <c r="D34" s="33" t="s">
        <v>18</v>
      </c>
      <c r="E34" s="33" t="s">
        <v>2</v>
      </c>
      <c r="F34" s="50"/>
      <c r="G34" s="33"/>
      <c r="H34" s="33"/>
      <c r="I34" s="34"/>
      <c r="J34" s="34"/>
      <c r="K34" s="1"/>
      <c r="L34" s="33"/>
      <c r="M34" s="33"/>
    </row>
    <row r="35" spans="3:13" ht="26.25" customHeight="1">
      <c r="C35" s="37"/>
      <c r="D35" s="33" t="s">
        <v>18</v>
      </c>
      <c r="E35" s="33" t="s">
        <v>2</v>
      </c>
      <c r="F35" s="50"/>
      <c r="G35" s="53"/>
      <c r="H35" s="33"/>
      <c r="I35" s="59"/>
      <c r="J35" s="59"/>
      <c r="K35" s="1"/>
      <c r="L35" s="48"/>
      <c r="M35" s="48"/>
    </row>
    <row r="36" spans="3:13" ht="26.25" customHeight="1">
      <c r="C36" s="57"/>
      <c r="D36" s="33" t="s">
        <v>18</v>
      </c>
      <c r="E36" s="33" t="s">
        <v>2</v>
      </c>
      <c r="F36" s="50"/>
      <c r="G36" s="48"/>
      <c r="H36" s="48"/>
      <c r="I36" s="70"/>
      <c r="J36" s="70"/>
      <c r="K36" s="1"/>
      <c r="L36" s="48"/>
      <c r="M36" s="48"/>
    </row>
    <row r="37" spans="3:13" ht="26.25" customHeight="1">
      <c r="C37" s="57"/>
      <c r="D37" s="33" t="s">
        <v>18</v>
      </c>
      <c r="E37" s="33" t="s">
        <v>2</v>
      </c>
      <c r="F37" s="50"/>
      <c r="G37" s="48"/>
      <c r="H37" s="48"/>
      <c r="I37" s="70"/>
      <c r="J37" s="70"/>
      <c r="K37" s="1"/>
      <c r="L37" s="48"/>
      <c r="M37" s="48"/>
    </row>
    <row r="38" spans="3:13" ht="25.8">
      <c r="C38" s="57"/>
      <c r="D38" s="33" t="s">
        <v>18</v>
      </c>
      <c r="E38" s="33" t="s">
        <v>2</v>
      </c>
      <c r="F38" s="50"/>
      <c r="G38" s="48"/>
      <c r="H38" s="48"/>
      <c r="I38" s="70"/>
      <c r="J38" s="70"/>
      <c r="L38" s="48"/>
      <c r="M38" s="48"/>
    </row>
    <row r="39" spans="3:13" ht="25.8">
      <c r="C39" s="57"/>
      <c r="D39" s="33" t="s">
        <v>18</v>
      </c>
      <c r="E39" s="33" t="s">
        <v>2</v>
      </c>
      <c r="F39" s="50"/>
      <c r="G39" s="48"/>
      <c r="H39" s="48"/>
      <c r="I39" s="70"/>
      <c r="J39" s="70"/>
      <c r="L39" s="48"/>
      <c r="M39" s="48"/>
    </row>
    <row r="40" spans="3:13" ht="25.8">
      <c r="C40" s="37"/>
      <c r="D40" s="33" t="s">
        <v>18</v>
      </c>
      <c r="E40" s="33" t="s">
        <v>2</v>
      </c>
      <c r="F40" s="50"/>
      <c r="G40" s="33"/>
      <c r="H40" s="33"/>
      <c r="I40" s="34"/>
      <c r="J40" s="34"/>
      <c r="L40" s="33"/>
      <c r="M40" s="33"/>
    </row>
    <row r="41" spans="3:13" ht="25.8">
      <c r="C41" s="37"/>
      <c r="D41" s="33" t="s">
        <v>18</v>
      </c>
      <c r="E41" s="33" t="s">
        <v>2</v>
      </c>
      <c r="F41" s="50"/>
      <c r="G41" s="33"/>
      <c r="H41" s="33"/>
      <c r="I41" s="34"/>
      <c r="J41" s="34"/>
      <c r="L41" s="33"/>
      <c r="M41" s="33"/>
    </row>
    <row r="42" spans="3:13" ht="25.8">
      <c r="C42" s="37"/>
      <c r="D42" s="33" t="s">
        <v>18</v>
      </c>
      <c r="E42" s="33" t="s">
        <v>2</v>
      </c>
      <c r="F42" s="50"/>
      <c r="G42" s="33"/>
      <c r="H42" s="33"/>
      <c r="I42" s="34"/>
      <c r="J42" s="34"/>
      <c r="L42" s="33"/>
      <c r="M42" s="33"/>
    </row>
    <row r="43" spans="3:13" ht="25.8">
      <c r="C43" s="37"/>
      <c r="D43" s="33" t="s">
        <v>18</v>
      </c>
      <c r="E43" s="33" t="s">
        <v>2</v>
      </c>
      <c r="F43" s="50"/>
      <c r="G43" s="33"/>
      <c r="H43" s="33"/>
      <c r="I43" s="34"/>
      <c r="J43" s="34"/>
      <c r="L43" s="33"/>
      <c r="M43" s="33"/>
    </row>
    <row r="44" spans="3:13" ht="25.8">
      <c r="C44" s="37"/>
      <c r="D44" s="33" t="s">
        <v>18</v>
      </c>
      <c r="E44" s="33" t="s">
        <v>2</v>
      </c>
      <c r="F44" s="50"/>
      <c r="G44" s="33"/>
      <c r="H44" s="33"/>
      <c r="I44" s="34"/>
      <c r="J44" s="34"/>
      <c r="L44" s="33"/>
      <c r="M44" s="33"/>
    </row>
    <row r="45" spans="3:13" ht="25.8">
      <c r="C45" s="37"/>
      <c r="D45" s="33" t="s">
        <v>18</v>
      </c>
      <c r="E45" s="33" t="s">
        <v>2</v>
      </c>
      <c r="F45" s="50"/>
      <c r="G45" s="33"/>
      <c r="H45" s="33"/>
      <c r="I45" s="34"/>
      <c r="J45" s="34"/>
      <c r="L45" s="33"/>
      <c r="M45" s="33"/>
    </row>
    <row r="46" spans="3:13" ht="25.8">
      <c r="C46" s="37"/>
      <c r="D46" s="33" t="s">
        <v>18</v>
      </c>
      <c r="E46" s="33" t="s">
        <v>2</v>
      </c>
      <c r="F46" s="50"/>
      <c r="G46" s="33"/>
      <c r="H46" s="33"/>
      <c r="I46" s="34"/>
      <c r="J46" s="34"/>
      <c r="L46" s="33"/>
      <c r="M46" s="33"/>
    </row>
    <row r="47" spans="3:13" ht="25.8">
      <c r="C47" s="37"/>
      <c r="D47" s="33" t="s">
        <v>18</v>
      </c>
      <c r="E47" s="33" t="s">
        <v>2</v>
      </c>
      <c r="F47" s="50"/>
      <c r="G47" s="33"/>
      <c r="H47" s="33"/>
      <c r="I47" s="34"/>
      <c r="J47" s="34"/>
      <c r="L47" s="33"/>
      <c r="M47" s="33"/>
    </row>
    <row r="48" spans="3:13" ht="25.8">
      <c r="C48" s="37"/>
      <c r="D48" s="33" t="s">
        <v>18</v>
      </c>
      <c r="E48" s="33" t="s">
        <v>2</v>
      </c>
      <c r="F48" s="50"/>
      <c r="G48" s="33"/>
      <c r="H48" s="33"/>
      <c r="I48" s="34"/>
      <c r="J48" s="34"/>
      <c r="L48" s="33"/>
      <c r="M48" s="33"/>
    </row>
    <row r="49" spans="3:13" ht="25.8">
      <c r="C49" s="37"/>
      <c r="D49" s="33" t="s">
        <v>18</v>
      </c>
      <c r="E49" s="33" t="s">
        <v>2</v>
      </c>
      <c r="F49" s="50"/>
      <c r="G49" s="33"/>
      <c r="H49" s="33"/>
      <c r="I49" s="34"/>
      <c r="J49" s="34"/>
      <c r="L49" s="33"/>
      <c r="M49" s="33"/>
    </row>
    <row r="50" spans="3:13" ht="25.8">
      <c r="C50" s="37"/>
      <c r="D50" s="33" t="s">
        <v>18</v>
      </c>
      <c r="E50" s="33" t="s">
        <v>2</v>
      </c>
      <c r="F50" s="50"/>
      <c r="G50" s="33"/>
      <c r="H50" s="33"/>
      <c r="I50" s="34"/>
      <c r="J50" s="34"/>
      <c r="L50" s="33"/>
      <c r="M50" s="33"/>
    </row>
    <row r="51" spans="3:13" ht="25.8">
      <c r="C51" s="37"/>
      <c r="D51" s="33" t="s">
        <v>18</v>
      </c>
      <c r="E51" s="33" t="s">
        <v>2</v>
      </c>
      <c r="F51" s="50"/>
      <c r="G51" s="33"/>
      <c r="H51" s="33"/>
      <c r="I51" s="34"/>
      <c r="J51" s="34"/>
      <c r="L51" s="33"/>
      <c r="M51" s="33"/>
    </row>
    <row r="52" spans="3:13" ht="25.8">
      <c r="C52" s="37"/>
      <c r="D52" s="33" t="s">
        <v>18</v>
      </c>
      <c r="E52" s="33" t="s">
        <v>2</v>
      </c>
      <c r="F52" s="50"/>
      <c r="G52" s="33"/>
      <c r="H52" s="33"/>
      <c r="I52" s="34"/>
      <c r="J52" s="34"/>
      <c r="L52" s="33"/>
      <c r="M52" s="33"/>
    </row>
    <row r="53" spans="3:13" ht="25.8">
      <c r="C53" s="37"/>
      <c r="D53" s="33" t="s">
        <v>18</v>
      </c>
      <c r="E53" s="33" t="s">
        <v>2</v>
      </c>
      <c r="F53" s="50"/>
      <c r="G53" s="33"/>
      <c r="H53" s="33"/>
      <c r="I53" s="34"/>
      <c r="J53" s="34"/>
      <c r="L53" s="33"/>
      <c r="M53" s="33"/>
    </row>
    <row r="54" spans="3:13" ht="25.8">
      <c r="C54" s="35"/>
      <c r="D54" s="33" t="s">
        <v>18</v>
      </c>
      <c r="E54" s="33" t="s">
        <v>2</v>
      </c>
      <c r="F54" s="50"/>
      <c r="G54" s="33"/>
      <c r="H54" s="33"/>
      <c r="I54" s="34"/>
      <c r="J54" s="34"/>
      <c r="L54" s="33"/>
      <c r="M54" s="33"/>
    </row>
    <row r="55" spans="3:13" ht="25.8">
      <c r="C55" s="35"/>
      <c r="D55" s="33" t="s">
        <v>18</v>
      </c>
      <c r="E55" s="33" t="s">
        <v>2</v>
      </c>
      <c r="F55" s="50"/>
      <c r="G55" s="33"/>
      <c r="H55" s="33"/>
      <c r="I55" s="34"/>
      <c r="J55" s="34"/>
      <c r="L55" s="33"/>
      <c r="M55" s="33"/>
    </row>
    <row r="56" spans="3:13" ht="25.8">
      <c r="C56" s="35"/>
      <c r="D56" s="33" t="s">
        <v>18</v>
      </c>
      <c r="E56" s="33" t="s">
        <v>2</v>
      </c>
      <c r="F56" s="50"/>
      <c r="G56" s="33"/>
      <c r="H56" s="33"/>
      <c r="I56" s="34"/>
      <c r="J56" s="34"/>
      <c r="L56" s="33"/>
      <c r="M56" s="33"/>
    </row>
    <row r="57" spans="3:13" ht="25.8">
      <c r="C57" s="33"/>
      <c r="D57" s="33" t="s">
        <v>18</v>
      </c>
      <c r="E57" s="33" t="s">
        <v>2</v>
      </c>
      <c r="F57" s="50"/>
      <c r="G57" s="33"/>
      <c r="H57" s="33"/>
      <c r="I57" s="34"/>
      <c r="J57" s="34"/>
      <c r="L57" s="33"/>
      <c r="M57" s="33"/>
    </row>
    <row r="58" spans="3:13" ht="25.8">
      <c r="C58" s="33"/>
      <c r="D58" s="33" t="s">
        <v>18</v>
      </c>
      <c r="E58" s="33" t="s">
        <v>2</v>
      </c>
      <c r="F58" s="50"/>
      <c r="G58" s="33"/>
      <c r="H58" s="33"/>
      <c r="I58" s="34"/>
      <c r="J58" s="34"/>
      <c r="L58" s="33"/>
      <c r="M58" s="33"/>
    </row>
    <row r="59" spans="3:13" ht="25.8">
      <c r="C59" s="33"/>
      <c r="D59" s="33" t="s">
        <v>18</v>
      </c>
      <c r="E59" s="33" t="s">
        <v>2</v>
      </c>
      <c r="F59" s="50"/>
      <c r="G59" s="33"/>
      <c r="H59" s="33"/>
      <c r="I59" s="34"/>
      <c r="J59" s="34"/>
      <c r="L59" s="33"/>
      <c r="M59" s="33"/>
    </row>
    <row r="60" spans="3:13" ht="25.8">
      <c r="C60" s="33"/>
      <c r="D60" s="33" t="s">
        <v>18</v>
      </c>
      <c r="E60" s="33" t="s">
        <v>2</v>
      </c>
      <c r="F60" s="50"/>
      <c r="G60" s="33"/>
      <c r="H60" s="33"/>
      <c r="I60" s="34"/>
      <c r="J60" s="34"/>
      <c r="L60" s="33"/>
      <c r="M60" s="33"/>
    </row>
    <row r="61" spans="3:13" ht="25.8">
      <c r="C61" s="33"/>
      <c r="D61" s="33" t="s">
        <v>18</v>
      </c>
      <c r="E61" s="33" t="s">
        <v>2</v>
      </c>
      <c r="F61" s="50"/>
      <c r="G61" s="33"/>
      <c r="H61" s="33"/>
      <c r="I61" s="34"/>
      <c r="J61" s="34"/>
      <c r="L61" s="33"/>
      <c r="M61" s="33"/>
    </row>
    <row r="62" spans="3:13" ht="25.8">
      <c r="C62" s="33"/>
      <c r="D62" s="33" t="s">
        <v>18</v>
      </c>
      <c r="E62" s="33" t="s">
        <v>2</v>
      </c>
      <c r="F62" s="50"/>
      <c r="G62" s="33"/>
      <c r="H62" s="33"/>
      <c r="I62" s="34"/>
      <c r="J62" s="34"/>
      <c r="L62" s="33"/>
      <c r="M62" s="33"/>
    </row>
    <row r="63" spans="3:13" ht="25.8">
      <c r="C63" s="33"/>
      <c r="D63" s="33" t="s">
        <v>18</v>
      </c>
      <c r="E63" s="33" t="s">
        <v>2</v>
      </c>
      <c r="F63" s="50"/>
      <c r="G63" s="33"/>
      <c r="H63" s="33"/>
      <c r="I63" s="34"/>
      <c r="J63" s="34"/>
      <c r="L63" s="33"/>
      <c r="M63" s="33"/>
    </row>
    <row r="64" spans="3:13" ht="25.8">
      <c r="C64" s="33"/>
      <c r="D64" s="33" t="s">
        <v>18</v>
      </c>
      <c r="E64" s="33" t="s">
        <v>2</v>
      </c>
      <c r="F64" s="50"/>
      <c r="G64" s="33"/>
      <c r="H64" s="33"/>
      <c r="I64" s="34"/>
      <c r="J64" s="34"/>
      <c r="L64" s="33"/>
      <c r="M64" s="33"/>
    </row>
    <row r="65" spans="3:13" ht="25.8">
      <c r="C65" s="33"/>
      <c r="D65" s="33" t="s">
        <v>18</v>
      </c>
      <c r="E65" s="33" t="s">
        <v>2</v>
      </c>
      <c r="F65" s="50"/>
      <c r="G65" s="33"/>
      <c r="H65" s="33"/>
      <c r="I65" s="34"/>
      <c r="J65" s="34"/>
      <c r="L65" s="33"/>
      <c r="M65" s="33"/>
    </row>
    <row r="66" spans="3:13" ht="25.8">
      <c r="C66" s="33"/>
      <c r="D66" s="33" t="s">
        <v>18</v>
      </c>
      <c r="E66" s="33" t="s">
        <v>2</v>
      </c>
      <c r="F66" s="50"/>
      <c r="G66" s="33"/>
      <c r="H66" s="33"/>
      <c r="I66" s="34"/>
      <c r="J66" s="34"/>
      <c r="L66" s="33"/>
      <c r="M66" s="33"/>
    </row>
    <row r="67" spans="3:13" ht="25.8">
      <c r="C67" s="33"/>
      <c r="D67" s="33" t="s">
        <v>18</v>
      </c>
      <c r="E67" s="33" t="s">
        <v>2</v>
      </c>
      <c r="F67" s="50"/>
      <c r="G67" s="33"/>
      <c r="H67" s="33"/>
      <c r="I67" s="34"/>
      <c r="J67" s="34"/>
      <c r="L67" s="33"/>
      <c r="M67" s="33"/>
    </row>
    <row r="68" spans="3:13" ht="25.8">
      <c r="C68" s="33"/>
      <c r="D68" s="33" t="s">
        <v>18</v>
      </c>
      <c r="E68" s="33" t="s">
        <v>2</v>
      </c>
      <c r="F68" s="50"/>
      <c r="G68" s="33"/>
      <c r="H68" s="33"/>
      <c r="I68" s="34"/>
      <c r="J68" s="34"/>
      <c r="L68" s="33"/>
      <c r="M68" s="33"/>
    </row>
    <row r="69" spans="3:13" ht="25.8">
      <c r="C69" s="33"/>
      <c r="D69" s="33" t="s">
        <v>18</v>
      </c>
      <c r="E69" s="33" t="s">
        <v>2</v>
      </c>
      <c r="F69" s="50"/>
      <c r="G69" s="33"/>
      <c r="H69" s="33"/>
      <c r="I69" s="34"/>
      <c r="J69" s="34"/>
      <c r="L69" s="33"/>
      <c r="M69" s="33"/>
    </row>
    <row r="70" spans="3:13" ht="25.8">
      <c r="C70" s="33"/>
      <c r="D70" s="33" t="s">
        <v>18</v>
      </c>
      <c r="E70" s="33" t="s">
        <v>2</v>
      </c>
      <c r="F70" s="50"/>
      <c r="G70" s="33"/>
      <c r="H70" s="33"/>
      <c r="I70" s="34"/>
      <c r="J70" s="34"/>
      <c r="L70" s="33"/>
      <c r="M70" s="33"/>
    </row>
    <row r="71" spans="3:13" ht="25.8">
      <c r="C71" s="33"/>
      <c r="D71" s="33" t="s">
        <v>18</v>
      </c>
      <c r="E71" s="33" t="s">
        <v>2</v>
      </c>
      <c r="F71" s="50"/>
      <c r="G71" s="33"/>
      <c r="H71" s="33"/>
      <c r="I71" s="34"/>
      <c r="J71" s="34"/>
      <c r="L71" s="33"/>
      <c r="M71" s="33"/>
    </row>
    <row r="72" spans="3:13" ht="25.8">
      <c r="C72" s="33"/>
      <c r="D72" s="33" t="s">
        <v>18</v>
      </c>
      <c r="E72" s="33" t="s">
        <v>2</v>
      </c>
      <c r="F72" s="50"/>
      <c r="G72" s="33"/>
      <c r="H72" s="33"/>
      <c r="I72" s="34"/>
      <c r="J72" s="34"/>
      <c r="L72" s="33"/>
      <c r="M72" s="33"/>
    </row>
    <row r="73" spans="3:13" ht="25.8">
      <c r="C73" s="33"/>
      <c r="D73" s="33" t="s">
        <v>18</v>
      </c>
      <c r="E73" s="33" t="s">
        <v>2</v>
      </c>
      <c r="F73" s="50"/>
      <c r="G73" s="33"/>
      <c r="H73" s="33"/>
      <c r="I73" s="34"/>
      <c r="J73" s="34"/>
      <c r="L73" s="33"/>
      <c r="M73" s="33"/>
    </row>
    <row r="74" spans="3:13" ht="25.8">
      <c r="C74" s="33"/>
      <c r="D74" s="33" t="s">
        <v>18</v>
      </c>
      <c r="E74" s="33" t="s">
        <v>2</v>
      </c>
      <c r="F74" s="50"/>
      <c r="G74" s="33"/>
      <c r="H74" s="33"/>
      <c r="I74" s="34"/>
      <c r="J74" s="34"/>
      <c r="L74" s="33"/>
      <c r="M74" s="33"/>
    </row>
    <row r="75" spans="3:13" ht="25.8">
      <c r="C75" s="33"/>
      <c r="D75" s="33" t="s">
        <v>18</v>
      </c>
      <c r="E75" s="33" t="s">
        <v>2</v>
      </c>
      <c r="F75" s="50"/>
      <c r="G75" s="33"/>
      <c r="H75" s="33"/>
      <c r="I75" s="34"/>
      <c r="J75" s="34"/>
      <c r="L75" s="33"/>
      <c r="M75" s="33"/>
    </row>
    <row r="76" spans="3:13" ht="25.8">
      <c r="C76" s="33"/>
      <c r="D76" s="33" t="s">
        <v>18</v>
      </c>
      <c r="E76" s="33" t="s">
        <v>2</v>
      </c>
      <c r="F76" s="50"/>
      <c r="G76" s="33"/>
      <c r="H76" s="33"/>
      <c r="I76" s="34"/>
      <c r="J76" s="34"/>
      <c r="L76" s="33"/>
      <c r="M76" s="33"/>
    </row>
    <row r="77" spans="3:13" ht="25.8">
      <c r="C77" s="33"/>
      <c r="D77" s="33" t="s">
        <v>18</v>
      </c>
      <c r="E77" s="33" t="s">
        <v>2</v>
      </c>
      <c r="F77" s="50"/>
      <c r="G77" s="33"/>
      <c r="H77" s="33"/>
      <c r="I77" s="34"/>
      <c r="J77" s="34"/>
      <c r="L77" s="33"/>
      <c r="M77" s="33"/>
    </row>
    <row r="78" spans="3:13" ht="25.8">
      <c r="C78" s="33"/>
      <c r="D78" s="33" t="s">
        <v>18</v>
      </c>
      <c r="E78" s="33" t="s">
        <v>2</v>
      </c>
      <c r="F78" s="50"/>
      <c r="G78" s="33"/>
      <c r="H78" s="33"/>
      <c r="I78" s="34"/>
      <c r="J78" s="34"/>
      <c r="L78" s="33"/>
      <c r="M78" s="33"/>
    </row>
    <row r="79" spans="3:13" ht="25.8">
      <c r="C79" s="33"/>
      <c r="D79" s="33" t="s">
        <v>18</v>
      </c>
      <c r="E79" s="33" t="s">
        <v>2</v>
      </c>
      <c r="F79" s="50"/>
      <c r="G79" s="33"/>
      <c r="H79" s="33"/>
      <c r="I79" s="34"/>
      <c r="J79" s="34"/>
      <c r="L79" s="33"/>
      <c r="M79" s="33"/>
    </row>
    <row r="80" spans="3:13" ht="25.8">
      <c r="C80" s="33"/>
      <c r="D80" s="33" t="s">
        <v>18</v>
      </c>
      <c r="E80" s="33" t="s">
        <v>2</v>
      </c>
      <c r="F80" s="50"/>
      <c r="G80" s="33"/>
      <c r="H80" s="33"/>
      <c r="I80" s="34"/>
      <c r="J80" s="34"/>
      <c r="L80" s="33"/>
      <c r="M80" s="33"/>
    </row>
    <row r="81" spans="3:13" ht="25.8">
      <c r="C81" s="33"/>
      <c r="D81" s="33" t="s">
        <v>18</v>
      </c>
      <c r="E81" s="33" t="s">
        <v>2</v>
      </c>
      <c r="F81" s="50"/>
      <c r="G81" s="33"/>
      <c r="H81" s="33"/>
      <c r="I81" s="34"/>
      <c r="J81" s="34"/>
      <c r="L81" s="33"/>
      <c r="M81" s="33"/>
    </row>
    <row r="82" spans="3:13" ht="25.8">
      <c r="C82" s="33"/>
      <c r="D82" s="33" t="s">
        <v>18</v>
      </c>
      <c r="E82" s="33" t="s">
        <v>2</v>
      </c>
      <c r="F82" s="50"/>
      <c r="G82" s="33"/>
      <c r="H82" s="33"/>
      <c r="I82" s="34"/>
      <c r="J82" s="34"/>
      <c r="L82" s="33"/>
      <c r="M82" s="33"/>
    </row>
    <row r="83" spans="3:13" ht="25.8">
      <c r="C83" s="33"/>
      <c r="D83" s="33" t="s">
        <v>18</v>
      </c>
      <c r="E83" s="33" t="s">
        <v>2</v>
      </c>
      <c r="F83" s="50"/>
      <c r="G83" s="33"/>
      <c r="H83" s="33"/>
      <c r="I83" s="34"/>
      <c r="J83" s="34"/>
      <c r="L83" s="33"/>
      <c r="M83" s="33"/>
    </row>
    <row r="84" spans="3:13" ht="25.8">
      <c r="C84" s="33"/>
      <c r="D84" s="33" t="s">
        <v>18</v>
      </c>
      <c r="E84" s="33" t="s">
        <v>2</v>
      </c>
      <c r="F84" s="50"/>
      <c r="G84" s="33"/>
      <c r="H84" s="33"/>
      <c r="I84" s="34"/>
      <c r="J84" s="34"/>
      <c r="L84" s="33"/>
      <c r="M84" s="33"/>
    </row>
    <row r="85" spans="3:13" ht="25.8">
      <c r="C85" s="33"/>
      <c r="D85" s="33" t="s">
        <v>18</v>
      </c>
      <c r="E85" s="33" t="s">
        <v>2</v>
      </c>
      <c r="F85" s="50"/>
      <c r="G85" s="33"/>
      <c r="H85" s="33"/>
      <c r="I85" s="34"/>
      <c r="J85" s="34"/>
      <c r="L85" s="33"/>
      <c r="M85" s="33"/>
    </row>
    <row r="86" spans="3:13" ht="25.8">
      <c r="C86" s="33"/>
      <c r="D86" s="33" t="s">
        <v>18</v>
      </c>
      <c r="E86" s="33" t="s">
        <v>2</v>
      </c>
      <c r="F86" s="50"/>
      <c r="G86" s="33"/>
      <c r="H86" s="33"/>
      <c r="I86" s="34"/>
      <c r="J86" s="34"/>
      <c r="L86" s="33"/>
      <c r="M86" s="33"/>
    </row>
    <row r="87" spans="3:13" ht="25.8">
      <c r="C87" s="33"/>
      <c r="D87" s="33" t="s">
        <v>18</v>
      </c>
      <c r="E87" s="33" t="s">
        <v>2</v>
      </c>
      <c r="F87" s="50"/>
      <c r="G87" s="33"/>
      <c r="H87" s="33"/>
      <c r="I87" s="34"/>
      <c r="J87" s="34"/>
      <c r="L87" s="33"/>
      <c r="M87" s="33"/>
    </row>
    <row r="88" spans="3:13" ht="25.8">
      <c r="C88" s="33"/>
      <c r="D88" s="33" t="s">
        <v>18</v>
      </c>
      <c r="E88" s="33" t="s">
        <v>2</v>
      </c>
      <c r="F88" s="50"/>
      <c r="G88" s="33"/>
      <c r="H88" s="33"/>
      <c r="I88" s="34"/>
      <c r="J88" s="34"/>
      <c r="L88" s="33"/>
      <c r="M88" s="33"/>
    </row>
    <row r="89" spans="3:13" ht="25.8">
      <c r="C89" s="33"/>
      <c r="D89" s="33" t="s">
        <v>18</v>
      </c>
      <c r="E89" s="33" t="s">
        <v>2</v>
      </c>
      <c r="F89" s="50"/>
      <c r="G89" s="33"/>
      <c r="H89" s="33"/>
      <c r="I89" s="34"/>
      <c r="J89" s="34"/>
      <c r="L89" s="33"/>
      <c r="M89" s="33"/>
    </row>
    <row r="90" spans="3:13" ht="25.8">
      <c r="C90" s="33"/>
      <c r="D90" s="33" t="s">
        <v>18</v>
      </c>
      <c r="E90" s="33" t="s">
        <v>2</v>
      </c>
      <c r="F90" s="50"/>
      <c r="G90" s="33"/>
      <c r="H90" s="33"/>
      <c r="I90" s="34"/>
      <c r="J90" s="34"/>
      <c r="L90" s="33"/>
      <c r="M90" s="33"/>
    </row>
    <row r="91" spans="3:13" ht="25.8">
      <c r="C91" s="33"/>
      <c r="D91" s="33" t="s">
        <v>18</v>
      </c>
      <c r="E91" s="33" t="s">
        <v>2</v>
      </c>
      <c r="F91" s="50"/>
      <c r="G91" s="33"/>
      <c r="H91" s="33"/>
      <c r="I91" s="34"/>
      <c r="J91" s="34"/>
      <c r="L91" s="33"/>
      <c r="M91" s="33"/>
    </row>
    <row r="92" spans="3:13" ht="25.8">
      <c r="C92" s="33"/>
      <c r="D92" s="33" t="s">
        <v>18</v>
      </c>
      <c r="E92" s="33" t="s">
        <v>2</v>
      </c>
      <c r="F92" s="50"/>
      <c r="G92" s="33"/>
      <c r="H92" s="33"/>
      <c r="I92" s="34"/>
      <c r="J92" s="34"/>
      <c r="L92" s="33"/>
      <c r="M92" s="33"/>
    </row>
    <row r="93" spans="3:13" ht="25.8">
      <c r="C93" s="33"/>
      <c r="D93" s="33" t="s">
        <v>18</v>
      </c>
      <c r="E93" s="33" t="s">
        <v>2</v>
      </c>
      <c r="F93" s="50"/>
      <c r="G93" s="33"/>
      <c r="H93" s="33"/>
      <c r="I93" s="34"/>
      <c r="J93" s="34"/>
      <c r="L93" s="33"/>
      <c r="M93" s="33"/>
    </row>
    <row r="94" spans="3:13" ht="25.8">
      <c r="C94" s="33"/>
      <c r="D94" s="33" t="s">
        <v>18</v>
      </c>
      <c r="E94" s="33" t="s">
        <v>2</v>
      </c>
      <c r="F94" s="50"/>
      <c r="G94" s="33"/>
      <c r="H94" s="33"/>
      <c r="I94" s="34"/>
      <c r="J94" s="34"/>
      <c r="L94" s="33"/>
      <c r="M94" s="33"/>
    </row>
    <row r="95" spans="3:13" ht="25.8">
      <c r="C95" s="33"/>
      <c r="D95" s="33" t="s">
        <v>18</v>
      </c>
      <c r="E95" s="33" t="s">
        <v>2</v>
      </c>
      <c r="F95" s="50"/>
      <c r="G95" s="33"/>
      <c r="H95" s="33"/>
      <c r="I95" s="34"/>
      <c r="J95" s="34"/>
      <c r="L95" s="33"/>
      <c r="M95" s="33"/>
    </row>
    <row r="96" spans="3:13" ht="25.8">
      <c r="C96" s="33"/>
      <c r="D96" s="33" t="s">
        <v>18</v>
      </c>
      <c r="E96" s="33" t="s">
        <v>2</v>
      </c>
      <c r="F96" s="50"/>
      <c r="G96" s="33"/>
      <c r="H96" s="33"/>
      <c r="I96" s="34"/>
      <c r="J96" s="34"/>
      <c r="L96" s="33"/>
      <c r="M96" s="33"/>
    </row>
    <row r="97" spans="3:13" ht="25.8">
      <c r="C97" s="33"/>
      <c r="D97" s="33" t="s">
        <v>18</v>
      </c>
      <c r="E97" s="33" t="s">
        <v>2</v>
      </c>
      <c r="F97" s="50"/>
      <c r="G97" s="33"/>
      <c r="H97" s="33"/>
      <c r="I97" s="34"/>
      <c r="J97" s="34"/>
      <c r="L97" s="33"/>
      <c r="M97" s="33"/>
    </row>
    <row r="98" spans="3:13" ht="25.8">
      <c r="C98" s="33"/>
      <c r="D98" s="33" t="s">
        <v>18</v>
      </c>
      <c r="E98" s="33" t="s">
        <v>2</v>
      </c>
      <c r="F98" s="50"/>
      <c r="G98" s="33"/>
      <c r="H98" s="33"/>
      <c r="I98" s="34"/>
      <c r="J98" s="34"/>
      <c r="L98" s="33"/>
      <c r="M98" s="33"/>
    </row>
    <row r="99" spans="3:13" ht="25.8">
      <c r="C99" s="33"/>
      <c r="D99" s="33" t="s">
        <v>18</v>
      </c>
      <c r="E99" s="33" t="s">
        <v>2</v>
      </c>
      <c r="F99" s="50"/>
      <c r="G99" s="33"/>
      <c r="H99" s="33"/>
      <c r="I99" s="34"/>
      <c r="J99" s="34"/>
      <c r="L99" s="33"/>
      <c r="M99" s="33"/>
    </row>
    <row r="100" spans="3:13" ht="25.8">
      <c r="C100" s="33"/>
      <c r="D100" s="33" t="s">
        <v>18</v>
      </c>
      <c r="E100" s="33" t="s">
        <v>2</v>
      </c>
      <c r="F100" s="50"/>
      <c r="G100" s="33"/>
      <c r="H100" s="33"/>
      <c r="I100" s="34"/>
      <c r="J100" s="34"/>
      <c r="L100" s="33"/>
      <c r="M100" s="33"/>
    </row>
    <row r="101" spans="3:13" ht="25.8">
      <c r="C101" s="33"/>
      <c r="D101" s="33" t="s">
        <v>18</v>
      </c>
      <c r="E101" s="33" t="s">
        <v>2</v>
      </c>
      <c r="F101" s="50"/>
      <c r="G101" s="33"/>
      <c r="H101" s="33"/>
      <c r="I101" s="34"/>
      <c r="J101" s="34"/>
      <c r="L101" s="33"/>
      <c r="M101" s="33"/>
    </row>
    <row r="102" spans="3:13" ht="25.8">
      <c r="C102" s="33"/>
      <c r="D102" s="33" t="s">
        <v>18</v>
      </c>
      <c r="E102" s="33" t="s">
        <v>2</v>
      </c>
      <c r="F102" s="50"/>
      <c r="G102" s="33"/>
      <c r="H102" s="33"/>
      <c r="I102" s="34"/>
      <c r="J102" s="34"/>
      <c r="L102" s="33"/>
      <c r="M102" s="33"/>
    </row>
    <row r="103" spans="3:13" ht="25.8">
      <c r="C103" s="33"/>
      <c r="D103" s="33" t="s">
        <v>18</v>
      </c>
      <c r="E103" s="33" t="s">
        <v>2</v>
      </c>
      <c r="F103" s="50"/>
      <c r="G103" s="33"/>
      <c r="H103" s="33"/>
      <c r="I103" s="34"/>
      <c r="J103" s="34"/>
      <c r="L103" s="33"/>
      <c r="M103" s="33"/>
    </row>
    <row r="104" spans="3:13" ht="25.8">
      <c r="C104" s="33"/>
      <c r="D104" s="33" t="s">
        <v>18</v>
      </c>
      <c r="E104" s="33" t="s">
        <v>2</v>
      </c>
      <c r="F104" s="50"/>
      <c r="G104" s="33"/>
      <c r="H104" s="33"/>
      <c r="I104" s="34"/>
      <c r="J104" s="34"/>
      <c r="L104" s="33"/>
      <c r="M104" s="33"/>
    </row>
    <row r="105" spans="3:13" ht="25.8">
      <c r="C105" s="33"/>
      <c r="D105" s="33" t="s">
        <v>18</v>
      </c>
      <c r="E105" s="33" t="s">
        <v>2</v>
      </c>
      <c r="F105" s="50"/>
      <c r="G105" s="33"/>
      <c r="H105" s="33"/>
      <c r="I105" s="34"/>
      <c r="J105" s="34"/>
      <c r="L105" s="33"/>
      <c r="M105" s="33"/>
    </row>
    <row r="106" spans="3:13" ht="25.8">
      <c r="C106" s="33"/>
      <c r="D106" s="33" t="s">
        <v>18</v>
      </c>
      <c r="E106" s="33" t="s">
        <v>2</v>
      </c>
      <c r="F106" s="50"/>
      <c r="G106" s="33"/>
      <c r="H106" s="33"/>
      <c r="I106" s="34"/>
      <c r="J106" s="34"/>
      <c r="L106" s="33"/>
      <c r="M106" s="33"/>
    </row>
    <row r="107" spans="3:13" ht="25.8">
      <c r="C107" s="33"/>
      <c r="D107" s="33" t="s">
        <v>18</v>
      </c>
      <c r="E107" s="33" t="s">
        <v>2</v>
      </c>
      <c r="F107" s="50"/>
      <c r="G107" s="33"/>
      <c r="H107" s="33"/>
      <c r="I107" s="34"/>
      <c r="J107" s="34"/>
      <c r="L107" s="33"/>
      <c r="M107" s="33"/>
    </row>
    <row r="108" spans="3:13" ht="25.8">
      <c r="C108" s="33"/>
      <c r="D108" s="33" t="s">
        <v>18</v>
      </c>
      <c r="E108" s="33" t="s">
        <v>2</v>
      </c>
      <c r="F108" s="50"/>
      <c r="G108" s="33"/>
      <c r="H108" s="33"/>
      <c r="I108" s="34"/>
      <c r="J108" s="34"/>
      <c r="L108" s="33"/>
      <c r="M108" s="33"/>
    </row>
    <row r="109" spans="3:13" ht="25.8">
      <c r="C109" s="33"/>
      <c r="D109" s="33" t="s">
        <v>18</v>
      </c>
      <c r="E109" s="33" t="s">
        <v>2</v>
      </c>
      <c r="F109" s="50"/>
      <c r="G109" s="33"/>
      <c r="H109" s="33"/>
      <c r="I109" s="34"/>
      <c r="J109" s="34"/>
      <c r="L109" s="33"/>
      <c r="M109" s="33"/>
    </row>
    <row r="110" spans="3:13" ht="25.8">
      <c r="C110" s="33"/>
      <c r="D110" s="33" t="s">
        <v>18</v>
      </c>
      <c r="E110" s="33" t="s">
        <v>2</v>
      </c>
      <c r="F110" s="50"/>
      <c r="G110" s="33"/>
      <c r="H110" s="33"/>
      <c r="I110" s="34"/>
      <c r="J110" s="34"/>
      <c r="L110" s="33"/>
      <c r="M110" s="33"/>
    </row>
    <row r="111" spans="3:13" ht="25.8">
      <c r="C111" s="33"/>
      <c r="D111" s="33" t="s">
        <v>18</v>
      </c>
      <c r="E111" s="33" t="s">
        <v>2</v>
      </c>
      <c r="F111" s="50"/>
      <c r="G111" s="33"/>
      <c r="H111" s="33"/>
      <c r="I111" s="34"/>
      <c r="J111" s="34"/>
      <c r="L111" s="33"/>
      <c r="M111" s="33"/>
    </row>
    <row r="112" spans="3:13" ht="25.8">
      <c r="C112" s="33"/>
      <c r="D112" s="33" t="s">
        <v>18</v>
      </c>
      <c r="E112" s="33" t="s">
        <v>2</v>
      </c>
      <c r="F112" s="50"/>
      <c r="G112" s="33"/>
      <c r="H112" s="33"/>
      <c r="I112" s="34"/>
      <c r="J112" s="34"/>
      <c r="L112" s="33"/>
      <c r="M112" s="33"/>
    </row>
    <row r="113" spans="3:13" ht="25.8">
      <c r="C113" s="33"/>
      <c r="D113" s="33" t="s">
        <v>18</v>
      </c>
      <c r="E113" s="33" t="s">
        <v>2</v>
      </c>
      <c r="F113" s="50"/>
      <c r="G113" s="33"/>
      <c r="H113" s="33"/>
      <c r="I113" s="34"/>
      <c r="J113" s="34"/>
      <c r="L113" s="33"/>
      <c r="M113" s="33"/>
    </row>
    <row r="114" spans="3:13" ht="25.8">
      <c r="C114" s="33"/>
      <c r="D114" s="33" t="s">
        <v>18</v>
      </c>
      <c r="E114" s="33" t="s">
        <v>2</v>
      </c>
      <c r="F114" s="50"/>
      <c r="G114" s="33"/>
      <c r="H114" s="33"/>
      <c r="I114" s="34"/>
      <c r="J114" s="34"/>
      <c r="L114" s="33"/>
      <c r="M114" s="33"/>
    </row>
    <row r="115" spans="3:13" ht="25.8">
      <c r="C115" s="33"/>
      <c r="D115" s="33" t="s">
        <v>18</v>
      </c>
      <c r="E115" s="33" t="s">
        <v>2</v>
      </c>
      <c r="F115" s="50"/>
      <c r="G115" s="33"/>
      <c r="H115" s="33"/>
      <c r="I115" s="34"/>
      <c r="J115" s="34"/>
      <c r="L115" s="33"/>
      <c r="M115" s="33"/>
    </row>
    <row r="116" spans="3:13" ht="25.8">
      <c r="C116" s="33"/>
      <c r="D116" s="33" t="s">
        <v>18</v>
      </c>
      <c r="E116" s="33" t="s">
        <v>2</v>
      </c>
      <c r="F116" s="50"/>
      <c r="G116" s="33"/>
      <c r="H116" s="33"/>
      <c r="I116" s="34"/>
      <c r="J116" s="34"/>
      <c r="L116" s="33"/>
      <c r="M116" s="33"/>
    </row>
    <row r="117" spans="3:13" ht="25.8">
      <c r="C117" s="33"/>
      <c r="D117" s="33" t="s">
        <v>18</v>
      </c>
      <c r="E117" s="33" t="s">
        <v>2</v>
      </c>
      <c r="F117" s="50"/>
      <c r="G117" s="33"/>
      <c r="H117" s="33"/>
      <c r="I117" s="34"/>
      <c r="J117" s="34"/>
      <c r="L117" s="33"/>
      <c r="M117" s="33"/>
    </row>
    <row r="118" spans="3:13" ht="25.8">
      <c r="C118" s="33"/>
      <c r="D118" s="33" t="s">
        <v>18</v>
      </c>
      <c r="E118" s="33" t="s">
        <v>2</v>
      </c>
      <c r="F118" s="50"/>
      <c r="G118" s="33"/>
      <c r="H118" s="33"/>
      <c r="I118" s="34"/>
      <c r="J118" s="34"/>
      <c r="L118" s="33"/>
      <c r="M118" s="33"/>
    </row>
    <row r="119" spans="3:13" ht="25.8">
      <c r="C119" s="33"/>
      <c r="D119" s="33" t="s">
        <v>18</v>
      </c>
      <c r="E119" s="33" t="s">
        <v>2</v>
      </c>
      <c r="F119" s="50"/>
      <c r="G119" s="33"/>
      <c r="H119" s="33"/>
      <c r="I119" s="34"/>
      <c r="J119" s="34"/>
      <c r="L119" s="33"/>
      <c r="M119" s="33"/>
    </row>
    <row r="120" spans="3:13" ht="25.8">
      <c r="C120" s="33"/>
      <c r="D120" s="33" t="s">
        <v>18</v>
      </c>
      <c r="E120" s="33" t="s">
        <v>2</v>
      </c>
      <c r="F120" s="50"/>
      <c r="G120" s="33"/>
      <c r="H120" s="33"/>
      <c r="I120" s="34"/>
      <c r="J120" s="34"/>
      <c r="L120" s="33"/>
      <c r="M120" s="33"/>
    </row>
    <row r="121" spans="3:13" ht="25.8">
      <c r="C121" s="33"/>
      <c r="D121" s="33" t="s">
        <v>18</v>
      </c>
      <c r="E121" s="33" t="s">
        <v>2</v>
      </c>
      <c r="F121" s="50"/>
      <c r="G121" s="33"/>
      <c r="H121" s="33"/>
      <c r="I121" s="34"/>
      <c r="J121" s="34"/>
      <c r="L121" s="33"/>
      <c r="M121" s="33"/>
    </row>
    <row r="122" spans="3:13" ht="25.8">
      <c r="C122" s="33"/>
      <c r="D122" s="33" t="s">
        <v>18</v>
      </c>
      <c r="E122" s="33" t="s">
        <v>2</v>
      </c>
      <c r="F122" s="50"/>
      <c r="G122" s="33"/>
      <c r="H122" s="33"/>
      <c r="I122" s="34"/>
      <c r="J122" s="34"/>
      <c r="L122" s="33"/>
      <c r="M122" s="33"/>
    </row>
    <row r="123" spans="3:13" ht="25.8">
      <c r="C123" s="33"/>
      <c r="D123" s="33" t="s">
        <v>18</v>
      </c>
      <c r="E123" s="33" t="s">
        <v>2</v>
      </c>
      <c r="F123" s="50"/>
      <c r="G123" s="33"/>
      <c r="H123" s="33"/>
      <c r="I123" s="34"/>
      <c r="J123" s="34"/>
      <c r="L123" s="33"/>
      <c r="M123" s="33"/>
    </row>
    <row r="124" spans="3:13" ht="25.8">
      <c r="C124" s="33"/>
      <c r="D124" s="33" t="s">
        <v>18</v>
      </c>
      <c r="E124" s="33" t="s">
        <v>2</v>
      </c>
      <c r="F124" s="50"/>
      <c r="G124" s="33"/>
      <c r="H124" s="33"/>
      <c r="I124" s="34"/>
      <c r="J124" s="34"/>
      <c r="L124" s="33"/>
      <c r="M124" s="33"/>
    </row>
    <row r="125" spans="3:13" ht="25.8">
      <c r="C125" s="33"/>
      <c r="D125" s="33" t="s">
        <v>18</v>
      </c>
      <c r="E125" s="33" t="s">
        <v>2</v>
      </c>
      <c r="F125" s="50"/>
      <c r="G125" s="33"/>
      <c r="H125" s="33"/>
      <c r="I125" s="34"/>
      <c r="J125" s="34"/>
      <c r="L125" s="33"/>
      <c r="M125" s="33"/>
    </row>
    <row r="126" spans="3:13" ht="25.8">
      <c r="C126" s="33"/>
      <c r="D126" s="33" t="s">
        <v>18</v>
      </c>
      <c r="E126" s="33" t="s">
        <v>2</v>
      </c>
      <c r="F126" s="50"/>
      <c r="G126" s="33"/>
      <c r="H126" s="33"/>
      <c r="I126" s="34"/>
      <c r="J126" s="34"/>
      <c r="L126" s="33"/>
      <c r="M126" s="33"/>
    </row>
    <row r="127" spans="3:13" ht="25.8">
      <c r="C127" s="33"/>
      <c r="D127" s="33" t="s">
        <v>18</v>
      </c>
      <c r="E127" s="33" t="s">
        <v>2</v>
      </c>
      <c r="F127" s="50"/>
      <c r="G127" s="33"/>
      <c r="H127" s="33"/>
      <c r="I127" s="34"/>
      <c r="J127" s="34"/>
      <c r="L127" s="33"/>
      <c r="M127" s="33"/>
    </row>
    <row r="128" spans="3:13" ht="25.8">
      <c r="C128" s="33"/>
      <c r="D128" s="33" t="s">
        <v>18</v>
      </c>
      <c r="E128" s="33" t="s">
        <v>2</v>
      </c>
      <c r="F128" s="50"/>
      <c r="G128" s="33"/>
      <c r="H128" s="33"/>
      <c r="I128" s="34"/>
      <c r="J128" s="34"/>
      <c r="L128" s="33"/>
      <c r="M128" s="33"/>
    </row>
    <row r="129" spans="3:13" ht="25.8">
      <c r="C129" s="33"/>
      <c r="D129" s="33" t="s">
        <v>18</v>
      </c>
      <c r="E129" s="33" t="s">
        <v>2</v>
      </c>
      <c r="F129" s="50"/>
      <c r="G129" s="33"/>
      <c r="H129" s="33"/>
      <c r="I129" s="34"/>
      <c r="J129" s="34"/>
      <c r="L129" s="33"/>
      <c r="M129" s="33"/>
    </row>
    <row r="130" spans="3:13" ht="25.8">
      <c r="C130" s="33"/>
      <c r="D130" s="33" t="s">
        <v>18</v>
      </c>
      <c r="E130" s="33" t="s">
        <v>2</v>
      </c>
      <c r="F130" s="50"/>
      <c r="G130" s="33"/>
      <c r="H130" s="33"/>
      <c r="I130" s="34"/>
      <c r="J130" s="34"/>
      <c r="L130" s="33"/>
      <c r="M130" s="33"/>
    </row>
    <row r="131" spans="3:13" ht="25.8">
      <c r="C131" s="33"/>
      <c r="D131" s="33" t="s">
        <v>18</v>
      </c>
      <c r="E131" s="33" t="s">
        <v>2</v>
      </c>
      <c r="F131" s="50"/>
      <c r="G131" s="33"/>
      <c r="H131" s="33"/>
      <c r="I131" s="34"/>
      <c r="J131" s="34"/>
      <c r="L131" s="33"/>
      <c r="M131" s="33"/>
    </row>
    <row r="132" spans="3:13" ht="25.8">
      <c r="C132" s="33"/>
      <c r="D132" s="33" t="s">
        <v>18</v>
      </c>
      <c r="E132" s="33" t="s">
        <v>2</v>
      </c>
      <c r="F132" s="50"/>
      <c r="G132" s="33"/>
      <c r="H132" s="33"/>
      <c r="I132" s="34"/>
      <c r="J132" s="34"/>
      <c r="L132" s="33"/>
      <c r="M132" s="33"/>
    </row>
    <row r="133" spans="3:13" ht="25.8">
      <c r="C133" s="33"/>
      <c r="D133" s="33" t="s">
        <v>18</v>
      </c>
      <c r="E133" s="33" t="s">
        <v>2</v>
      </c>
      <c r="F133" s="50"/>
      <c r="G133" s="33"/>
      <c r="H133" s="33"/>
      <c r="I133" s="34"/>
      <c r="J133" s="34"/>
      <c r="L133" s="33"/>
      <c r="M133" s="33"/>
    </row>
    <row r="134" spans="3:13" ht="25.8">
      <c r="C134" s="33"/>
      <c r="D134" s="33" t="s">
        <v>18</v>
      </c>
      <c r="E134" s="33" t="s">
        <v>2</v>
      </c>
      <c r="F134" s="50"/>
      <c r="G134" s="33"/>
      <c r="H134" s="33"/>
      <c r="I134" s="34"/>
      <c r="J134" s="34"/>
      <c r="L134" s="33"/>
      <c r="M134" s="33"/>
    </row>
    <row r="135" spans="3:13" ht="25.8">
      <c r="C135" s="33"/>
      <c r="D135" s="33" t="s">
        <v>18</v>
      </c>
      <c r="E135" s="33" t="s">
        <v>2</v>
      </c>
      <c r="F135" s="50"/>
      <c r="G135" s="33"/>
      <c r="H135" s="33"/>
      <c r="I135" s="34"/>
      <c r="J135" s="34"/>
      <c r="L135" s="33"/>
      <c r="M135" s="33"/>
    </row>
    <row r="136" spans="3:13" ht="25.8">
      <c r="C136" s="33"/>
      <c r="D136" s="33" t="s">
        <v>18</v>
      </c>
      <c r="E136" s="33" t="s">
        <v>2</v>
      </c>
      <c r="F136" s="50"/>
      <c r="G136" s="33"/>
      <c r="H136" s="33"/>
      <c r="I136" s="34"/>
      <c r="J136" s="34"/>
      <c r="L136" s="33"/>
      <c r="M136" s="33"/>
    </row>
    <row r="137" spans="3:13" ht="25.8">
      <c r="C137" s="33"/>
      <c r="D137" s="33" t="s">
        <v>18</v>
      </c>
      <c r="E137" s="33" t="s">
        <v>2</v>
      </c>
      <c r="F137" s="50"/>
      <c r="G137" s="33"/>
      <c r="H137" s="33"/>
      <c r="I137" s="34"/>
      <c r="J137" s="34"/>
      <c r="L137" s="33"/>
      <c r="M137" s="33"/>
    </row>
    <row r="138" spans="3:13" ht="25.8">
      <c r="C138" s="33"/>
      <c r="D138" s="33" t="s">
        <v>18</v>
      </c>
      <c r="E138" s="33" t="s">
        <v>2</v>
      </c>
      <c r="F138" s="50"/>
      <c r="G138" s="33"/>
      <c r="H138" s="33"/>
      <c r="I138" s="34"/>
      <c r="J138" s="34"/>
      <c r="L138" s="33"/>
      <c r="M138" s="33"/>
    </row>
    <row r="139" spans="3:13" ht="25.8">
      <c r="C139" s="33"/>
      <c r="D139" s="33" t="s">
        <v>18</v>
      </c>
      <c r="E139" s="33" t="s">
        <v>2</v>
      </c>
      <c r="F139" s="50"/>
      <c r="G139" s="33"/>
      <c r="H139" s="33"/>
      <c r="I139" s="34"/>
      <c r="J139" s="34"/>
      <c r="L139" s="33"/>
      <c r="M139" s="33"/>
    </row>
    <row r="140" spans="3:13" ht="25.8">
      <c r="C140" s="33"/>
      <c r="D140" s="33" t="s">
        <v>18</v>
      </c>
      <c r="E140" s="33" t="s">
        <v>2</v>
      </c>
      <c r="F140" s="50"/>
      <c r="G140" s="33"/>
      <c r="H140" s="33"/>
      <c r="I140" s="34"/>
      <c r="J140" s="34"/>
      <c r="L140" s="33"/>
      <c r="M140" s="33"/>
    </row>
    <row r="141" spans="3:13" ht="25.8">
      <c r="C141" s="33"/>
      <c r="D141" s="33" t="s">
        <v>18</v>
      </c>
      <c r="E141" s="33" t="s">
        <v>2</v>
      </c>
      <c r="F141" s="50"/>
      <c r="G141" s="33"/>
      <c r="H141" s="33"/>
      <c r="I141" s="34"/>
      <c r="J141" s="34"/>
      <c r="L141" s="33"/>
      <c r="M141" s="33"/>
    </row>
    <row r="142" spans="3:13" ht="25.8">
      <c r="C142" s="33"/>
      <c r="D142" s="33" t="s">
        <v>18</v>
      </c>
      <c r="E142" s="33" t="s">
        <v>2</v>
      </c>
      <c r="F142" s="50"/>
      <c r="G142" s="33"/>
      <c r="H142" s="33"/>
      <c r="I142" s="34"/>
      <c r="J142" s="34"/>
      <c r="L142" s="33"/>
      <c r="M142" s="33"/>
    </row>
    <row r="143" spans="3:13" ht="25.8">
      <c r="C143" s="33"/>
      <c r="D143" s="33" t="s">
        <v>18</v>
      </c>
      <c r="E143" s="33" t="s">
        <v>2</v>
      </c>
      <c r="F143" s="50"/>
      <c r="G143" s="33"/>
      <c r="H143" s="33"/>
      <c r="I143" s="34"/>
      <c r="J143" s="34"/>
      <c r="L143" s="33"/>
      <c r="M143" s="33"/>
    </row>
    <row r="144" spans="3:13" ht="25.8">
      <c r="C144" s="33"/>
      <c r="D144" s="33" t="s">
        <v>18</v>
      </c>
      <c r="E144" s="33" t="s">
        <v>2</v>
      </c>
      <c r="F144" s="50"/>
      <c r="G144" s="33"/>
      <c r="H144" s="33"/>
      <c r="I144" s="34"/>
      <c r="J144" s="34"/>
      <c r="L144" s="33"/>
      <c r="M144" s="33"/>
    </row>
    <row r="145" spans="3:13" ht="25.8">
      <c r="C145" s="33"/>
      <c r="D145" s="33" t="s">
        <v>18</v>
      </c>
      <c r="E145" s="33" t="s">
        <v>2</v>
      </c>
      <c r="F145" s="50"/>
      <c r="G145" s="33"/>
      <c r="H145" s="33"/>
      <c r="I145" s="34"/>
      <c r="J145" s="34"/>
      <c r="L145" s="33"/>
      <c r="M145" s="33"/>
    </row>
    <row r="146" spans="3:13" ht="25.8">
      <c r="C146" s="33"/>
      <c r="D146" s="33" t="s">
        <v>18</v>
      </c>
      <c r="E146" s="33" t="s">
        <v>2</v>
      </c>
      <c r="F146" s="50"/>
      <c r="G146" s="33"/>
      <c r="H146" s="33"/>
      <c r="I146" s="34"/>
      <c r="J146" s="34"/>
      <c r="L146" s="33"/>
      <c r="M146" s="33"/>
    </row>
    <row r="147" spans="3:13" ht="25.8">
      <c r="C147" s="33"/>
      <c r="D147" s="33" t="s">
        <v>18</v>
      </c>
      <c r="E147" s="33" t="s">
        <v>2</v>
      </c>
      <c r="F147" s="50"/>
      <c r="G147" s="33"/>
      <c r="H147" s="33"/>
      <c r="I147" s="34"/>
      <c r="J147" s="34"/>
      <c r="L147" s="33"/>
      <c r="M147" s="33"/>
    </row>
    <row r="148" spans="3:13" ht="25.8">
      <c r="C148" s="33"/>
      <c r="D148" s="33" t="s">
        <v>18</v>
      </c>
      <c r="E148" s="33" t="s">
        <v>2</v>
      </c>
      <c r="F148" s="50"/>
      <c r="G148" s="33"/>
      <c r="H148" s="33"/>
      <c r="I148" s="34"/>
      <c r="J148" s="34"/>
      <c r="L148" s="33"/>
      <c r="M148" s="33"/>
    </row>
    <row r="149" spans="3:13" ht="25.8">
      <c r="C149" s="33"/>
      <c r="D149" s="33" t="s">
        <v>18</v>
      </c>
      <c r="E149" s="33" t="s">
        <v>2</v>
      </c>
      <c r="F149" s="50"/>
      <c r="G149" s="33"/>
      <c r="H149" s="33"/>
      <c r="I149" s="34"/>
      <c r="J149" s="34"/>
      <c r="L149" s="33"/>
      <c r="M149" s="33"/>
    </row>
    <row r="150" spans="3:13" ht="25.8">
      <c r="C150" s="33"/>
      <c r="D150" s="33" t="s">
        <v>18</v>
      </c>
      <c r="E150" s="33" t="s">
        <v>2</v>
      </c>
      <c r="F150" s="50"/>
      <c r="G150" s="33"/>
      <c r="H150" s="33"/>
      <c r="I150" s="34"/>
      <c r="J150" s="34"/>
      <c r="L150" s="33"/>
      <c r="M150" s="33"/>
    </row>
    <row r="151" spans="3:13" ht="25.8">
      <c r="C151" s="33"/>
      <c r="D151" s="33" t="s">
        <v>18</v>
      </c>
      <c r="E151" s="33" t="s">
        <v>2</v>
      </c>
      <c r="F151" s="50"/>
      <c r="G151" s="33"/>
      <c r="H151" s="33"/>
      <c r="I151" s="34"/>
      <c r="J151" s="34"/>
      <c r="L151" s="33"/>
      <c r="M151" s="33"/>
    </row>
    <row r="152" spans="3:13" ht="25.8">
      <c r="C152" s="33"/>
      <c r="D152" s="33" t="s">
        <v>18</v>
      </c>
      <c r="E152" s="33" t="s">
        <v>2</v>
      </c>
      <c r="F152" s="50"/>
      <c r="G152" s="33"/>
      <c r="H152" s="33"/>
      <c r="I152" s="34"/>
      <c r="J152" s="34"/>
      <c r="L152" s="33"/>
      <c r="M152" s="33"/>
    </row>
    <row r="153" spans="3:13" ht="25.8">
      <c r="C153" s="33"/>
      <c r="D153" s="33" t="s">
        <v>18</v>
      </c>
      <c r="E153" s="33" t="s">
        <v>2</v>
      </c>
      <c r="F153" s="50"/>
      <c r="G153" s="33"/>
      <c r="H153" s="33"/>
      <c r="I153" s="34"/>
      <c r="J153" s="34"/>
      <c r="L153" s="33"/>
      <c r="M153" s="33"/>
    </row>
    <row r="154" spans="3:13" ht="25.8">
      <c r="C154" s="33"/>
      <c r="D154" s="33" t="s">
        <v>18</v>
      </c>
      <c r="E154" s="33" t="s">
        <v>2</v>
      </c>
      <c r="F154" s="50"/>
      <c r="G154" s="33"/>
      <c r="H154" s="33"/>
      <c r="I154" s="34"/>
      <c r="J154" s="34"/>
      <c r="L154" s="33"/>
      <c r="M154" s="33"/>
    </row>
    <row r="155" spans="3:13" ht="25.8">
      <c r="C155" s="33"/>
      <c r="D155" s="33" t="s">
        <v>18</v>
      </c>
      <c r="E155" s="33" t="s">
        <v>2</v>
      </c>
      <c r="F155" s="50"/>
      <c r="G155" s="33"/>
      <c r="H155" s="33"/>
      <c r="I155" s="34"/>
      <c r="J155" s="34"/>
      <c r="L155" s="33"/>
      <c r="M155" s="33"/>
    </row>
    <row r="156" spans="3:13" ht="25.8">
      <c r="C156" s="33"/>
      <c r="D156" s="33" t="s">
        <v>18</v>
      </c>
      <c r="E156" s="33" t="s">
        <v>2</v>
      </c>
      <c r="F156" s="50"/>
      <c r="G156" s="33"/>
      <c r="H156" s="33"/>
      <c r="I156" s="34"/>
      <c r="J156" s="34"/>
      <c r="L156" s="33"/>
      <c r="M156" s="33"/>
    </row>
    <row r="157" spans="3:13" ht="25.8">
      <c r="C157" s="33"/>
      <c r="D157" s="33" t="s">
        <v>18</v>
      </c>
      <c r="E157" s="33" t="s">
        <v>2</v>
      </c>
      <c r="F157" s="50"/>
      <c r="G157" s="33"/>
      <c r="H157" s="33"/>
      <c r="I157" s="34"/>
      <c r="J157" s="34"/>
      <c r="L157" s="33"/>
      <c r="M157" s="33"/>
    </row>
    <row r="158" spans="3:13" ht="25.8">
      <c r="C158" s="33"/>
      <c r="D158" s="33" t="s">
        <v>18</v>
      </c>
      <c r="E158" s="33" t="s">
        <v>2</v>
      </c>
      <c r="F158" s="50"/>
      <c r="G158" s="33"/>
      <c r="H158" s="33"/>
      <c r="I158" s="34"/>
      <c r="J158" s="34"/>
      <c r="L158" s="33"/>
      <c r="M158" s="33"/>
    </row>
    <row r="159" spans="3:13" ht="25.8">
      <c r="C159" s="33"/>
      <c r="D159" s="33" t="s">
        <v>18</v>
      </c>
      <c r="E159" s="33" t="s">
        <v>2</v>
      </c>
      <c r="F159" s="50"/>
      <c r="G159" s="33"/>
      <c r="H159" s="33"/>
      <c r="I159" s="34"/>
      <c r="J159" s="34"/>
      <c r="L159" s="33"/>
      <c r="M159" s="33"/>
    </row>
    <row r="160" spans="3:13" ht="25.8">
      <c r="C160" s="33"/>
      <c r="D160" s="33" t="s">
        <v>18</v>
      </c>
      <c r="E160" s="33" t="s">
        <v>2</v>
      </c>
      <c r="F160" s="50"/>
      <c r="G160" s="33"/>
      <c r="H160" s="33"/>
      <c r="I160" s="34"/>
      <c r="J160" s="34"/>
      <c r="L160" s="33"/>
      <c r="M160" s="33"/>
    </row>
    <row r="161" spans="3:13" ht="25.8">
      <c r="C161" s="33"/>
      <c r="D161" s="33" t="s">
        <v>18</v>
      </c>
      <c r="E161" s="33" t="s">
        <v>2</v>
      </c>
      <c r="F161" s="50"/>
      <c r="G161" s="33"/>
      <c r="H161" s="33"/>
      <c r="I161" s="34"/>
      <c r="J161" s="34"/>
      <c r="L161" s="33"/>
      <c r="M161" s="33"/>
    </row>
    <row r="162" spans="3:13" ht="25.8">
      <c r="C162" s="33"/>
      <c r="D162" s="33" t="s">
        <v>18</v>
      </c>
      <c r="E162" s="33" t="s">
        <v>2</v>
      </c>
      <c r="F162" s="50"/>
      <c r="G162" s="33"/>
      <c r="H162" s="33"/>
      <c r="I162" s="34"/>
      <c r="J162" s="34"/>
      <c r="L162" s="33"/>
      <c r="M162" s="33"/>
    </row>
    <row r="163" spans="3:13" ht="25.8">
      <c r="C163" s="33"/>
      <c r="D163" s="33" t="s">
        <v>18</v>
      </c>
      <c r="E163" s="33" t="s">
        <v>2</v>
      </c>
      <c r="F163" s="50"/>
      <c r="G163" s="33"/>
      <c r="H163" s="33"/>
      <c r="I163" s="34"/>
      <c r="J163" s="34"/>
      <c r="L163" s="33"/>
      <c r="M163" s="33"/>
    </row>
    <row r="164" spans="3:13" ht="25.8">
      <c r="C164" s="33"/>
      <c r="D164" s="33" t="s">
        <v>18</v>
      </c>
      <c r="E164" s="33" t="s">
        <v>2</v>
      </c>
      <c r="F164" s="50"/>
      <c r="G164" s="33"/>
      <c r="H164" s="33"/>
      <c r="I164" s="34"/>
      <c r="J164" s="34"/>
      <c r="L164" s="33"/>
      <c r="M164" s="33"/>
    </row>
    <row r="165" spans="3:13" ht="25.8">
      <c r="C165" s="33"/>
      <c r="D165" s="33" t="s">
        <v>18</v>
      </c>
      <c r="E165" s="33" t="s">
        <v>2</v>
      </c>
      <c r="F165" s="50"/>
      <c r="G165" s="33"/>
      <c r="H165" s="33"/>
      <c r="I165" s="34"/>
      <c r="J165" s="34"/>
      <c r="L165" s="33"/>
      <c r="M165" s="33"/>
    </row>
    <row r="166" spans="3:13" ht="25.8">
      <c r="C166" s="33"/>
      <c r="D166" s="33" t="s">
        <v>18</v>
      </c>
      <c r="E166" s="33" t="s">
        <v>2</v>
      </c>
      <c r="F166" s="50"/>
      <c r="G166" s="33"/>
      <c r="H166" s="33"/>
      <c r="I166" s="34"/>
      <c r="J166" s="34"/>
      <c r="L166" s="33"/>
      <c r="M166" s="33"/>
    </row>
    <row r="167" spans="3:13" ht="25.8">
      <c r="C167" s="33"/>
      <c r="D167" s="33" t="s">
        <v>18</v>
      </c>
      <c r="E167" s="33" t="s">
        <v>2</v>
      </c>
      <c r="F167" s="50"/>
      <c r="G167" s="33"/>
      <c r="H167" s="33"/>
      <c r="I167" s="34"/>
      <c r="J167" s="34"/>
      <c r="L167" s="33"/>
      <c r="M167" s="33"/>
    </row>
    <row r="168" spans="3:13" ht="25.8">
      <c r="C168" s="33"/>
      <c r="D168" s="33" t="s">
        <v>18</v>
      </c>
      <c r="E168" s="33" t="s">
        <v>2</v>
      </c>
      <c r="F168" s="50"/>
      <c r="G168" s="33"/>
      <c r="H168" s="33"/>
      <c r="I168" s="34"/>
      <c r="J168" s="34"/>
      <c r="L168" s="33"/>
      <c r="M168" s="33"/>
    </row>
    <row r="169" spans="3:13" ht="25.8">
      <c r="C169" s="33"/>
      <c r="D169" s="33" t="s">
        <v>18</v>
      </c>
      <c r="E169" s="33" t="s">
        <v>2</v>
      </c>
      <c r="F169" s="50"/>
      <c r="G169" s="33"/>
      <c r="H169" s="33"/>
      <c r="I169" s="34"/>
      <c r="J169" s="34"/>
      <c r="L169" s="33"/>
      <c r="M169" s="33"/>
    </row>
    <row r="170" spans="3:13" ht="25.8">
      <c r="C170" s="33"/>
      <c r="D170" s="33" t="s">
        <v>18</v>
      </c>
      <c r="E170" s="33" t="s">
        <v>2</v>
      </c>
      <c r="F170" s="50"/>
      <c r="G170" s="33"/>
      <c r="H170" s="33"/>
      <c r="I170" s="34"/>
      <c r="J170" s="34"/>
      <c r="L170" s="33"/>
      <c r="M170" s="33"/>
    </row>
    <row r="171" spans="3:13" ht="25.8">
      <c r="C171" s="33"/>
      <c r="D171" s="33" t="s">
        <v>18</v>
      </c>
      <c r="E171" s="33" t="s">
        <v>2</v>
      </c>
      <c r="F171" s="50"/>
      <c r="G171" s="33"/>
      <c r="H171" s="33"/>
      <c r="I171" s="34"/>
      <c r="J171" s="34"/>
      <c r="L171" s="33"/>
      <c r="M171" s="33"/>
    </row>
    <row r="172" spans="3:13" ht="25.8">
      <c r="C172" s="33"/>
      <c r="D172" s="33" t="s">
        <v>18</v>
      </c>
      <c r="E172" s="33" t="s">
        <v>2</v>
      </c>
      <c r="F172" s="50"/>
      <c r="G172" s="33"/>
      <c r="H172" s="33"/>
      <c r="I172" s="34"/>
      <c r="J172" s="34"/>
      <c r="L172" s="33"/>
      <c r="M172" s="33"/>
    </row>
    <row r="173" spans="3:13" ht="25.8">
      <c r="C173" s="33"/>
      <c r="D173" s="33" t="s">
        <v>18</v>
      </c>
      <c r="E173" s="33" t="s">
        <v>2</v>
      </c>
      <c r="F173" s="50"/>
      <c r="G173" s="33"/>
      <c r="H173" s="33"/>
      <c r="I173" s="34"/>
      <c r="J173" s="34"/>
      <c r="L173" s="33"/>
      <c r="M173" s="33"/>
    </row>
    <row r="174" spans="3:13" ht="25.8">
      <c r="C174" s="33"/>
      <c r="D174" s="33" t="s">
        <v>18</v>
      </c>
      <c r="E174" s="33" t="s">
        <v>2</v>
      </c>
      <c r="F174" s="50"/>
      <c r="G174" s="33"/>
      <c r="H174" s="33"/>
      <c r="I174" s="34"/>
      <c r="J174" s="34"/>
      <c r="L174" s="33"/>
      <c r="M174" s="33"/>
    </row>
    <row r="175" spans="3:13" ht="25.8">
      <c r="C175" s="33"/>
      <c r="D175" s="33" t="s">
        <v>18</v>
      </c>
      <c r="E175" s="33" t="s">
        <v>2</v>
      </c>
      <c r="F175" s="50"/>
      <c r="G175" s="33"/>
      <c r="H175" s="33"/>
      <c r="I175" s="34"/>
      <c r="J175" s="34"/>
      <c r="L175" s="33"/>
      <c r="M175" s="33"/>
    </row>
    <row r="176" spans="3:13" ht="25.8">
      <c r="C176" s="33"/>
      <c r="D176" s="33" t="s">
        <v>18</v>
      </c>
      <c r="E176" s="33" t="s">
        <v>2</v>
      </c>
      <c r="F176" s="50"/>
      <c r="G176" s="33"/>
      <c r="H176" s="33"/>
      <c r="I176" s="34"/>
      <c r="J176" s="34"/>
      <c r="L176" s="33"/>
      <c r="M176" s="33"/>
    </row>
    <row r="177" spans="3:13" ht="25.8">
      <c r="C177" s="33"/>
      <c r="D177" s="33" t="s">
        <v>18</v>
      </c>
      <c r="E177" s="33" t="s">
        <v>2</v>
      </c>
      <c r="F177" s="50"/>
      <c r="G177" s="33"/>
      <c r="H177" s="33"/>
      <c r="I177" s="34"/>
      <c r="J177" s="34"/>
      <c r="L177" s="33"/>
      <c r="M177" s="33"/>
    </row>
    <row r="178" spans="3:13" ht="25.8">
      <c r="C178" s="33"/>
      <c r="D178" s="33" t="s">
        <v>18</v>
      </c>
      <c r="E178" s="33" t="s">
        <v>2</v>
      </c>
      <c r="F178" s="50"/>
      <c r="G178" s="33"/>
      <c r="H178" s="33"/>
      <c r="I178" s="34"/>
      <c r="J178" s="34"/>
      <c r="L178" s="33"/>
      <c r="M178" s="33"/>
    </row>
    <row r="179" spans="3:13" ht="25.8">
      <c r="C179" s="33"/>
      <c r="D179" s="33" t="s">
        <v>18</v>
      </c>
      <c r="E179" s="33" t="s">
        <v>2</v>
      </c>
      <c r="F179" s="50"/>
      <c r="G179" s="33"/>
      <c r="H179" s="33"/>
      <c r="I179" s="34"/>
      <c r="J179" s="34"/>
      <c r="L179" s="33"/>
      <c r="M179" s="33"/>
    </row>
    <row r="180" spans="3:13" ht="25.8">
      <c r="C180" s="33"/>
      <c r="D180" s="33" t="s">
        <v>18</v>
      </c>
      <c r="E180" s="33" t="s">
        <v>2</v>
      </c>
      <c r="F180" s="50"/>
      <c r="G180" s="33"/>
      <c r="H180" s="33"/>
      <c r="I180" s="34"/>
      <c r="J180" s="34"/>
      <c r="L180" s="33"/>
      <c r="M180" s="33"/>
    </row>
    <row r="181" spans="3:13" ht="25.8">
      <c r="C181" s="33"/>
      <c r="D181" s="33" t="s">
        <v>18</v>
      </c>
      <c r="E181" s="33" t="s">
        <v>2</v>
      </c>
      <c r="F181" s="50"/>
      <c r="G181" s="33"/>
      <c r="H181" s="33"/>
      <c r="I181" s="34"/>
      <c r="J181" s="34"/>
      <c r="L181" s="33"/>
      <c r="M181" s="33"/>
    </row>
    <row r="182" spans="3:13" ht="25.8">
      <c r="C182" s="33"/>
      <c r="D182" s="33" t="s">
        <v>18</v>
      </c>
      <c r="E182" s="33" t="s">
        <v>2</v>
      </c>
      <c r="F182" s="50"/>
      <c r="G182" s="33"/>
      <c r="H182" s="33"/>
      <c r="I182" s="34"/>
      <c r="J182" s="34"/>
      <c r="L182" s="33"/>
      <c r="M182" s="33"/>
    </row>
    <row r="183" spans="3:13" ht="25.8">
      <c r="C183" s="33"/>
      <c r="D183" s="33" t="s">
        <v>18</v>
      </c>
      <c r="E183" s="33" t="s">
        <v>2</v>
      </c>
      <c r="F183" s="50"/>
      <c r="G183" s="33"/>
      <c r="H183" s="33"/>
      <c r="I183" s="34"/>
      <c r="J183" s="34"/>
      <c r="L183" s="33"/>
      <c r="M183" s="33"/>
    </row>
    <row r="184" spans="3:13" ht="25.8">
      <c r="C184" s="33"/>
      <c r="D184" s="33" t="s">
        <v>18</v>
      </c>
      <c r="E184" s="33" t="s">
        <v>2</v>
      </c>
      <c r="F184" s="50"/>
      <c r="G184" s="33"/>
      <c r="H184" s="33"/>
      <c r="I184" s="34"/>
      <c r="J184" s="34"/>
      <c r="L184" s="33"/>
      <c r="M184" s="33"/>
    </row>
    <row r="185" spans="3:13" ht="25.8">
      <c r="C185" s="33"/>
      <c r="D185" s="33" t="s">
        <v>18</v>
      </c>
      <c r="E185" s="33" t="s">
        <v>2</v>
      </c>
      <c r="F185" s="50"/>
      <c r="G185" s="33"/>
      <c r="H185" s="33"/>
      <c r="I185" s="34"/>
      <c r="J185" s="34"/>
      <c r="L185" s="33"/>
      <c r="M185" s="33"/>
    </row>
    <row r="186" spans="3:13" ht="25.8">
      <c r="C186" s="33"/>
      <c r="D186" s="33" t="s">
        <v>18</v>
      </c>
      <c r="E186" s="33" t="s">
        <v>2</v>
      </c>
      <c r="F186" s="50"/>
      <c r="G186" s="33"/>
      <c r="H186" s="33"/>
      <c r="I186" s="34"/>
      <c r="J186" s="34"/>
      <c r="L186" s="33"/>
      <c r="M186" s="33"/>
    </row>
    <row r="187" spans="3:13" ht="25.8">
      <c r="C187" s="33"/>
      <c r="D187" s="33" t="s">
        <v>18</v>
      </c>
      <c r="E187" s="33" t="s">
        <v>2</v>
      </c>
      <c r="F187" s="50"/>
      <c r="G187" s="33"/>
      <c r="H187" s="33"/>
      <c r="I187" s="34"/>
      <c r="J187" s="34"/>
      <c r="L187" s="33"/>
      <c r="M187" s="33"/>
    </row>
    <row r="188" spans="3:13" ht="25.8">
      <c r="C188" s="33"/>
      <c r="D188" s="33" t="s">
        <v>18</v>
      </c>
      <c r="E188" s="33" t="s">
        <v>2</v>
      </c>
      <c r="F188" s="50"/>
      <c r="G188" s="33"/>
      <c r="H188" s="33"/>
      <c r="I188" s="34"/>
      <c r="J188" s="34"/>
      <c r="L188" s="33"/>
      <c r="M188" s="33"/>
    </row>
    <row r="189" spans="3:13" ht="25.8">
      <c r="C189" s="33"/>
      <c r="D189" s="33" t="s">
        <v>18</v>
      </c>
      <c r="E189" s="33" t="s">
        <v>2</v>
      </c>
      <c r="F189" s="50"/>
      <c r="G189" s="33"/>
      <c r="H189" s="33"/>
      <c r="I189" s="34"/>
      <c r="J189" s="34"/>
      <c r="L189" s="33"/>
      <c r="M189" s="33"/>
    </row>
    <row r="190" spans="3:13" ht="25.8">
      <c r="C190" s="33"/>
      <c r="D190" s="33" t="s">
        <v>18</v>
      </c>
      <c r="E190" s="33" t="s">
        <v>2</v>
      </c>
      <c r="F190" s="50"/>
      <c r="G190" s="33"/>
      <c r="H190" s="33"/>
      <c r="I190" s="34"/>
      <c r="J190" s="34"/>
      <c r="L190" s="33"/>
      <c r="M190" s="33"/>
    </row>
    <row r="191" spans="3:13" ht="25.8">
      <c r="C191" s="33"/>
      <c r="D191" s="33" t="s">
        <v>18</v>
      </c>
      <c r="E191" s="33" t="s">
        <v>2</v>
      </c>
      <c r="F191" s="50"/>
      <c r="G191" s="33"/>
      <c r="H191" s="33"/>
      <c r="I191" s="34"/>
      <c r="J191" s="34"/>
      <c r="L191" s="33"/>
      <c r="M191" s="33"/>
    </row>
    <row r="192" spans="3:13" ht="25.8">
      <c r="C192" s="33"/>
      <c r="D192" s="33" t="s">
        <v>18</v>
      </c>
      <c r="E192" s="33" t="s">
        <v>2</v>
      </c>
      <c r="F192" s="50"/>
      <c r="G192" s="33"/>
      <c r="H192" s="33"/>
      <c r="I192" s="34"/>
      <c r="J192" s="34"/>
      <c r="L192" s="33"/>
      <c r="M192" s="33"/>
    </row>
    <row r="193" spans="3:13" ht="25.8">
      <c r="C193" s="33"/>
      <c r="D193" s="33" t="s">
        <v>18</v>
      </c>
      <c r="E193" s="33" t="s">
        <v>2</v>
      </c>
      <c r="F193" s="50"/>
      <c r="G193" s="33"/>
      <c r="H193" s="33"/>
      <c r="I193" s="34"/>
      <c r="J193" s="34"/>
      <c r="L193" s="33"/>
      <c r="M193" s="33"/>
    </row>
    <row r="194" spans="3:13" ht="25.8">
      <c r="C194" s="33"/>
      <c r="D194" s="33" t="s">
        <v>18</v>
      </c>
      <c r="E194" s="33" t="s">
        <v>2</v>
      </c>
      <c r="F194" s="50"/>
      <c r="G194" s="33"/>
      <c r="H194" s="33"/>
      <c r="I194" s="34"/>
      <c r="J194" s="34"/>
      <c r="L194" s="33"/>
      <c r="M194" s="33"/>
    </row>
    <row r="195" spans="3:13" ht="25.8">
      <c r="C195" s="33"/>
      <c r="D195" s="33" t="s">
        <v>18</v>
      </c>
      <c r="E195" s="33" t="s">
        <v>2</v>
      </c>
      <c r="F195" s="50"/>
      <c r="G195" s="33"/>
      <c r="H195" s="33"/>
      <c r="I195" s="34"/>
      <c r="J195" s="34"/>
      <c r="L195" s="33"/>
      <c r="M195" s="33"/>
    </row>
    <row r="196" spans="3:13" ht="25.8">
      <c r="C196" s="33"/>
      <c r="D196" s="33" t="s">
        <v>18</v>
      </c>
      <c r="E196" s="33" t="s">
        <v>2</v>
      </c>
      <c r="F196" s="50"/>
      <c r="G196" s="33"/>
      <c r="H196" s="33"/>
      <c r="I196" s="34"/>
      <c r="J196" s="34"/>
      <c r="L196" s="33"/>
      <c r="M196" s="33"/>
    </row>
    <row r="197" spans="3:13" ht="25.8">
      <c r="C197" s="33"/>
      <c r="D197" s="33" t="s">
        <v>18</v>
      </c>
      <c r="E197" s="33" t="s">
        <v>2</v>
      </c>
      <c r="F197" s="50"/>
      <c r="G197" s="33"/>
      <c r="H197" s="33"/>
      <c r="I197" s="34"/>
      <c r="J197" s="34"/>
      <c r="L197" s="33"/>
      <c r="M197" s="33"/>
    </row>
    <row r="198" spans="3:13" ht="25.8">
      <c r="C198" s="33"/>
      <c r="D198" s="33" t="s">
        <v>18</v>
      </c>
      <c r="E198" s="33" t="s">
        <v>2</v>
      </c>
      <c r="F198" s="50"/>
      <c r="G198" s="33"/>
      <c r="H198" s="33"/>
      <c r="I198" s="34"/>
      <c r="J198" s="34"/>
      <c r="L198" s="33"/>
      <c r="M198" s="33"/>
    </row>
    <row r="199" spans="3:13" ht="25.8">
      <c r="C199" s="33"/>
      <c r="D199" s="33" t="s">
        <v>18</v>
      </c>
      <c r="E199" s="33" t="s">
        <v>2</v>
      </c>
      <c r="F199" s="50"/>
      <c r="G199" s="33"/>
      <c r="H199" s="33"/>
      <c r="I199" s="34"/>
      <c r="J199" s="34"/>
      <c r="L199" s="33"/>
      <c r="M199" s="33"/>
    </row>
    <row r="200" spans="3:13" ht="25.8">
      <c r="C200" s="33"/>
      <c r="D200" s="33" t="s">
        <v>18</v>
      </c>
      <c r="E200" s="33" t="s">
        <v>2</v>
      </c>
      <c r="F200" s="50"/>
      <c r="G200" s="33"/>
      <c r="H200" s="33"/>
      <c r="I200" s="34"/>
      <c r="J200" s="34"/>
      <c r="L200" s="33"/>
      <c r="M200" s="33"/>
    </row>
    <row r="201" spans="3:13" ht="25.8">
      <c r="C201" s="33"/>
      <c r="D201" s="33" t="s">
        <v>18</v>
      </c>
      <c r="E201" s="33" t="s">
        <v>2</v>
      </c>
      <c r="F201" s="50"/>
      <c r="G201" s="33"/>
      <c r="H201" s="33"/>
      <c r="I201" s="34"/>
      <c r="J201" s="34"/>
      <c r="L201" s="33"/>
      <c r="M201" s="33"/>
    </row>
    <row r="202" spans="3:13" ht="25.8">
      <c r="C202" s="33"/>
      <c r="D202" s="33" t="s">
        <v>18</v>
      </c>
      <c r="E202" s="33" t="s">
        <v>2</v>
      </c>
      <c r="F202" s="50"/>
      <c r="G202" s="33"/>
      <c r="H202" s="33"/>
      <c r="I202" s="34"/>
      <c r="J202" s="34"/>
      <c r="L202" s="33"/>
      <c r="M202" s="33"/>
    </row>
    <row r="203" spans="3:13" ht="25.8">
      <c r="C203" s="33"/>
      <c r="D203" s="33" t="s">
        <v>18</v>
      </c>
      <c r="E203" s="33" t="s">
        <v>2</v>
      </c>
      <c r="F203" s="50"/>
      <c r="G203" s="33"/>
      <c r="H203" s="33"/>
      <c r="I203" s="34"/>
      <c r="J203" s="34"/>
      <c r="L203" s="33"/>
      <c r="M203" s="33"/>
    </row>
    <row r="204" spans="3:13" ht="25.8">
      <c r="C204" s="33"/>
      <c r="D204" s="33" t="s">
        <v>18</v>
      </c>
      <c r="E204" s="33" t="s">
        <v>2</v>
      </c>
      <c r="F204" s="50"/>
      <c r="G204" s="33"/>
      <c r="H204" s="33"/>
      <c r="I204" s="34"/>
      <c r="J204" s="34"/>
      <c r="L204" s="33"/>
      <c r="M204" s="33"/>
    </row>
    <row r="205" spans="3:13" ht="25.8">
      <c r="C205" s="33"/>
      <c r="D205" s="33" t="s">
        <v>18</v>
      </c>
      <c r="E205" s="33" t="s">
        <v>2</v>
      </c>
      <c r="F205" s="50"/>
      <c r="G205" s="33"/>
      <c r="H205" s="33"/>
      <c r="I205" s="34"/>
      <c r="J205" s="34"/>
      <c r="L205" s="33"/>
      <c r="M205" s="33"/>
    </row>
    <row r="206" spans="3:13" ht="25.8">
      <c r="C206" s="33"/>
      <c r="D206" s="33" t="s">
        <v>18</v>
      </c>
      <c r="E206" s="33" t="s">
        <v>2</v>
      </c>
      <c r="F206" s="50"/>
      <c r="G206" s="33"/>
      <c r="H206" s="33"/>
      <c r="I206" s="34"/>
      <c r="J206" s="34"/>
      <c r="L206" s="33"/>
      <c r="M206" s="33"/>
    </row>
    <row r="207" spans="3:13" ht="25.8">
      <c r="C207" s="33"/>
      <c r="D207" s="33" t="s">
        <v>18</v>
      </c>
      <c r="E207" s="33" t="s">
        <v>2</v>
      </c>
      <c r="F207" s="50"/>
      <c r="G207" s="33"/>
      <c r="H207" s="33"/>
      <c r="I207" s="34"/>
      <c r="J207" s="34"/>
      <c r="L207" s="33"/>
      <c r="M207" s="33"/>
    </row>
    <row r="208" spans="3:13" ht="25.8">
      <c r="C208" s="33"/>
      <c r="D208" s="33" t="s">
        <v>18</v>
      </c>
      <c r="E208" s="33" t="s">
        <v>2</v>
      </c>
      <c r="F208" s="50"/>
      <c r="G208" s="33"/>
      <c r="H208" s="33"/>
      <c r="I208" s="34"/>
      <c r="J208" s="34"/>
      <c r="L208" s="33"/>
      <c r="M208" s="33"/>
    </row>
    <row r="209" spans="3:13" ht="25.8">
      <c r="C209" s="33"/>
      <c r="D209" s="33" t="s">
        <v>18</v>
      </c>
      <c r="E209" s="33" t="s">
        <v>2</v>
      </c>
      <c r="F209" s="50"/>
      <c r="G209" s="33"/>
      <c r="H209" s="33"/>
      <c r="I209" s="34"/>
      <c r="J209" s="34"/>
      <c r="L209" s="33"/>
      <c r="M209" s="33"/>
    </row>
    <row r="210" spans="3:13" ht="25.8">
      <c r="C210" s="33"/>
      <c r="D210" s="33" t="s">
        <v>18</v>
      </c>
      <c r="E210" s="33" t="s">
        <v>2</v>
      </c>
      <c r="F210" s="50"/>
      <c r="G210" s="33"/>
      <c r="H210" s="33"/>
      <c r="I210" s="34"/>
      <c r="J210" s="34"/>
      <c r="L210" s="33"/>
      <c r="M210" s="33"/>
    </row>
    <row r="211" spans="3:13" ht="25.8">
      <c r="C211" s="33"/>
      <c r="D211" s="33" t="s">
        <v>18</v>
      </c>
      <c r="E211" s="33" t="s">
        <v>2</v>
      </c>
      <c r="F211" s="50"/>
      <c r="G211" s="33"/>
      <c r="H211" s="33"/>
      <c r="I211" s="34"/>
      <c r="J211" s="34"/>
      <c r="L211" s="33"/>
      <c r="M211" s="33"/>
    </row>
    <row r="212" spans="3:13" ht="25.8">
      <c r="C212" s="33"/>
      <c r="D212" s="33" t="s">
        <v>18</v>
      </c>
      <c r="E212" s="33" t="s">
        <v>2</v>
      </c>
      <c r="F212" s="50"/>
      <c r="G212" s="33"/>
      <c r="H212" s="33"/>
      <c r="I212" s="34"/>
      <c r="J212" s="34"/>
      <c r="L212" s="33"/>
      <c r="M212" s="33"/>
    </row>
    <row r="213" spans="3:13" ht="25.8">
      <c r="C213" s="33"/>
      <c r="D213" s="33" t="s">
        <v>18</v>
      </c>
      <c r="E213" s="33" t="s">
        <v>2</v>
      </c>
      <c r="F213" s="50"/>
      <c r="G213" s="33"/>
      <c r="H213" s="33"/>
      <c r="I213" s="34"/>
      <c r="J213" s="34"/>
      <c r="L213" s="33"/>
      <c r="M213" s="33"/>
    </row>
    <row r="214" spans="3:13" ht="25.8">
      <c r="C214" s="33"/>
      <c r="D214" s="33" t="s">
        <v>18</v>
      </c>
      <c r="E214" s="33" t="s">
        <v>2</v>
      </c>
      <c r="F214" s="50"/>
      <c r="G214" s="33"/>
      <c r="H214" s="33"/>
      <c r="I214" s="34"/>
      <c r="J214" s="34"/>
      <c r="L214" s="33"/>
      <c r="M214" s="33"/>
    </row>
    <row r="215" spans="3:13" ht="25.8">
      <c r="C215" s="33"/>
      <c r="D215" s="33" t="s">
        <v>18</v>
      </c>
      <c r="E215" s="33" t="s">
        <v>2</v>
      </c>
      <c r="F215" s="50"/>
      <c r="G215" s="33"/>
      <c r="H215" s="33"/>
      <c r="I215" s="34"/>
      <c r="J215" s="34"/>
      <c r="L215" s="33"/>
      <c r="M215" s="33"/>
    </row>
    <row r="216" spans="3:13" ht="25.8">
      <c r="C216" s="33"/>
      <c r="D216" s="33" t="s">
        <v>18</v>
      </c>
      <c r="E216" s="33" t="s">
        <v>2</v>
      </c>
      <c r="F216" s="50"/>
      <c r="G216" s="33"/>
      <c r="H216" s="33"/>
      <c r="I216" s="34"/>
      <c r="J216" s="34"/>
      <c r="L216" s="33"/>
      <c r="M216" s="33"/>
    </row>
    <row r="217" spans="3:13" ht="25.8">
      <c r="C217" s="33"/>
      <c r="D217" s="33" t="s">
        <v>18</v>
      </c>
      <c r="E217" s="33" t="s">
        <v>2</v>
      </c>
      <c r="F217" s="50"/>
      <c r="G217" s="33"/>
      <c r="H217" s="33"/>
      <c r="I217" s="34"/>
      <c r="J217" s="34"/>
      <c r="L217" s="33"/>
      <c r="M217" s="33"/>
    </row>
    <row r="218" spans="3:13" ht="25.8">
      <c r="C218" s="33"/>
      <c r="D218" s="33" t="s">
        <v>18</v>
      </c>
      <c r="E218" s="33" t="s">
        <v>2</v>
      </c>
      <c r="F218" s="50"/>
      <c r="G218" s="33"/>
      <c r="H218" s="33"/>
      <c r="I218" s="34"/>
      <c r="J218" s="34"/>
      <c r="L218" s="33"/>
      <c r="M218" s="33"/>
    </row>
    <row r="219" spans="3:13" ht="25.8">
      <c r="C219" s="33"/>
      <c r="D219" s="33" t="s">
        <v>18</v>
      </c>
      <c r="E219" s="33" t="s">
        <v>2</v>
      </c>
      <c r="F219" s="50"/>
      <c r="G219" s="33"/>
      <c r="H219" s="33"/>
      <c r="I219" s="34"/>
      <c r="J219" s="34"/>
      <c r="L219" s="33"/>
      <c r="M219" s="33"/>
    </row>
    <row r="220" spans="3:13" ht="25.8">
      <c r="C220" s="33"/>
      <c r="D220" s="33" t="s">
        <v>18</v>
      </c>
      <c r="E220" s="33" t="s">
        <v>2</v>
      </c>
      <c r="F220" s="50"/>
      <c r="G220" s="33"/>
      <c r="H220" s="33"/>
      <c r="I220" s="34"/>
      <c r="J220" s="34"/>
      <c r="L220" s="33"/>
      <c r="M220" s="33"/>
    </row>
    <row r="221" spans="3:13" ht="25.8">
      <c r="C221" s="33"/>
      <c r="D221" s="33" t="s">
        <v>18</v>
      </c>
      <c r="E221" s="33" t="s">
        <v>2</v>
      </c>
      <c r="F221" s="50"/>
      <c r="G221" s="33"/>
      <c r="H221" s="33"/>
      <c r="I221" s="34"/>
      <c r="J221" s="34"/>
      <c r="L221" s="33"/>
      <c r="M221" s="33"/>
    </row>
    <row r="222" spans="3:13" ht="25.8">
      <c r="C222" s="33"/>
      <c r="D222" s="33" t="s">
        <v>18</v>
      </c>
      <c r="E222" s="33" t="s">
        <v>2</v>
      </c>
      <c r="F222" s="50"/>
      <c r="G222" s="33"/>
      <c r="H222" s="33"/>
      <c r="I222" s="34"/>
      <c r="J222" s="34"/>
      <c r="L222" s="33"/>
      <c r="M222" s="33"/>
    </row>
    <row r="223" spans="3:13" ht="25.8">
      <c r="C223" s="33"/>
      <c r="D223" s="33" t="s">
        <v>18</v>
      </c>
      <c r="E223" s="33" t="s">
        <v>2</v>
      </c>
      <c r="F223" s="50"/>
      <c r="G223" s="33"/>
      <c r="H223" s="33"/>
      <c r="I223" s="34"/>
      <c r="J223" s="34"/>
      <c r="L223" s="33"/>
      <c r="M223" s="33"/>
    </row>
    <row r="224" spans="3:13" ht="25.8">
      <c r="C224" s="33"/>
      <c r="D224" s="33" t="s">
        <v>18</v>
      </c>
      <c r="E224" s="33" t="s">
        <v>2</v>
      </c>
      <c r="F224" s="50"/>
      <c r="G224" s="33"/>
      <c r="H224" s="33"/>
      <c r="I224" s="34"/>
      <c r="J224" s="34"/>
      <c r="L224" s="33"/>
      <c r="M224" s="33"/>
    </row>
    <row r="225" spans="3:13" ht="25.8">
      <c r="C225" s="33"/>
      <c r="D225" s="33" t="s">
        <v>18</v>
      </c>
      <c r="E225" s="33" t="s">
        <v>2</v>
      </c>
      <c r="F225" s="50"/>
      <c r="G225" s="33"/>
      <c r="H225" s="33"/>
      <c r="I225" s="34"/>
      <c r="J225" s="34"/>
      <c r="L225" s="33"/>
      <c r="M225" s="33"/>
    </row>
    <row r="226" spans="3:13" ht="25.8">
      <c r="C226" s="33"/>
      <c r="D226" s="33" t="s">
        <v>18</v>
      </c>
      <c r="E226" s="33" t="s">
        <v>2</v>
      </c>
      <c r="F226" s="50"/>
      <c r="G226" s="33"/>
      <c r="H226" s="33"/>
      <c r="I226" s="34"/>
      <c r="J226" s="34"/>
      <c r="L226" s="33"/>
      <c r="M226" s="33"/>
    </row>
    <row r="227" spans="3:13" ht="25.8">
      <c r="C227" s="33"/>
      <c r="D227" s="33" t="s">
        <v>18</v>
      </c>
      <c r="E227" s="33" t="s">
        <v>2</v>
      </c>
      <c r="F227" s="50"/>
      <c r="G227" s="33"/>
      <c r="H227" s="33"/>
      <c r="I227" s="34"/>
      <c r="J227" s="34"/>
      <c r="L227" s="33"/>
      <c r="M227" s="33"/>
    </row>
    <row r="228" spans="3:13" ht="25.8">
      <c r="C228" s="33"/>
      <c r="D228" s="33" t="s">
        <v>18</v>
      </c>
      <c r="E228" s="33" t="s">
        <v>2</v>
      </c>
      <c r="F228" s="50"/>
      <c r="G228" s="33"/>
      <c r="H228" s="33"/>
      <c r="I228" s="34"/>
      <c r="J228" s="34"/>
      <c r="L228" s="33"/>
      <c r="M228" s="33"/>
    </row>
    <row r="229" spans="3:13" ht="25.8">
      <c r="C229" s="33"/>
      <c r="D229" s="33" t="s">
        <v>18</v>
      </c>
      <c r="E229" s="33" t="s">
        <v>2</v>
      </c>
      <c r="F229" s="50"/>
      <c r="G229" s="33"/>
      <c r="H229" s="33"/>
      <c r="I229" s="34"/>
      <c r="J229" s="34"/>
      <c r="L229" s="33"/>
      <c r="M229" s="33"/>
    </row>
    <row r="230" spans="3:13" ht="25.8">
      <c r="C230" s="33"/>
      <c r="D230" s="33" t="s">
        <v>18</v>
      </c>
      <c r="E230" s="33" t="s">
        <v>2</v>
      </c>
      <c r="F230" s="50"/>
      <c r="G230" s="33"/>
      <c r="H230" s="33"/>
      <c r="I230" s="34"/>
      <c r="J230" s="34"/>
      <c r="L230" s="33"/>
      <c r="M230" s="33"/>
    </row>
    <row r="231" spans="3:13" ht="25.8">
      <c r="C231" s="33"/>
      <c r="D231" s="33" t="s">
        <v>18</v>
      </c>
      <c r="E231" s="33" t="s">
        <v>2</v>
      </c>
      <c r="F231" s="50"/>
      <c r="G231" s="33"/>
      <c r="H231" s="33"/>
      <c r="I231" s="34"/>
      <c r="J231" s="34"/>
      <c r="L231" s="33"/>
      <c r="M231" s="33"/>
    </row>
    <row r="232" spans="3:13" ht="25.8">
      <c r="C232" s="33"/>
      <c r="D232" s="33" t="s">
        <v>18</v>
      </c>
      <c r="E232" s="33" t="s">
        <v>2</v>
      </c>
      <c r="F232" s="50"/>
      <c r="G232" s="33"/>
      <c r="H232" s="33"/>
      <c r="I232" s="34"/>
      <c r="J232" s="34"/>
      <c r="L232" s="33"/>
      <c r="M232" s="33"/>
    </row>
    <row r="233" spans="3:13" ht="25.8">
      <c r="C233" s="33"/>
      <c r="D233" s="33" t="s">
        <v>18</v>
      </c>
      <c r="E233" s="33" t="s">
        <v>2</v>
      </c>
      <c r="F233" s="50"/>
      <c r="G233" s="33"/>
      <c r="H233" s="33"/>
      <c r="I233" s="34"/>
      <c r="J233" s="34"/>
      <c r="L233" s="33"/>
      <c r="M233" s="33"/>
    </row>
    <row r="234" spans="3:13" ht="25.8">
      <c r="C234" s="33"/>
      <c r="D234" s="33" t="s">
        <v>18</v>
      </c>
      <c r="E234" s="33" t="s">
        <v>2</v>
      </c>
      <c r="F234" s="50"/>
      <c r="G234" s="33"/>
      <c r="H234" s="33"/>
      <c r="I234" s="34"/>
      <c r="J234" s="34"/>
      <c r="L234" s="33"/>
      <c r="M234" s="33"/>
    </row>
    <row r="235" spans="3:13" ht="25.8">
      <c r="C235" s="33"/>
      <c r="D235" s="33" t="s">
        <v>18</v>
      </c>
      <c r="E235" s="33" t="s">
        <v>2</v>
      </c>
      <c r="F235" s="50"/>
      <c r="G235" s="33"/>
      <c r="H235" s="33"/>
      <c r="I235" s="34"/>
      <c r="J235" s="34"/>
      <c r="L235" s="33"/>
      <c r="M235" s="33"/>
    </row>
    <row r="236" spans="3:13" ht="25.8">
      <c r="C236" s="33"/>
      <c r="D236" s="33" t="s">
        <v>18</v>
      </c>
      <c r="E236" s="33" t="s">
        <v>2</v>
      </c>
      <c r="F236" s="50"/>
      <c r="G236" s="33"/>
      <c r="H236" s="33"/>
      <c r="I236" s="34"/>
      <c r="J236" s="34"/>
      <c r="L236" s="33"/>
      <c r="M236" s="33"/>
    </row>
    <row r="237" spans="3:13" ht="25.8">
      <c r="C237" s="33"/>
      <c r="D237" s="33" t="s">
        <v>18</v>
      </c>
      <c r="E237" s="33" t="s">
        <v>2</v>
      </c>
      <c r="F237" s="50"/>
      <c r="G237" s="33"/>
      <c r="H237" s="33"/>
      <c r="I237" s="34"/>
      <c r="J237" s="34"/>
      <c r="L237" s="33"/>
      <c r="M237" s="33"/>
    </row>
    <row r="238" spans="3:13" ht="25.8">
      <c r="C238" s="33"/>
      <c r="D238" s="33" t="s">
        <v>18</v>
      </c>
      <c r="E238" s="33" t="s">
        <v>2</v>
      </c>
      <c r="F238" s="50"/>
      <c r="G238" s="33"/>
      <c r="H238" s="33"/>
      <c r="I238" s="34"/>
      <c r="J238" s="34"/>
      <c r="L238" s="33"/>
      <c r="M238" s="33"/>
    </row>
    <row r="239" spans="3:13" ht="25.8">
      <c r="C239" s="33"/>
      <c r="D239" s="33" t="s">
        <v>18</v>
      </c>
      <c r="E239" s="33" t="s">
        <v>2</v>
      </c>
      <c r="F239" s="50"/>
      <c r="G239" s="33"/>
      <c r="H239" s="33"/>
      <c r="I239" s="34"/>
      <c r="J239" s="34"/>
      <c r="L239" s="33"/>
      <c r="M239" s="33"/>
    </row>
    <row r="240" spans="3:13" ht="25.8">
      <c r="C240" s="33"/>
      <c r="D240" s="33" t="s">
        <v>18</v>
      </c>
      <c r="E240" s="33" t="s">
        <v>2</v>
      </c>
      <c r="F240" s="50"/>
      <c r="G240" s="33"/>
      <c r="H240" s="33"/>
      <c r="I240" s="34"/>
      <c r="J240" s="34"/>
      <c r="L240" s="33"/>
      <c r="M240" s="33"/>
    </row>
    <row r="241" spans="3:13" ht="25.8">
      <c r="C241" s="33"/>
      <c r="D241" s="33" t="s">
        <v>18</v>
      </c>
      <c r="E241" s="33" t="s">
        <v>2</v>
      </c>
      <c r="F241" s="50"/>
      <c r="G241" s="33"/>
      <c r="H241" s="33"/>
      <c r="I241" s="34"/>
      <c r="J241" s="34"/>
      <c r="L241" s="33"/>
      <c r="M241" s="33"/>
    </row>
    <row r="242" spans="3:13" ht="25.8">
      <c r="C242" s="33"/>
      <c r="D242" s="33" t="s">
        <v>18</v>
      </c>
      <c r="E242" s="33" t="s">
        <v>2</v>
      </c>
      <c r="F242" s="50"/>
      <c r="G242" s="33"/>
      <c r="H242" s="33"/>
      <c r="I242" s="34"/>
      <c r="J242" s="34"/>
      <c r="L242" s="33"/>
      <c r="M242" s="33"/>
    </row>
    <row r="243" spans="3:13" ht="25.8">
      <c r="C243" s="33"/>
      <c r="D243" s="33" t="s">
        <v>18</v>
      </c>
      <c r="E243" s="33" t="s">
        <v>2</v>
      </c>
      <c r="F243" s="50"/>
      <c r="G243" s="33"/>
      <c r="H243" s="33"/>
      <c r="I243" s="34"/>
      <c r="J243" s="34"/>
      <c r="L243" s="33"/>
      <c r="M243" s="33"/>
    </row>
    <row r="244" spans="3:13" ht="25.8">
      <c r="C244" s="33"/>
      <c r="D244" s="33" t="s">
        <v>18</v>
      </c>
      <c r="E244" s="33" t="s">
        <v>2</v>
      </c>
      <c r="F244" s="50"/>
      <c r="G244" s="33"/>
      <c r="H244" s="33"/>
      <c r="I244" s="34"/>
      <c r="J244" s="34"/>
      <c r="L244" s="33"/>
      <c r="M244" s="33"/>
    </row>
    <row r="245" spans="3:13" ht="25.8">
      <c r="C245" s="33"/>
      <c r="D245" s="33" t="s">
        <v>18</v>
      </c>
      <c r="E245" s="33" t="s">
        <v>2</v>
      </c>
      <c r="F245" s="50"/>
      <c r="G245" s="33"/>
      <c r="H245" s="33"/>
      <c r="I245" s="34"/>
      <c r="J245" s="34"/>
      <c r="L245" s="33"/>
      <c r="M245" s="33"/>
    </row>
    <row r="246" spans="3:13" ht="25.8">
      <c r="C246" s="33"/>
      <c r="D246" s="33" t="s">
        <v>18</v>
      </c>
      <c r="E246" s="33" t="s">
        <v>2</v>
      </c>
      <c r="F246" s="50"/>
      <c r="G246" s="33"/>
      <c r="H246" s="33"/>
      <c r="I246" s="34"/>
      <c r="J246" s="34"/>
      <c r="L246" s="33"/>
      <c r="M246" s="33"/>
    </row>
    <row r="247" spans="3:13" ht="25.8">
      <c r="C247" s="33"/>
      <c r="D247" s="33" t="s">
        <v>18</v>
      </c>
      <c r="E247" s="33" t="s">
        <v>2</v>
      </c>
      <c r="F247" s="50"/>
      <c r="G247" s="33"/>
      <c r="H247" s="33"/>
      <c r="I247" s="34"/>
      <c r="J247" s="34"/>
      <c r="L247" s="33"/>
      <c r="M247" s="33"/>
    </row>
    <row r="248" spans="3:13" ht="25.8">
      <c r="C248" s="33"/>
      <c r="D248" s="33" t="s">
        <v>18</v>
      </c>
      <c r="E248" s="33" t="s">
        <v>2</v>
      </c>
      <c r="F248" s="50"/>
      <c r="G248" s="33"/>
      <c r="H248" s="33"/>
      <c r="I248" s="34"/>
      <c r="J248" s="34"/>
      <c r="L248" s="33"/>
      <c r="M248" s="33"/>
    </row>
    <row r="249" spans="3:13" ht="25.8">
      <c r="C249" s="33"/>
      <c r="D249" s="33" t="s">
        <v>18</v>
      </c>
      <c r="E249" s="33" t="s">
        <v>2</v>
      </c>
      <c r="F249" s="50"/>
      <c r="G249" s="33"/>
      <c r="H249" s="33"/>
      <c r="I249" s="34"/>
      <c r="J249" s="34"/>
      <c r="L249" s="33"/>
      <c r="M249" s="33"/>
    </row>
    <row r="250" spans="3:13" ht="25.8">
      <c r="C250" s="33"/>
      <c r="D250" s="33" t="s">
        <v>18</v>
      </c>
      <c r="E250" s="33" t="s">
        <v>2</v>
      </c>
      <c r="F250" s="50"/>
      <c r="G250" s="33"/>
      <c r="H250" s="33"/>
      <c r="I250" s="34"/>
      <c r="J250" s="34"/>
      <c r="L250" s="33"/>
      <c r="M250" s="33"/>
    </row>
    <row r="251" spans="3:13" ht="25.8">
      <c r="C251" s="33"/>
      <c r="D251" s="33" t="s">
        <v>18</v>
      </c>
      <c r="E251" s="33" t="s">
        <v>2</v>
      </c>
      <c r="F251" s="50"/>
      <c r="G251" s="33"/>
      <c r="H251" s="33"/>
      <c r="I251" s="34"/>
      <c r="J251" s="34"/>
      <c r="L251" s="33"/>
      <c r="M251" s="33"/>
    </row>
    <row r="252" spans="3:13" ht="25.8">
      <c r="C252" s="33"/>
      <c r="D252" s="33" t="s">
        <v>18</v>
      </c>
      <c r="E252" s="33" t="s">
        <v>2</v>
      </c>
      <c r="F252" s="50"/>
      <c r="G252" s="33"/>
      <c r="H252" s="33"/>
      <c r="I252" s="34"/>
      <c r="J252" s="34"/>
      <c r="L252" s="33"/>
      <c r="M252" s="33"/>
    </row>
    <row r="253" spans="3:13" ht="25.8">
      <c r="C253" s="33"/>
      <c r="D253" s="33" t="s">
        <v>18</v>
      </c>
      <c r="E253" s="33" t="s">
        <v>2</v>
      </c>
      <c r="F253" s="50"/>
      <c r="G253" s="33"/>
      <c r="H253" s="33"/>
      <c r="I253" s="34"/>
      <c r="J253" s="34"/>
      <c r="L253" s="33"/>
      <c r="M253" s="33"/>
    </row>
    <row r="254" spans="3:13" ht="25.8">
      <c r="C254" s="33"/>
      <c r="D254" s="33" t="s">
        <v>18</v>
      </c>
      <c r="E254" s="33" t="s">
        <v>2</v>
      </c>
      <c r="F254" s="50"/>
      <c r="G254" s="33"/>
      <c r="H254" s="33"/>
      <c r="I254" s="34"/>
      <c r="J254" s="34"/>
      <c r="L254" s="33"/>
      <c r="M254" s="33"/>
    </row>
    <row r="255" spans="3:13" ht="25.8">
      <c r="C255" s="33"/>
      <c r="D255" s="33" t="s">
        <v>18</v>
      </c>
      <c r="E255" s="33" t="s">
        <v>2</v>
      </c>
      <c r="F255" s="50"/>
      <c r="G255" s="33"/>
      <c r="H255" s="33"/>
      <c r="I255" s="34"/>
      <c r="J255" s="34"/>
      <c r="L255" s="33"/>
      <c r="M255" s="33"/>
    </row>
    <row r="256" spans="3:13" ht="25.8">
      <c r="C256" s="33"/>
      <c r="D256" s="33" t="s">
        <v>18</v>
      </c>
      <c r="E256" s="33" t="s">
        <v>2</v>
      </c>
      <c r="F256" s="50"/>
      <c r="G256" s="33"/>
      <c r="H256" s="33"/>
      <c r="I256" s="34"/>
      <c r="J256" s="34"/>
      <c r="L256" s="33"/>
      <c r="M256" s="33"/>
    </row>
    <row r="257" spans="3:13" ht="25.8">
      <c r="C257" s="33"/>
      <c r="D257" s="33" t="s">
        <v>18</v>
      </c>
      <c r="E257" s="33" t="s">
        <v>2</v>
      </c>
      <c r="F257" s="50"/>
      <c r="G257" s="33"/>
      <c r="H257" s="33"/>
      <c r="I257" s="34"/>
      <c r="J257" s="34"/>
      <c r="L257" s="33"/>
      <c r="M257" s="33"/>
    </row>
    <row r="258" spans="3:13" ht="25.8">
      <c r="C258" s="33"/>
      <c r="D258" s="33" t="s">
        <v>18</v>
      </c>
      <c r="E258" s="33" t="s">
        <v>2</v>
      </c>
      <c r="F258" s="50"/>
      <c r="G258" s="33"/>
      <c r="H258" s="33"/>
      <c r="I258" s="34"/>
      <c r="J258" s="34"/>
      <c r="L258" s="33"/>
      <c r="M258" s="33"/>
    </row>
    <row r="259" spans="3:13" ht="25.8">
      <c r="C259" s="33"/>
      <c r="D259" s="33" t="s">
        <v>18</v>
      </c>
      <c r="E259" s="33" t="s">
        <v>2</v>
      </c>
      <c r="F259" s="50"/>
      <c r="G259" s="33"/>
      <c r="H259" s="33"/>
      <c r="I259" s="34"/>
      <c r="J259" s="34"/>
      <c r="L259" s="33"/>
      <c r="M259" s="33"/>
    </row>
    <row r="260" spans="3:13" ht="25.8">
      <c r="C260" s="33"/>
      <c r="D260" s="33" t="s">
        <v>18</v>
      </c>
      <c r="E260" s="33" t="s">
        <v>2</v>
      </c>
      <c r="F260" s="50"/>
      <c r="G260" s="33"/>
      <c r="H260" s="33"/>
      <c r="I260" s="34"/>
      <c r="J260" s="34"/>
      <c r="L260" s="33"/>
      <c r="M260" s="33"/>
    </row>
    <row r="261" spans="3:13" ht="25.8">
      <c r="C261" s="33"/>
      <c r="D261" s="33" t="s">
        <v>18</v>
      </c>
      <c r="E261" s="33" t="s">
        <v>2</v>
      </c>
      <c r="F261" s="50"/>
      <c r="G261" s="33"/>
      <c r="H261" s="33"/>
      <c r="I261" s="34"/>
      <c r="J261" s="34"/>
      <c r="L261" s="33"/>
      <c r="M261" s="33"/>
    </row>
    <row r="262" spans="3:13" ht="25.8">
      <c r="C262" s="33"/>
      <c r="D262" s="33" t="s">
        <v>18</v>
      </c>
      <c r="E262" s="33" t="s">
        <v>2</v>
      </c>
      <c r="F262" s="50"/>
      <c r="G262" s="33"/>
      <c r="H262" s="33"/>
      <c r="I262" s="34"/>
      <c r="J262" s="34"/>
      <c r="L262" s="33"/>
      <c r="M262" s="33"/>
    </row>
    <row r="263" spans="3:13" ht="25.8">
      <c r="C263" s="33"/>
      <c r="D263" s="33" t="s">
        <v>18</v>
      </c>
      <c r="E263" s="33" t="s">
        <v>2</v>
      </c>
      <c r="F263" s="50"/>
      <c r="G263" s="33"/>
      <c r="H263" s="33"/>
      <c r="I263" s="34"/>
      <c r="J263" s="34"/>
      <c r="L263" s="33"/>
      <c r="M263" s="33"/>
    </row>
    <row r="264" spans="3:13" ht="25.8">
      <c r="C264" s="33"/>
      <c r="D264" s="33" t="s">
        <v>18</v>
      </c>
      <c r="E264" s="33" t="s">
        <v>2</v>
      </c>
      <c r="F264" s="50"/>
      <c r="G264" s="33"/>
      <c r="H264" s="33"/>
      <c r="I264" s="34"/>
      <c r="J264" s="34"/>
      <c r="L264" s="33"/>
      <c r="M264" s="33"/>
    </row>
    <row r="265" spans="3:13" ht="25.8">
      <c r="C265" s="33"/>
      <c r="D265" s="33" t="s">
        <v>18</v>
      </c>
      <c r="E265" s="33" t="s">
        <v>2</v>
      </c>
      <c r="F265" s="50"/>
      <c r="G265" s="33"/>
      <c r="H265" s="33"/>
      <c r="I265" s="34"/>
      <c r="J265" s="34"/>
      <c r="L265" s="33"/>
      <c r="M265" s="33"/>
    </row>
    <row r="266" spans="3:13" ht="25.8">
      <c r="C266" s="33"/>
      <c r="D266" s="33" t="s">
        <v>18</v>
      </c>
      <c r="E266" s="33" t="s">
        <v>2</v>
      </c>
      <c r="F266" s="50"/>
      <c r="G266" s="33"/>
      <c r="H266" s="33"/>
      <c r="I266" s="34"/>
      <c r="J266" s="34"/>
      <c r="L266" s="33"/>
      <c r="M266" s="33"/>
    </row>
    <row r="267" spans="3:13" ht="25.8">
      <c r="C267" s="33"/>
      <c r="D267" s="33" t="s">
        <v>18</v>
      </c>
      <c r="E267" s="33" t="s">
        <v>2</v>
      </c>
      <c r="F267" s="50"/>
      <c r="G267" s="33"/>
      <c r="H267" s="33"/>
      <c r="I267" s="34"/>
      <c r="J267" s="34"/>
      <c r="L267" s="33"/>
      <c r="M267" s="33"/>
    </row>
    <row r="268" spans="3:13" ht="25.8">
      <c r="C268" s="33"/>
      <c r="D268" s="33" t="s">
        <v>18</v>
      </c>
      <c r="E268" s="33" t="s">
        <v>2</v>
      </c>
      <c r="F268" s="50"/>
      <c r="G268" s="33"/>
      <c r="H268" s="33"/>
      <c r="I268" s="34"/>
      <c r="J268" s="34"/>
      <c r="L268" s="33"/>
      <c r="M268" s="33"/>
    </row>
    <row r="269" spans="3:13" ht="25.8">
      <c r="C269" s="33"/>
      <c r="D269" s="33" t="s">
        <v>18</v>
      </c>
      <c r="E269" s="33" t="s">
        <v>2</v>
      </c>
      <c r="F269" s="50"/>
      <c r="G269" s="33"/>
      <c r="H269" s="33"/>
      <c r="I269" s="34"/>
      <c r="J269" s="34"/>
      <c r="L269" s="33"/>
      <c r="M269" s="33"/>
    </row>
    <row r="270" spans="3:13" ht="25.8">
      <c r="C270" s="33"/>
      <c r="D270" s="33" t="s">
        <v>18</v>
      </c>
      <c r="E270" s="33" t="s">
        <v>2</v>
      </c>
      <c r="F270" s="50"/>
      <c r="G270" s="33"/>
      <c r="H270" s="33"/>
      <c r="I270" s="34"/>
      <c r="J270" s="34"/>
      <c r="L270" s="33"/>
      <c r="M270" s="33"/>
    </row>
    <row r="271" spans="3:13" ht="25.8">
      <c r="C271" s="33"/>
      <c r="D271" s="33" t="s">
        <v>18</v>
      </c>
      <c r="E271" s="33" t="s">
        <v>2</v>
      </c>
      <c r="F271" s="50"/>
      <c r="G271" s="33"/>
      <c r="H271" s="33"/>
      <c r="I271" s="34"/>
      <c r="J271" s="34"/>
      <c r="L271" s="33"/>
      <c r="M271" s="33"/>
    </row>
    <row r="272" spans="3:13" ht="25.8">
      <c r="C272" s="33"/>
      <c r="D272" s="33" t="s">
        <v>18</v>
      </c>
      <c r="E272" s="33" t="s">
        <v>2</v>
      </c>
      <c r="F272" s="50"/>
      <c r="G272" s="33"/>
      <c r="H272" s="33"/>
      <c r="I272" s="34"/>
      <c r="J272" s="34"/>
      <c r="L272" s="33"/>
      <c r="M272" s="33"/>
    </row>
    <row r="273" spans="3:13" ht="25.8">
      <c r="C273" s="33"/>
      <c r="D273" s="33" t="s">
        <v>18</v>
      </c>
      <c r="E273" s="33" t="s">
        <v>2</v>
      </c>
      <c r="F273" s="50"/>
      <c r="G273" s="33"/>
      <c r="H273" s="33"/>
      <c r="I273" s="34"/>
      <c r="J273" s="34"/>
      <c r="L273" s="33"/>
      <c r="M273" s="33"/>
    </row>
    <row r="274" spans="3:13" ht="25.8">
      <c r="C274" s="33"/>
      <c r="D274" s="33" t="s">
        <v>18</v>
      </c>
      <c r="E274" s="33" t="s">
        <v>2</v>
      </c>
      <c r="F274" s="50"/>
      <c r="G274" s="33"/>
      <c r="H274" s="33"/>
      <c r="I274" s="34"/>
      <c r="J274" s="34"/>
      <c r="L274" s="33"/>
      <c r="M274" s="33"/>
    </row>
    <row r="275" spans="3:13" ht="25.8">
      <c r="C275" s="33"/>
      <c r="D275" s="33" t="s">
        <v>18</v>
      </c>
      <c r="E275" s="33" t="s">
        <v>2</v>
      </c>
      <c r="F275" s="50"/>
      <c r="G275" s="33"/>
      <c r="H275" s="33"/>
      <c r="I275" s="34"/>
      <c r="J275" s="34"/>
      <c r="L275" s="33"/>
      <c r="M275" s="33"/>
    </row>
    <row r="276" spans="3:13" ht="25.8">
      <c r="C276" s="33"/>
      <c r="D276" s="33" t="s">
        <v>18</v>
      </c>
      <c r="E276" s="33" t="s">
        <v>2</v>
      </c>
      <c r="F276" s="50"/>
      <c r="G276" s="33"/>
      <c r="H276" s="33"/>
      <c r="I276" s="34"/>
      <c r="J276" s="34"/>
      <c r="L276" s="33"/>
      <c r="M276" s="33"/>
    </row>
    <row r="277" spans="3:13" ht="25.8">
      <c r="C277" s="33"/>
      <c r="D277" s="33" t="s">
        <v>18</v>
      </c>
      <c r="E277" s="33" t="s">
        <v>2</v>
      </c>
      <c r="F277" s="50"/>
      <c r="G277" s="33"/>
      <c r="H277" s="33"/>
      <c r="I277" s="34"/>
      <c r="J277" s="34"/>
      <c r="L277" s="33"/>
      <c r="M277" s="33"/>
    </row>
    <row r="278" spans="3:13" ht="25.8">
      <c r="C278" s="33"/>
      <c r="D278" s="33" t="s">
        <v>18</v>
      </c>
      <c r="E278" s="33" t="s">
        <v>2</v>
      </c>
      <c r="F278" s="50"/>
      <c r="G278" s="33"/>
      <c r="H278" s="33"/>
      <c r="I278" s="34"/>
      <c r="J278" s="34"/>
      <c r="L278" s="33"/>
      <c r="M278" s="33"/>
    </row>
    <row r="279" spans="3:13" ht="25.8">
      <c r="C279" s="33"/>
      <c r="D279" s="33" t="s">
        <v>18</v>
      </c>
      <c r="E279" s="33" t="s">
        <v>2</v>
      </c>
      <c r="F279" s="50"/>
      <c r="G279" s="33"/>
      <c r="H279" s="33"/>
      <c r="I279" s="34"/>
      <c r="J279" s="34"/>
      <c r="L279" s="33"/>
      <c r="M279" s="33"/>
    </row>
    <row r="280" spans="3:13" ht="25.8">
      <c r="C280" s="33"/>
      <c r="D280" s="33" t="s">
        <v>18</v>
      </c>
      <c r="E280" s="33" t="s">
        <v>2</v>
      </c>
      <c r="F280" s="50"/>
      <c r="G280" s="33"/>
      <c r="H280" s="33"/>
      <c r="I280" s="34"/>
      <c r="J280" s="34"/>
      <c r="L280" s="33"/>
      <c r="M280" s="33"/>
    </row>
    <row r="281" spans="3:13" ht="25.8">
      <c r="C281" s="33"/>
      <c r="D281" s="33" t="s">
        <v>18</v>
      </c>
      <c r="E281" s="33" t="s">
        <v>2</v>
      </c>
      <c r="F281" s="50"/>
      <c r="G281" s="33"/>
      <c r="H281" s="33"/>
      <c r="I281" s="34"/>
      <c r="J281" s="34"/>
      <c r="L281" s="33"/>
      <c r="M281" s="33"/>
    </row>
    <row r="282" spans="3:13" ht="25.8">
      <c r="C282" s="33"/>
      <c r="D282" s="33" t="s">
        <v>18</v>
      </c>
      <c r="E282" s="33" t="s">
        <v>2</v>
      </c>
      <c r="F282" s="50"/>
      <c r="G282" s="33"/>
      <c r="H282" s="33"/>
      <c r="I282" s="34"/>
      <c r="J282" s="34"/>
      <c r="L282" s="33"/>
      <c r="M282" s="33"/>
    </row>
    <row r="283" spans="3:13" ht="25.8">
      <c r="C283" s="33"/>
      <c r="D283" s="33" t="s">
        <v>18</v>
      </c>
      <c r="E283" s="33" t="s">
        <v>2</v>
      </c>
      <c r="F283" s="50"/>
      <c r="G283" s="33"/>
      <c r="H283" s="33"/>
      <c r="I283" s="34"/>
      <c r="J283" s="34"/>
      <c r="L283" s="33"/>
      <c r="M283" s="33"/>
    </row>
    <row r="284" spans="3:13" ht="25.8">
      <c r="C284" s="33"/>
      <c r="D284" s="33" t="s">
        <v>18</v>
      </c>
      <c r="E284" s="33" t="s">
        <v>2</v>
      </c>
      <c r="F284" s="50"/>
      <c r="G284" s="33"/>
      <c r="H284" s="33"/>
      <c r="I284" s="34"/>
      <c r="J284" s="34"/>
      <c r="L284" s="33"/>
      <c r="M284" s="33"/>
    </row>
    <row r="285" spans="3:13" ht="25.8">
      <c r="C285" s="33"/>
      <c r="D285" s="33" t="s">
        <v>18</v>
      </c>
      <c r="E285" s="33" t="s">
        <v>2</v>
      </c>
      <c r="F285" s="50"/>
      <c r="G285" s="33"/>
      <c r="H285" s="33"/>
      <c r="I285" s="34"/>
      <c r="J285" s="34"/>
      <c r="L285" s="33"/>
      <c r="M285" s="33"/>
    </row>
    <row r="286" spans="3:13" ht="25.8">
      <c r="C286" s="33"/>
      <c r="D286" s="33" t="s">
        <v>18</v>
      </c>
      <c r="E286" s="33" t="s">
        <v>2</v>
      </c>
      <c r="F286" s="50"/>
      <c r="G286" s="33"/>
      <c r="H286" s="33"/>
      <c r="I286" s="34"/>
      <c r="J286" s="34"/>
      <c r="L286" s="33"/>
      <c r="M286" s="33"/>
    </row>
    <row r="287" spans="3:13" ht="25.8">
      <c r="C287" s="33"/>
      <c r="D287" s="33" t="s">
        <v>18</v>
      </c>
      <c r="E287" s="33" t="s">
        <v>2</v>
      </c>
      <c r="F287" s="50"/>
      <c r="G287" s="33"/>
      <c r="H287" s="33"/>
      <c r="I287" s="34"/>
      <c r="J287" s="34"/>
      <c r="L287" s="33"/>
      <c r="M287" s="33"/>
    </row>
    <row r="288" spans="3:13" ht="25.8">
      <c r="C288" s="33"/>
      <c r="D288" s="33" t="s">
        <v>18</v>
      </c>
      <c r="E288" s="33" t="s">
        <v>2</v>
      </c>
      <c r="F288" s="50"/>
      <c r="G288" s="33"/>
      <c r="H288" s="33"/>
      <c r="I288" s="34"/>
      <c r="J288" s="34"/>
      <c r="L288" s="33"/>
      <c r="M288" s="33"/>
    </row>
    <row r="289" spans="3:13" ht="25.8">
      <c r="C289" s="33"/>
      <c r="D289" s="33" t="s">
        <v>18</v>
      </c>
      <c r="E289" s="33" t="s">
        <v>2</v>
      </c>
      <c r="F289" s="50"/>
      <c r="G289" s="33"/>
      <c r="H289" s="33"/>
      <c r="I289" s="34"/>
      <c r="J289" s="34"/>
      <c r="L289" s="33"/>
      <c r="M289" s="33"/>
    </row>
    <row r="290" spans="3:13" ht="25.8">
      <c r="C290" s="33"/>
      <c r="D290" s="33" t="s">
        <v>18</v>
      </c>
      <c r="E290" s="33" t="s">
        <v>2</v>
      </c>
      <c r="F290" s="50"/>
      <c r="G290" s="33"/>
      <c r="H290" s="33"/>
      <c r="I290" s="34"/>
      <c r="J290" s="34"/>
      <c r="L290" s="33"/>
      <c r="M290" s="33"/>
    </row>
    <row r="291" spans="3:13" ht="25.8">
      <c r="C291" s="33"/>
      <c r="D291" s="33" t="s">
        <v>18</v>
      </c>
      <c r="E291" s="33" t="s">
        <v>2</v>
      </c>
      <c r="F291" s="50"/>
      <c r="G291" s="33"/>
      <c r="H291" s="33"/>
      <c r="I291" s="34"/>
      <c r="J291" s="34"/>
      <c r="L291" s="33"/>
      <c r="M291" s="33"/>
    </row>
    <row r="292" spans="3:13" ht="25.8">
      <c r="C292" s="33"/>
      <c r="D292" s="33" t="s">
        <v>18</v>
      </c>
      <c r="E292" s="33" t="s">
        <v>2</v>
      </c>
      <c r="F292" s="50"/>
      <c r="G292" s="33"/>
      <c r="H292" s="33"/>
      <c r="I292" s="34"/>
      <c r="J292" s="34"/>
      <c r="L292" s="33"/>
      <c r="M292" s="33"/>
    </row>
    <row r="293" spans="3:13" ht="25.8">
      <c r="C293" s="33"/>
      <c r="D293" s="33" t="s">
        <v>18</v>
      </c>
      <c r="E293" s="33" t="s">
        <v>2</v>
      </c>
      <c r="F293" s="50"/>
      <c r="G293" s="33"/>
      <c r="H293" s="33"/>
      <c r="I293" s="34"/>
      <c r="J293" s="34"/>
      <c r="L293" s="33"/>
      <c r="M293" s="33"/>
    </row>
    <row r="294" spans="3:13" ht="25.8">
      <c r="C294" s="33"/>
      <c r="D294" s="33" t="s">
        <v>18</v>
      </c>
      <c r="E294" s="33" t="s">
        <v>2</v>
      </c>
      <c r="F294" s="50"/>
      <c r="G294" s="33"/>
      <c r="H294" s="33"/>
      <c r="I294" s="34"/>
      <c r="J294" s="34"/>
      <c r="L294" s="33"/>
      <c r="M294" s="33"/>
    </row>
    <row r="295" spans="3:13" ht="25.8">
      <c r="C295" s="33"/>
      <c r="D295" s="33" t="s">
        <v>18</v>
      </c>
      <c r="E295" s="33" t="s">
        <v>2</v>
      </c>
      <c r="F295" s="50"/>
      <c r="G295" s="33"/>
      <c r="H295" s="33"/>
      <c r="I295" s="34"/>
      <c r="J295" s="34"/>
      <c r="L295" s="33"/>
      <c r="M295" s="33"/>
    </row>
    <row r="296" spans="3:13" ht="25.8">
      <c r="C296" s="33"/>
      <c r="D296" s="33" t="s">
        <v>18</v>
      </c>
      <c r="E296" s="33" t="s">
        <v>2</v>
      </c>
      <c r="F296" s="50"/>
      <c r="G296" s="33"/>
      <c r="H296" s="33"/>
      <c r="I296" s="34"/>
      <c r="J296" s="34"/>
      <c r="L296" s="33"/>
      <c r="M296" s="33"/>
    </row>
    <row r="297" spans="3:13" ht="25.8">
      <c r="C297" s="33"/>
      <c r="D297" s="33" t="s">
        <v>18</v>
      </c>
      <c r="E297" s="33" t="s">
        <v>2</v>
      </c>
      <c r="F297" s="50"/>
      <c r="G297" s="33"/>
      <c r="H297" s="33"/>
      <c r="I297" s="34"/>
      <c r="J297" s="34"/>
      <c r="L297" s="33"/>
      <c r="M297" s="33"/>
    </row>
    <row r="298" spans="3:13" ht="25.8">
      <c r="C298" s="33"/>
      <c r="D298" s="33" t="s">
        <v>18</v>
      </c>
      <c r="E298" s="33" t="s">
        <v>2</v>
      </c>
      <c r="F298" s="50"/>
      <c r="G298" s="33"/>
      <c r="H298" s="33"/>
      <c r="I298" s="34"/>
      <c r="J298" s="34"/>
      <c r="L298" s="33"/>
      <c r="M298" s="33"/>
    </row>
    <row r="299" spans="3:13" ht="25.8">
      <c r="C299" s="33"/>
      <c r="D299" s="33" t="s">
        <v>18</v>
      </c>
      <c r="E299" s="33" t="s">
        <v>2</v>
      </c>
      <c r="F299" s="50"/>
      <c r="G299" s="33"/>
      <c r="H299" s="33"/>
      <c r="I299" s="34"/>
      <c r="J299" s="34"/>
      <c r="L299" s="33"/>
      <c r="M299" s="33"/>
    </row>
    <row r="300" spans="3:13" ht="25.8">
      <c r="C300" s="33"/>
      <c r="D300" s="33" t="s">
        <v>18</v>
      </c>
      <c r="E300" s="33" t="s">
        <v>2</v>
      </c>
      <c r="F300" s="50"/>
      <c r="G300" s="33"/>
      <c r="H300" s="33"/>
      <c r="I300" s="34"/>
      <c r="J300" s="34"/>
      <c r="L300" s="33"/>
      <c r="M300" s="33"/>
    </row>
  </sheetData>
  <mergeCells count="3">
    <mergeCell ref="C2:J4"/>
    <mergeCell ref="L3:M4"/>
    <mergeCell ref="C5:J5"/>
  </mergeCells>
  <conditionalFormatting sqref="F7:F300">
    <cfRule type="containsText" dxfId="97" priority="10" operator="containsText" text="Blue">
      <formula>NOT(ISERROR(SEARCH("Blue",F7)))</formula>
    </cfRule>
    <cfRule type="containsText" dxfId="96" priority="13" operator="containsText" text="Dark Green">
      <formula>NOT(ISERROR(SEARCH("Dark Green",F7)))</formula>
    </cfRule>
    <cfRule type="containsText" dxfId="95" priority="15" operator="containsText" text="Green">
      <formula>NOT(ISERROR(SEARCH("Green",F7)))</formula>
    </cfRule>
    <cfRule type="containsText" dxfId="94" priority="16" operator="containsText" text="Red">
      <formula>NOT(ISERROR(SEARCH("Red",F7)))</formula>
    </cfRule>
    <cfRule type="containsText" dxfId="93" priority="18" operator="containsText" text="Orange">
      <formula>NOT(ISERROR(SEARCH("Orange",F7)))</formula>
    </cfRule>
    <cfRule type="containsText" dxfId="92" priority="19" operator="containsText" text="Purple">
      <formula>NOT(ISERROR(SEARCH("Purple",F7)))</formula>
    </cfRule>
  </conditionalFormatting>
  <conditionalFormatting sqref="J1:J1048576">
    <cfRule type="beginsWith" dxfId="91" priority="2" operator="beginsWith" text="0">
      <formula>LEFT(J1,LEN("0"))="0"</formula>
    </cfRule>
  </conditionalFormatting>
  <conditionalFormatting sqref="I1:I1048576">
    <cfRule type="beginsWith" dxfId="90" priority="1" operator="beginsWith" text="0">
      <formula>LEFT(I1,LEN("0"))="0"</formula>
    </cfRule>
  </conditionalFormatting>
  <dataValidations count="4">
    <dataValidation type="list" allowBlank="1" showInputMessage="1" showErrorMessage="1" sqref="G2:G5 G7:G1048576" xr:uid="{00000000-0002-0000-0100-000000000000}">
      <formula1>"(75*9),(75*13),(70*45)"</formula1>
    </dataValidation>
    <dataValidation type="list" allowBlank="1" showInputMessage="1" showErrorMessage="1" sqref="E7:E300" xr:uid="{00000000-0002-0000-0100-000002000000}">
      <formula1>"C&amp;S"</formula1>
    </dataValidation>
    <dataValidation type="list" allowBlank="1" showInputMessage="1" showErrorMessage="1" sqref="D7:D300" xr:uid="{00000000-0002-0000-0100-000003000000}">
      <formula1>"Sacks"</formula1>
    </dataValidation>
    <dataValidation type="list" allowBlank="1" showInputMessage="1" showErrorMessage="1" sqref="F2:F5 F7:F1048576" xr:uid="{183F85E7-ED8F-4C38-862A-2DBC2215E356}">
      <formula1>"Purple, Orange,Red, Green,Dark Green,Dark Green(75*50*13),Blue"</formula1>
    </dataValidation>
  </dataValidations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0"/>
  </sheetPr>
  <dimension ref="C2:M330"/>
  <sheetViews>
    <sheetView zoomScale="70" zoomScaleNormal="70" workbookViewId="0">
      <selection activeCell="M20" sqref="M20"/>
    </sheetView>
  </sheetViews>
  <sheetFormatPr defaultRowHeight="14.4"/>
  <cols>
    <col min="3" max="3" width="41.44140625" customWidth="1"/>
    <col min="4" max="4" width="23.33203125" customWidth="1"/>
    <col min="5" max="5" width="21.109375" style="72" customWidth="1"/>
    <col min="6" max="6" width="34.109375" customWidth="1"/>
    <col min="7" max="8" width="20.5546875" customWidth="1"/>
    <col min="9" max="9" width="22.88671875" style="10" customWidth="1"/>
    <col min="10" max="10" width="42.33203125" style="10" customWidth="1"/>
    <col min="12" max="13" width="16.6640625" customWidth="1"/>
  </cols>
  <sheetData>
    <row r="2" spans="3:13" ht="25.8">
      <c r="C2" s="137" t="s">
        <v>6</v>
      </c>
      <c r="D2" s="137"/>
      <c r="E2" s="137"/>
      <c r="F2" s="137"/>
      <c r="G2" s="137"/>
      <c r="H2" s="137"/>
      <c r="I2" s="137"/>
      <c r="J2" s="137"/>
      <c r="K2" s="1"/>
    </row>
    <row r="3" spans="3:13" ht="27.75" customHeight="1">
      <c r="C3" s="137"/>
      <c r="D3" s="137"/>
      <c r="E3" s="137"/>
      <c r="F3" s="137"/>
      <c r="G3" s="137"/>
      <c r="H3" s="137"/>
      <c r="I3" s="137"/>
      <c r="J3" s="137"/>
      <c r="K3" s="1"/>
      <c r="L3" s="134" t="s">
        <v>16</v>
      </c>
      <c r="M3" s="134"/>
    </row>
    <row r="4" spans="3:13" ht="27.75" customHeight="1">
      <c r="C4" s="137"/>
      <c r="D4" s="137"/>
      <c r="E4" s="137"/>
      <c r="F4" s="137"/>
      <c r="G4" s="137"/>
      <c r="H4" s="137"/>
      <c r="I4" s="137"/>
      <c r="J4" s="137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73"/>
      <c r="M5" s="73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71" t="s">
        <v>14</v>
      </c>
      <c r="J6" s="71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18</v>
      </c>
      <c r="E7" s="53" t="s">
        <v>5</v>
      </c>
      <c r="F7" s="50" t="s">
        <v>55</v>
      </c>
      <c r="G7" s="33" t="s">
        <v>56</v>
      </c>
      <c r="H7" s="33" t="s">
        <v>86</v>
      </c>
      <c r="I7" s="69">
        <v>7466</v>
      </c>
      <c r="J7" s="69">
        <v>7466</v>
      </c>
      <c r="K7" s="1"/>
      <c r="L7" s="33"/>
      <c r="M7" s="33"/>
    </row>
    <row r="8" spans="3:13" ht="25.8">
      <c r="C8" s="35">
        <v>46174</v>
      </c>
      <c r="D8" s="33" t="s">
        <v>18</v>
      </c>
      <c r="E8" s="53" t="s">
        <v>5</v>
      </c>
      <c r="F8" s="50" t="s">
        <v>57</v>
      </c>
      <c r="G8" s="33" t="s">
        <v>56</v>
      </c>
      <c r="H8" s="33" t="s">
        <v>86</v>
      </c>
      <c r="I8" s="69">
        <v>7450</v>
      </c>
      <c r="J8" s="69">
        <v>7450</v>
      </c>
      <c r="K8" s="1"/>
      <c r="L8" s="33"/>
      <c r="M8" s="33"/>
    </row>
    <row r="9" spans="3:13" ht="25.8">
      <c r="C9" s="35">
        <v>46174</v>
      </c>
      <c r="D9" s="33" t="s">
        <v>18</v>
      </c>
      <c r="E9" s="53" t="s">
        <v>5</v>
      </c>
      <c r="F9" s="53" t="s">
        <v>36</v>
      </c>
      <c r="G9" s="33" t="s">
        <v>29</v>
      </c>
      <c r="H9" s="33" t="s">
        <v>86</v>
      </c>
      <c r="I9" s="69">
        <v>23928</v>
      </c>
      <c r="J9" s="69">
        <v>23928</v>
      </c>
      <c r="K9" s="1"/>
      <c r="L9" s="33"/>
      <c r="M9" s="33"/>
    </row>
    <row r="10" spans="3:13" ht="25.8">
      <c r="C10" s="35">
        <v>46174</v>
      </c>
      <c r="D10" s="33" t="s">
        <v>18</v>
      </c>
      <c r="E10" s="53" t="s">
        <v>5</v>
      </c>
      <c r="F10" s="53" t="s">
        <v>37</v>
      </c>
      <c r="G10" s="33" t="s">
        <v>29</v>
      </c>
      <c r="H10" s="33" t="s">
        <v>86</v>
      </c>
      <c r="I10" s="69">
        <v>20251</v>
      </c>
      <c r="J10" s="69">
        <v>20251</v>
      </c>
      <c r="K10" s="1"/>
      <c r="L10" s="33"/>
      <c r="M10" s="33"/>
    </row>
    <row r="11" spans="3:13" ht="25.8">
      <c r="C11" s="35">
        <v>46174</v>
      </c>
      <c r="D11" s="33" t="s">
        <v>18</v>
      </c>
      <c r="E11" s="53" t="s">
        <v>5</v>
      </c>
      <c r="F11" s="53" t="s">
        <v>42</v>
      </c>
      <c r="G11" s="33" t="s">
        <v>29</v>
      </c>
      <c r="H11" s="33" t="s">
        <v>86</v>
      </c>
      <c r="I11" s="69">
        <v>5223</v>
      </c>
      <c r="J11" s="69">
        <v>5223</v>
      </c>
      <c r="K11" s="1"/>
      <c r="L11" s="33"/>
      <c r="M11" s="33"/>
    </row>
    <row r="12" spans="3:13" ht="25.8">
      <c r="C12" s="35">
        <v>46174</v>
      </c>
      <c r="D12" s="33" t="s">
        <v>18</v>
      </c>
      <c r="E12" s="53" t="s">
        <v>5</v>
      </c>
      <c r="F12" s="53" t="s">
        <v>24</v>
      </c>
      <c r="G12" s="33" t="s">
        <v>29</v>
      </c>
      <c r="H12" s="33" t="s">
        <v>86</v>
      </c>
      <c r="I12" s="69">
        <v>6397</v>
      </c>
      <c r="J12" s="69">
        <v>6397</v>
      </c>
      <c r="K12" s="1"/>
      <c r="L12" s="33"/>
      <c r="M12" s="33"/>
    </row>
    <row r="13" spans="3:13" ht="25.8">
      <c r="C13" s="35">
        <v>46174</v>
      </c>
      <c r="D13" s="33" t="s">
        <v>18</v>
      </c>
      <c r="E13" s="53" t="s">
        <v>5</v>
      </c>
      <c r="F13" s="50" t="s">
        <v>58</v>
      </c>
      <c r="G13" s="33" t="s">
        <v>29</v>
      </c>
      <c r="H13" s="33" t="s">
        <v>86</v>
      </c>
      <c r="I13" s="69">
        <v>4805</v>
      </c>
      <c r="J13" s="69">
        <v>4805</v>
      </c>
      <c r="K13" s="1"/>
      <c r="L13" s="33"/>
      <c r="M13" s="33"/>
    </row>
    <row r="14" spans="3:13" ht="25.8">
      <c r="C14" s="35">
        <v>46175</v>
      </c>
      <c r="D14" s="33" t="s">
        <v>18</v>
      </c>
      <c r="E14" s="53" t="s">
        <v>5</v>
      </c>
      <c r="F14" s="53" t="s">
        <v>58</v>
      </c>
      <c r="G14" s="33" t="s">
        <v>29</v>
      </c>
      <c r="H14" s="33" t="s">
        <v>88</v>
      </c>
      <c r="I14" s="69">
        <v>4805</v>
      </c>
      <c r="J14" s="69">
        <v>4795</v>
      </c>
      <c r="K14" s="1"/>
      <c r="L14" s="33"/>
      <c r="M14" s="33"/>
    </row>
    <row r="15" spans="3:13" ht="25.8">
      <c r="C15" s="35">
        <v>46176</v>
      </c>
      <c r="D15" s="33" t="s">
        <v>18</v>
      </c>
      <c r="E15" s="53" t="s">
        <v>5</v>
      </c>
      <c r="F15" s="53" t="s">
        <v>42</v>
      </c>
      <c r="G15" s="33" t="s">
        <v>29</v>
      </c>
      <c r="H15" s="33" t="s">
        <v>88</v>
      </c>
      <c r="I15" s="69">
        <v>5223</v>
      </c>
      <c r="J15" s="69">
        <v>5211</v>
      </c>
      <c r="K15" s="1"/>
      <c r="L15" s="33"/>
      <c r="M15" s="33"/>
    </row>
    <row r="16" spans="3:13" ht="25.8">
      <c r="C16" s="35">
        <v>46177</v>
      </c>
      <c r="D16" s="33" t="s">
        <v>18</v>
      </c>
      <c r="E16" s="53" t="s">
        <v>5</v>
      </c>
      <c r="F16" s="53" t="s">
        <v>36</v>
      </c>
      <c r="G16" s="33" t="s">
        <v>29</v>
      </c>
      <c r="H16" s="33" t="s">
        <v>88</v>
      </c>
      <c r="I16" s="69">
        <v>23928</v>
      </c>
      <c r="J16" s="69">
        <v>23723</v>
      </c>
      <c r="K16" s="1"/>
      <c r="L16" s="33"/>
      <c r="M16" s="33"/>
    </row>
    <row r="17" spans="3:13" ht="25.8">
      <c r="C17" s="35">
        <v>46177</v>
      </c>
      <c r="D17" s="33" t="s">
        <v>18</v>
      </c>
      <c r="E17" s="53" t="s">
        <v>5</v>
      </c>
      <c r="F17" s="53" t="s">
        <v>37</v>
      </c>
      <c r="G17" s="33" t="s">
        <v>29</v>
      </c>
      <c r="H17" s="33" t="s">
        <v>88</v>
      </c>
      <c r="I17" s="69">
        <v>20251</v>
      </c>
      <c r="J17" s="69">
        <v>20126</v>
      </c>
      <c r="K17" s="1"/>
      <c r="L17" s="33"/>
      <c r="M17" s="33"/>
    </row>
    <row r="18" spans="3:13" ht="25.8">
      <c r="C18" s="35">
        <v>46177</v>
      </c>
      <c r="D18" s="33" t="s">
        <v>18</v>
      </c>
      <c r="E18" s="53" t="s">
        <v>5</v>
      </c>
      <c r="F18" s="53" t="s">
        <v>58</v>
      </c>
      <c r="G18" s="33" t="s">
        <v>29</v>
      </c>
      <c r="H18" s="33" t="s">
        <v>88</v>
      </c>
      <c r="I18" s="69">
        <v>4795</v>
      </c>
      <c r="J18" s="69">
        <v>4630</v>
      </c>
      <c r="K18" s="1"/>
      <c r="L18" s="33"/>
      <c r="M18" s="33"/>
    </row>
    <row r="19" spans="3:13" ht="25.8">
      <c r="C19" s="35">
        <v>46177</v>
      </c>
      <c r="D19" s="33" t="s">
        <v>18</v>
      </c>
      <c r="E19" s="53" t="s">
        <v>5</v>
      </c>
      <c r="F19" s="53" t="s">
        <v>24</v>
      </c>
      <c r="G19" s="33" t="s">
        <v>29</v>
      </c>
      <c r="H19" s="33" t="s">
        <v>88</v>
      </c>
      <c r="I19" s="69">
        <v>6397</v>
      </c>
      <c r="J19" s="69">
        <v>6192</v>
      </c>
      <c r="K19" s="1"/>
      <c r="L19" s="33"/>
      <c r="M19" s="33"/>
    </row>
    <row r="20" spans="3:13" ht="25.8">
      <c r="C20" s="35"/>
      <c r="D20" s="33" t="s">
        <v>18</v>
      </c>
      <c r="E20" s="53" t="s">
        <v>5</v>
      </c>
      <c r="F20" s="53"/>
      <c r="G20" s="33"/>
      <c r="H20" s="33"/>
      <c r="I20" s="69"/>
      <c r="J20" s="69"/>
      <c r="K20" s="1"/>
      <c r="L20" s="33"/>
      <c r="M20" s="33"/>
    </row>
    <row r="21" spans="3:13" ht="26.25" customHeight="1">
      <c r="C21" s="35"/>
      <c r="D21" s="33" t="s">
        <v>18</v>
      </c>
      <c r="E21" s="53" t="s">
        <v>5</v>
      </c>
      <c r="F21" s="53"/>
      <c r="G21" s="33"/>
      <c r="H21" s="33"/>
      <c r="I21" s="69"/>
      <c r="J21" s="69"/>
      <c r="K21" s="1"/>
      <c r="L21" s="33"/>
      <c r="M21" s="33"/>
    </row>
    <row r="22" spans="3:13" ht="26.25" customHeight="1">
      <c r="C22" s="35"/>
      <c r="D22" s="33" t="s">
        <v>18</v>
      </c>
      <c r="E22" s="53" t="s">
        <v>5</v>
      </c>
      <c r="F22" s="53"/>
      <c r="G22" s="33"/>
      <c r="H22" s="33"/>
      <c r="I22" s="69"/>
      <c r="J22" s="69"/>
      <c r="K22" s="1"/>
      <c r="L22" s="33"/>
      <c r="M22" s="33"/>
    </row>
    <row r="23" spans="3:13" ht="26.25" customHeight="1">
      <c r="C23" s="35"/>
      <c r="D23" s="33" t="s">
        <v>18</v>
      </c>
      <c r="E23" s="53" t="s">
        <v>5</v>
      </c>
      <c r="F23" s="53"/>
      <c r="G23" s="33"/>
      <c r="H23" s="33"/>
      <c r="I23" s="69"/>
      <c r="J23" s="69"/>
      <c r="K23" s="1"/>
      <c r="L23" s="33"/>
      <c r="M23" s="33"/>
    </row>
    <row r="24" spans="3:13" ht="26.25" customHeight="1">
      <c r="C24" s="35"/>
      <c r="D24" s="33" t="s">
        <v>18</v>
      </c>
      <c r="E24" s="53" t="s">
        <v>5</v>
      </c>
      <c r="F24" s="53"/>
      <c r="G24" s="33"/>
      <c r="H24" s="33"/>
      <c r="I24" s="69"/>
      <c r="J24" s="69"/>
      <c r="K24" s="1"/>
      <c r="L24" s="33"/>
      <c r="M24" s="33"/>
    </row>
    <row r="25" spans="3:13" ht="26.25" customHeight="1">
      <c r="C25" s="35"/>
      <c r="D25" s="33" t="s">
        <v>18</v>
      </c>
      <c r="E25" s="53" t="s">
        <v>5</v>
      </c>
      <c r="F25" s="53"/>
      <c r="G25" s="33"/>
      <c r="H25" s="33"/>
      <c r="I25" s="69"/>
      <c r="J25" s="69"/>
      <c r="K25" s="1"/>
      <c r="L25" s="33"/>
      <c r="M25" s="33"/>
    </row>
    <row r="26" spans="3:13" ht="26.25" customHeight="1">
      <c r="C26" s="35"/>
      <c r="D26" s="33" t="s">
        <v>18</v>
      </c>
      <c r="E26" s="53" t="s">
        <v>5</v>
      </c>
      <c r="F26" s="53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33" t="s">
        <v>18</v>
      </c>
      <c r="E27" s="53" t="s">
        <v>5</v>
      </c>
      <c r="F27" s="53"/>
      <c r="G27" s="33"/>
      <c r="H27" s="33"/>
      <c r="I27" s="69"/>
      <c r="J27" s="69"/>
      <c r="K27" s="1"/>
      <c r="L27" s="33"/>
      <c r="M27" s="33"/>
    </row>
    <row r="28" spans="3:13" ht="26.25" customHeight="1">
      <c r="C28" s="57"/>
      <c r="D28" s="33" t="s">
        <v>18</v>
      </c>
      <c r="E28" s="53" t="s">
        <v>5</v>
      </c>
      <c r="F28" s="53"/>
      <c r="G28" s="33"/>
      <c r="H28" s="33"/>
      <c r="I28" s="69"/>
      <c r="J28" s="69"/>
      <c r="K28" s="1"/>
      <c r="L28" s="33"/>
      <c r="M28" s="33"/>
    </row>
    <row r="29" spans="3:13" ht="26.25" customHeight="1">
      <c r="C29" s="57"/>
      <c r="D29" s="33" t="s">
        <v>18</v>
      </c>
      <c r="E29" s="53" t="s">
        <v>5</v>
      </c>
      <c r="F29" s="53"/>
      <c r="G29" s="33"/>
      <c r="H29" s="33"/>
      <c r="I29" s="69"/>
      <c r="J29" s="69"/>
      <c r="K29" s="1"/>
      <c r="L29" s="33"/>
      <c r="M29" s="33"/>
    </row>
    <row r="30" spans="3:13" ht="26.25" customHeight="1">
      <c r="C30" s="57"/>
      <c r="D30" s="33" t="s">
        <v>18</v>
      </c>
      <c r="E30" s="53" t="s">
        <v>5</v>
      </c>
      <c r="F30" s="53"/>
      <c r="G30" s="33"/>
      <c r="H30" s="33"/>
      <c r="I30" s="69"/>
      <c r="J30" s="69"/>
      <c r="K30" s="1"/>
      <c r="L30" s="33"/>
      <c r="M30" s="33"/>
    </row>
    <row r="31" spans="3:13" ht="26.25" customHeight="1">
      <c r="C31" s="35"/>
      <c r="D31" s="33" t="s">
        <v>18</v>
      </c>
      <c r="E31" s="53" t="s">
        <v>5</v>
      </c>
      <c r="F31" s="53"/>
      <c r="G31" s="33"/>
      <c r="H31" s="33"/>
      <c r="I31" s="69"/>
      <c r="J31" s="69"/>
      <c r="K31" s="1"/>
      <c r="L31" s="33"/>
      <c r="M31" s="33"/>
    </row>
    <row r="32" spans="3:13" ht="26.25" customHeight="1">
      <c r="C32" s="35"/>
      <c r="D32" s="33" t="s">
        <v>18</v>
      </c>
      <c r="E32" s="53" t="s">
        <v>5</v>
      </c>
      <c r="F32" s="53"/>
      <c r="G32" s="33"/>
      <c r="H32" s="33"/>
      <c r="I32" s="69"/>
      <c r="J32" s="69"/>
      <c r="K32" s="1"/>
      <c r="L32" s="33"/>
      <c r="M32" s="33"/>
    </row>
    <row r="33" spans="3:13" ht="26.25" customHeight="1">
      <c r="C33" s="35"/>
      <c r="D33" s="33" t="s">
        <v>18</v>
      </c>
      <c r="E33" s="53" t="s">
        <v>5</v>
      </c>
      <c r="F33" s="53"/>
      <c r="G33" s="33"/>
      <c r="H33" s="33"/>
      <c r="I33" s="69"/>
      <c r="J33" s="69"/>
      <c r="K33" s="1"/>
      <c r="L33" s="33"/>
      <c r="M33" s="33"/>
    </row>
    <row r="34" spans="3:13" ht="26.25" customHeight="1">
      <c r="C34" s="35"/>
      <c r="D34" s="33" t="s">
        <v>18</v>
      </c>
      <c r="E34" s="53" t="s">
        <v>5</v>
      </c>
      <c r="F34" s="53"/>
      <c r="G34" s="33"/>
      <c r="H34" s="33"/>
      <c r="I34" s="69"/>
      <c r="J34" s="69"/>
      <c r="K34" s="1"/>
      <c r="L34" s="33"/>
      <c r="M34" s="33"/>
    </row>
    <row r="35" spans="3:13" ht="26.25" customHeight="1">
      <c r="C35" s="35"/>
      <c r="D35" s="33" t="s">
        <v>18</v>
      </c>
      <c r="E35" s="53" t="s">
        <v>5</v>
      </c>
      <c r="F35" s="50"/>
      <c r="G35" s="33"/>
      <c r="H35" s="33"/>
      <c r="I35" s="69"/>
      <c r="J35" s="69"/>
      <c r="K35" s="1"/>
      <c r="L35" s="33"/>
      <c r="M35" s="33"/>
    </row>
    <row r="36" spans="3:13" ht="26.25" customHeight="1">
      <c r="C36" s="35"/>
      <c r="D36" s="33" t="s">
        <v>18</v>
      </c>
      <c r="E36" s="53" t="s">
        <v>5</v>
      </c>
      <c r="F36" s="53"/>
      <c r="G36" s="33"/>
      <c r="H36" s="33"/>
      <c r="I36" s="69"/>
      <c r="J36" s="69"/>
      <c r="K36" s="1"/>
      <c r="L36" s="33"/>
      <c r="M36" s="33"/>
    </row>
    <row r="37" spans="3:13" ht="26.25" customHeight="1">
      <c r="C37" s="35"/>
      <c r="D37" s="33" t="s">
        <v>18</v>
      </c>
      <c r="E37" s="53" t="s">
        <v>5</v>
      </c>
      <c r="F37" s="53"/>
      <c r="G37" s="33"/>
      <c r="H37" s="33"/>
      <c r="I37" s="69"/>
      <c r="J37" s="69"/>
      <c r="K37" s="1"/>
      <c r="L37" s="33"/>
      <c r="M37" s="33"/>
    </row>
    <row r="38" spans="3:13" ht="25.8">
      <c r="C38" s="35"/>
      <c r="D38" s="33" t="s">
        <v>18</v>
      </c>
      <c r="E38" s="53" t="s">
        <v>5</v>
      </c>
      <c r="F38" s="33"/>
      <c r="G38" s="33"/>
      <c r="H38" s="33"/>
      <c r="I38" s="69"/>
      <c r="J38" s="69"/>
      <c r="L38" s="33"/>
      <c r="M38" s="33"/>
    </row>
    <row r="39" spans="3:13" ht="25.8">
      <c r="C39" s="35"/>
      <c r="D39" s="33" t="s">
        <v>18</v>
      </c>
      <c r="E39" s="53" t="s">
        <v>5</v>
      </c>
      <c r="F39" s="33"/>
      <c r="G39" s="33"/>
      <c r="H39" s="33"/>
      <c r="I39" s="69"/>
      <c r="J39" s="69"/>
      <c r="L39" s="33"/>
      <c r="M39" s="33"/>
    </row>
    <row r="40" spans="3:13" ht="25.8">
      <c r="C40" s="35"/>
      <c r="D40" s="33" t="s">
        <v>18</v>
      </c>
      <c r="E40" s="53" t="s">
        <v>5</v>
      </c>
      <c r="F40" s="33"/>
      <c r="G40" s="33"/>
      <c r="H40" s="33"/>
      <c r="I40" s="69"/>
      <c r="J40" s="69"/>
      <c r="L40" s="33"/>
      <c r="M40" s="33"/>
    </row>
    <row r="41" spans="3:13" ht="25.8">
      <c r="C41" s="35"/>
      <c r="D41" s="33" t="s">
        <v>18</v>
      </c>
      <c r="E41" s="53" t="s">
        <v>5</v>
      </c>
      <c r="F41" s="33"/>
      <c r="G41" s="33"/>
      <c r="H41" s="33"/>
      <c r="I41" s="69"/>
      <c r="J41" s="69"/>
      <c r="L41" s="33"/>
      <c r="M41" s="33"/>
    </row>
    <row r="42" spans="3:13" ht="25.8">
      <c r="C42" s="35"/>
      <c r="D42" s="33" t="s">
        <v>18</v>
      </c>
      <c r="E42" s="53" t="s">
        <v>5</v>
      </c>
      <c r="F42" s="33"/>
      <c r="G42" s="33"/>
      <c r="H42" s="33"/>
      <c r="I42" s="69"/>
      <c r="J42" s="69"/>
      <c r="L42" s="33"/>
      <c r="M42" s="33"/>
    </row>
    <row r="43" spans="3:13" ht="25.8">
      <c r="C43" s="35"/>
      <c r="D43" s="33" t="s">
        <v>18</v>
      </c>
      <c r="E43" s="53" t="s">
        <v>5</v>
      </c>
      <c r="F43" s="33"/>
      <c r="G43" s="33"/>
      <c r="H43" s="33"/>
      <c r="I43" s="69"/>
      <c r="J43" s="69"/>
      <c r="L43" s="33"/>
      <c r="M43" s="33"/>
    </row>
    <row r="44" spans="3:13" ht="25.8">
      <c r="C44" s="35"/>
      <c r="D44" s="33" t="s">
        <v>18</v>
      </c>
      <c r="E44" s="53" t="s">
        <v>5</v>
      </c>
      <c r="F44" s="33"/>
      <c r="G44" s="33"/>
      <c r="H44" s="33"/>
      <c r="I44" s="69"/>
      <c r="J44" s="69"/>
      <c r="L44" s="33"/>
      <c r="M44" s="33"/>
    </row>
    <row r="45" spans="3:13" ht="25.8">
      <c r="C45" s="35"/>
      <c r="D45" s="33" t="s">
        <v>18</v>
      </c>
      <c r="E45" s="53" t="s">
        <v>5</v>
      </c>
      <c r="F45" s="33"/>
      <c r="G45" s="33"/>
      <c r="H45" s="33"/>
      <c r="I45" s="69"/>
      <c r="J45" s="69"/>
      <c r="L45" s="33"/>
      <c r="M45" s="33"/>
    </row>
    <row r="46" spans="3:13" ht="25.8">
      <c r="C46" s="35"/>
      <c r="D46" s="33" t="s">
        <v>18</v>
      </c>
      <c r="E46" s="53" t="s">
        <v>5</v>
      </c>
      <c r="F46" s="33"/>
      <c r="G46" s="33"/>
      <c r="H46" s="33"/>
      <c r="I46" s="69"/>
      <c r="J46" s="69"/>
      <c r="L46" s="33"/>
      <c r="M46" s="33"/>
    </row>
    <row r="47" spans="3:13" ht="25.8">
      <c r="C47" s="57"/>
      <c r="D47" s="33" t="s">
        <v>18</v>
      </c>
      <c r="E47" s="53" t="s">
        <v>5</v>
      </c>
      <c r="F47" s="48"/>
      <c r="G47" s="48"/>
      <c r="H47" s="48"/>
      <c r="I47" s="70"/>
      <c r="J47" s="70"/>
      <c r="L47" s="48"/>
      <c r="M47" s="48"/>
    </row>
    <row r="48" spans="3:13" ht="25.8">
      <c r="C48" s="35"/>
      <c r="D48" s="33" t="s">
        <v>18</v>
      </c>
      <c r="E48" s="53" t="s">
        <v>5</v>
      </c>
      <c r="F48" s="33"/>
      <c r="G48" s="33"/>
      <c r="H48" s="33"/>
      <c r="I48" s="69"/>
      <c r="J48" s="69"/>
      <c r="L48" s="33"/>
      <c r="M48" s="33"/>
    </row>
    <row r="49" spans="3:13" ht="25.8">
      <c r="C49" s="57"/>
      <c r="D49" s="33" t="s">
        <v>18</v>
      </c>
      <c r="E49" s="53" t="s">
        <v>5</v>
      </c>
      <c r="F49" s="48"/>
      <c r="G49" s="48"/>
      <c r="H49" s="48"/>
      <c r="I49" s="70"/>
      <c r="J49" s="70"/>
      <c r="L49" s="48"/>
      <c r="M49" s="48"/>
    </row>
    <row r="50" spans="3:13" ht="25.8">
      <c r="C50" s="35"/>
      <c r="D50" s="33" t="s">
        <v>18</v>
      </c>
      <c r="E50" s="53" t="s">
        <v>5</v>
      </c>
      <c r="F50" s="33"/>
      <c r="G50" s="33"/>
      <c r="H50" s="33"/>
      <c r="I50" s="69"/>
      <c r="J50" s="69"/>
      <c r="L50" s="33"/>
      <c r="M50" s="33"/>
    </row>
    <row r="51" spans="3:13" ht="25.8">
      <c r="C51" s="35"/>
      <c r="D51" s="33" t="s">
        <v>18</v>
      </c>
      <c r="E51" s="53" t="s">
        <v>5</v>
      </c>
      <c r="F51" s="33"/>
      <c r="G51" s="33"/>
      <c r="H51" s="33"/>
      <c r="I51" s="69"/>
      <c r="J51" s="69"/>
      <c r="L51" s="33"/>
      <c r="M51" s="33"/>
    </row>
    <row r="52" spans="3:13" ht="25.8">
      <c r="C52" s="35"/>
      <c r="D52" s="33" t="s">
        <v>18</v>
      </c>
      <c r="E52" s="53" t="s">
        <v>5</v>
      </c>
      <c r="F52" s="33"/>
      <c r="G52" s="33"/>
      <c r="H52" s="33"/>
      <c r="I52" s="69"/>
      <c r="J52" s="69"/>
      <c r="L52" s="33"/>
      <c r="M52" s="33"/>
    </row>
    <row r="53" spans="3:13" ht="25.8">
      <c r="C53" s="35"/>
      <c r="D53" s="33" t="s">
        <v>18</v>
      </c>
      <c r="E53" s="53" t="s">
        <v>5</v>
      </c>
      <c r="F53" s="33"/>
      <c r="G53" s="33"/>
      <c r="H53" s="33"/>
      <c r="I53" s="69"/>
      <c r="J53" s="69"/>
      <c r="L53" s="33"/>
      <c r="M53" s="33"/>
    </row>
    <row r="54" spans="3:13" ht="25.8">
      <c r="C54" s="35"/>
      <c r="D54" s="33" t="s">
        <v>18</v>
      </c>
      <c r="E54" s="53" t="s">
        <v>5</v>
      </c>
      <c r="F54" s="33"/>
      <c r="G54" s="33"/>
      <c r="H54" s="33"/>
      <c r="I54" s="69"/>
      <c r="J54" s="69"/>
      <c r="L54" s="33"/>
      <c r="M54" s="33"/>
    </row>
    <row r="55" spans="3:13" ht="25.8">
      <c r="C55" s="35"/>
      <c r="D55" s="33" t="s">
        <v>18</v>
      </c>
      <c r="E55" s="53" t="s">
        <v>5</v>
      </c>
      <c r="F55" s="33"/>
      <c r="G55" s="33"/>
      <c r="H55" s="33"/>
      <c r="I55" s="69"/>
      <c r="J55" s="69"/>
      <c r="L55" s="33"/>
      <c r="M55" s="33"/>
    </row>
    <row r="56" spans="3:13" ht="25.8">
      <c r="C56" s="35"/>
      <c r="D56" s="33" t="s">
        <v>18</v>
      </c>
      <c r="E56" s="53" t="s">
        <v>5</v>
      </c>
      <c r="F56" s="33"/>
      <c r="G56" s="33"/>
      <c r="H56" s="33"/>
      <c r="I56" s="69"/>
      <c r="J56" s="69"/>
      <c r="L56" s="33"/>
      <c r="M56" s="33"/>
    </row>
    <row r="57" spans="3:13" ht="25.8">
      <c r="C57" s="35"/>
      <c r="D57" s="33" t="s">
        <v>18</v>
      </c>
      <c r="E57" s="53" t="s">
        <v>5</v>
      </c>
      <c r="F57" s="33"/>
      <c r="G57" s="33"/>
      <c r="H57" s="33"/>
      <c r="I57" s="69"/>
      <c r="J57" s="69"/>
      <c r="L57" s="33"/>
      <c r="M57" s="33"/>
    </row>
    <row r="58" spans="3:13" ht="25.8">
      <c r="C58" s="35"/>
      <c r="D58" s="33" t="s">
        <v>18</v>
      </c>
      <c r="E58" s="53" t="s">
        <v>5</v>
      </c>
      <c r="F58" s="33"/>
      <c r="G58" s="33"/>
      <c r="H58" s="33"/>
      <c r="I58" s="69"/>
      <c r="J58" s="69"/>
      <c r="L58" s="33"/>
      <c r="M58" s="33"/>
    </row>
    <row r="59" spans="3:13" ht="25.8">
      <c r="C59" s="35"/>
      <c r="D59" s="33" t="s">
        <v>18</v>
      </c>
      <c r="E59" s="53" t="s">
        <v>5</v>
      </c>
      <c r="F59" s="33"/>
      <c r="G59" s="33"/>
      <c r="H59" s="33"/>
      <c r="I59" s="69"/>
      <c r="J59" s="69"/>
      <c r="L59" s="33"/>
      <c r="M59" s="33"/>
    </row>
    <row r="60" spans="3:13" ht="25.8">
      <c r="C60" s="35"/>
      <c r="D60" s="33" t="s">
        <v>18</v>
      </c>
      <c r="E60" s="53" t="s">
        <v>5</v>
      </c>
      <c r="F60" s="33"/>
      <c r="G60" s="33"/>
      <c r="H60" s="33"/>
      <c r="I60" s="69"/>
      <c r="J60" s="69"/>
      <c r="L60" s="33"/>
      <c r="M60" s="33"/>
    </row>
    <row r="61" spans="3:13" ht="25.8">
      <c r="C61" s="35"/>
      <c r="D61" s="33" t="s">
        <v>18</v>
      </c>
      <c r="E61" s="53" t="s">
        <v>5</v>
      </c>
      <c r="F61" s="33"/>
      <c r="G61" s="33"/>
      <c r="H61" s="33"/>
      <c r="I61" s="69"/>
      <c r="J61" s="69"/>
      <c r="L61" s="33"/>
      <c r="M61" s="33"/>
    </row>
    <row r="62" spans="3:13" ht="25.8">
      <c r="C62" s="35"/>
      <c r="D62" s="33" t="s">
        <v>18</v>
      </c>
      <c r="E62" s="53" t="s">
        <v>5</v>
      </c>
      <c r="F62" s="33"/>
      <c r="G62" s="33"/>
      <c r="H62" s="33"/>
      <c r="I62" s="69"/>
      <c r="J62" s="69"/>
      <c r="L62" s="33"/>
      <c r="M62" s="33"/>
    </row>
    <row r="63" spans="3:13" ht="25.8">
      <c r="C63" s="35"/>
      <c r="D63" s="33" t="s">
        <v>18</v>
      </c>
      <c r="E63" s="53" t="s">
        <v>5</v>
      </c>
      <c r="F63" s="33"/>
      <c r="G63" s="33"/>
      <c r="H63" s="33"/>
      <c r="I63" s="69"/>
      <c r="J63" s="69"/>
      <c r="L63" s="33"/>
      <c r="M63" s="33"/>
    </row>
    <row r="64" spans="3:13" ht="25.8">
      <c r="C64" s="35"/>
      <c r="D64" s="33" t="s">
        <v>18</v>
      </c>
      <c r="E64" s="53" t="s">
        <v>5</v>
      </c>
      <c r="F64" s="33"/>
      <c r="G64" s="33"/>
      <c r="H64" s="33"/>
      <c r="I64" s="69"/>
      <c r="J64" s="69"/>
      <c r="L64" s="33"/>
      <c r="M64" s="33"/>
    </row>
    <row r="65" spans="3:13" ht="25.8">
      <c r="C65" s="33"/>
      <c r="D65" s="33" t="s">
        <v>18</v>
      </c>
      <c r="E65" s="53" t="s">
        <v>5</v>
      </c>
      <c r="F65" s="33"/>
      <c r="G65" s="33"/>
      <c r="H65" s="33"/>
      <c r="I65" s="69"/>
      <c r="J65" s="69"/>
      <c r="L65" s="33"/>
      <c r="M65" s="33"/>
    </row>
    <row r="66" spans="3:13" ht="25.8">
      <c r="C66" s="33"/>
      <c r="D66" s="33" t="s">
        <v>18</v>
      </c>
      <c r="E66" s="53" t="s">
        <v>5</v>
      </c>
      <c r="F66" s="33"/>
      <c r="G66" s="33"/>
      <c r="H66" s="33"/>
      <c r="I66" s="69"/>
      <c r="J66" s="69"/>
      <c r="L66" s="33"/>
      <c r="M66" s="33"/>
    </row>
    <row r="67" spans="3:13" ht="25.8">
      <c r="C67" s="33"/>
      <c r="D67" s="33" t="s">
        <v>18</v>
      </c>
      <c r="E67" s="53" t="s">
        <v>5</v>
      </c>
      <c r="F67" s="33"/>
      <c r="G67" s="33"/>
      <c r="H67" s="33"/>
      <c r="I67" s="69"/>
      <c r="J67" s="69"/>
      <c r="L67" s="33"/>
      <c r="M67" s="33"/>
    </row>
    <row r="68" spans="3:13" ht="25.8">
      <c r="C68" s="33"/>
      <c r="D68" s="33" t="s">
        <v>18</v>
      </c>
      <c r="E68" s="53" t="s">
        <v>5</v>
      </c>
      <c r="F68" s="33"/>
      <c r="G68" s="33"/>
      <c r="H68" s="33"/>
      <c r="I68" s="69"/>
      <c r="J68" s="69"/>
      <c r="L68" s="33"/>
      <c r="M68" s="33"/>
    </row>
    <row r="69" spans="3:13" ht="25.8">
      <c r="C69" s="33"/>
      <c r="D69" s="33" t="s">
        <v>18</v>
      </c>
      <c r="E69" s="53" t="s">
        <v>5</v>
      </c>
      <c r="F69" s="33"/>
      <c r="G69" s="33"/>
      <c r="H69" s="33"/>
      <c r="I69" s="69"/>
      <c r="J69" s="69"/>
      <c r="L69" s="33"/>
      <c r="M69" s="33"/>
    </row>
    <row r="70" spans="3:13" ht="25.8">
      <c r="C70" s="33"/>
      <c r="D70" s="33" t="s">
        <v>18</v>
      </c>
      <c r="E70" s="53" t="s">
        <v>5</v>
      </c>
      <c r="F70" s="33"/>
      <c r="G70" s="33"/>
      <c r="H70" s="33"/>
      <c r="I70" s="69"/>
      <c r="J70" s="69"/>
      <c r="L70" s="33"/>
      <c r="M70" s="33"/>
    </row>
    <row r="71" spans="3:13" ht="25.8">
      <c r="C71" s="33"/>
      <c r="D71" s="33" t="s">
        <v>18</v>
      </c>
      <c r="E71" s="53" t="s">
        <v>5</v>
      </c>
      <c r="F71" s="33"/>
      <c r="G71" s="33"/>
      <c r="H71" s="33"/>
      <c r="I71" s="69"/>
      <c r="J71" s="69"/>
      <c r="L71" s="33"/>
      <c r="M71" s="33"/>
    </row>
    <row r="72" spans="3:13" ht="25.8">
      <c r="C72" s="33"/>
      <c r="D72" s="33" t="s">
        <v>18</v>
      </c>
      <c r="E72" s="53" t="s">
        <v>5</v>
      </c>
      <c r="F72" s="33"/>
      <c r="G72" s="33"/>
      <c r="H72" s="33"/>
      <c r="I72" s="34"/>
      <c r="J72" s="34"/>
      <c r="L72" s="2"/>
      <c r="M72" s="2"/>
    </row>
    <row r="73" spans="3:13" ht="25.8">
      <c r="C73" s="33"/>
      <c r="D73" s="33" t="s">
        <v>18</v>
      </c>
      <c r="E73" s="53" t="s">
        <v>5</v>
      </c>
      <c r="F73" s="33"/>
      <c r="G73" s="33"/>
      <c r="H73" s="33"/>
      <c r="I73" s="34"/>
      <c r="J73" s="34"/>
      <c r="L73" s="2"/>
      <c r="M73" s="2"/>
    </row>
    <row r="74" spans="3:13" ht="25.8">
      <c r="C74" s="33"/>
      <c r="D74" s="33" t="s">
        <v>18</v>
      </c>
      <c r="E74" s="53" t="s">
        <v>5</v>
      </c>
      <c r="F74" s="33"/>
      <c r="G74" s="33"/>
      <c r="H74" s="33"/>
      <c r="I74" s="34"/>
      <c r="J74" s="34"/>
      <c r="L74" s="2"/>
      <c r="M74" s="2"/>
    </row>
    <row r="75" spans="3:13" ht="25.8">
      <c r="C75" s="33"/>
      <c r="D75" s="33" t="s">
        <v>18</v>
      </c>
      <c r="E75" s="53" t="s">
        <v>5</v>
      </c>
      <c r="F75" s="33"/>
      <c r="G75" s="33"/>
      <c r="H75" s="33"/>
      <c r="I75" s="34"/>
      <c r="J75" s="34"/>
      <c r="L75" s="2"/>
      <c r="M75" s="2"/>
    </row>
    <row r="76" spans="3:13" ht="25.8">
      <c r="C76" s="33"/>
      <c r="D76" s="33" t="s">
        <v>18</v>
      </c>
      <c r="E76" s="53" t="s">
        <v>5</v>
      </c>
      <c r="F76" s="33"/>
      <c r="G76" s="33"/>
      <c r="H76" s="33"/>
      <c r="I76" s="34"/>
      <c r="J76" s="34"/>
      <c r="L76" s="2"/>
      <c r="M76" s="2"/>
    </row>
    <row r="77" spans="3:13" ht="25.8">
      <c r="C77" s="33"/>
      <c r="D77" s="33" t="s">
        <v>18</v>
      </c>
      <c r="E77" s="53" t="s">
        <v>5</v>
      </c>
      <c r="F77" s="33"/>
      <c r="G77" s="33"/>
      <c r="H77" s="33"/>
      <c r="I77" s="34"/>
      <c r="J77" s="34"/>
      <c r="L77" s="2"/>
      <c r="M77" s="2"/>
    </row>
    <row r="78" spans="3:13" ht="25.8">
      <c r="C78" s="33"/>
      <c r="D78" s="33" t="s">
        <v>18</v>
      </c>
      <c r="E78" s="53" t="s">
        <v>5</v>
      </c>
      <c r="F78" s="33"/>
      <c r="G78" s="33"/>
      <c r="H78" s="33"/>
      <c r="I78" s="34"/>
      <c r="J78" s="34"/>
      <c r="L78" s="2"/>
      <c r="M78" s="2"/>
    </row>
    <row r="79" spans="3:13" ht="25.8">
      <c r="C79" s="33"/>
      <c r="D79" s="33" t="s">
        <v>18</v>
      </c>
      <c r="E79" s="53" t="s">
        <v>5</v>
      </c>
      <c r="F79" s="33"/>
      <c r="G79" s="33"/>
      <c r="H79" s="33"/>
      <c r="I79" s="34"/>
      <c r="J79" s="34"/>
      <c r="L79" s="2"/>
      <c r="M79" s="2"/>
    </row>
    <row r="80" spans="3:13" ht="25.8">
      <c r="C80" s="33"/>
      <c r="D80" s="33" t="s">
        <v>18</v>
      </c>
      <c r="E80" s="53" t="s">
        <v>5</v>
      </c>
      <c r="F80" s="33"/>
      <c r="G80" s="33"/>
      <c r="H80" s="33"/>
      <c r="I80" s="34"/>
      <c r="J80" s="34"/>
      <c r="L80" s="2"/>
      <c r="M80" s="2"/>
    </row>
    <row r="81" spans="3:13" ht="25.8">
      <c r="C81" s="33"/>
      <c r="D81" s="33" t="s">
        <v>18</v>
      </c>
      <c r="E81" s="53" t="s">
        <v>5</v>
      </c>
      <c r="F81" s="33"/>
      <c r="G81" s="33"/>
      <c r="H81" s="33"/>
      <c r="I81" s="34"/>
      <c r="J81" s="34"/>
      <c r="L81" s="2"/>
      <c r="M81" s="2"/>
    </row>
    <row r="82" spans="3:13" ht="25.8">
      <c r="C82" s="33"/>
      <c r="D82" s="33" t="s">
        <v>18</v>
      </c>
      <c r="E82" s="53" t="s">
        <v>5</v>
      </c>
      <c r="F82" s="33"/>
      <c r="G82" s="33"/>
      <c r="H82" s="33"/>
      <c r="I82" s="34"/>
      <c r="J82" s="34"/>
      <c r="L82" s="2"/>
      <c r="M82" s="2"/>
    </row>
    <row r="83" spans="3:13" ht="25.8">
      <c r="C83" s="33"/>
      <c r="D83" s="33" t="s">
        <v>18</v>
      </c>
      <c r="E83" s="53" t="s">
        <v>5</v>
      </c>
      <c r="F83" s="33"/>
      <c r="G83" s="33"/>
      <c r="H83" s="33"/>
      <c r="I83" s="34"/>
      <c r="J83" s="34"/>
      <c r="L83" s="2"/>
      <c r="M83" s="2"/>
    </row>
    <row r="84" spans="3:13" ht="25.8">
      <c r="C84" s="33"/>
      <c r="D84" s="33" t="s">
        <v>18</v>
      </c>
      <c r="E84" s="53" t="s">
        <v>5</v>
      </c>
      <c r="F84" s="33"/>
      <c r="G84" s="33"/>
      <c r="H84" s="33"/>
      <c r="I84" s="34"/>
      <c r="J84" s="34"/>
      <c r="L84" s="2"/>
      <c r="M84" s="2"/>
    </row>
    <row r="85" spans="3:13" ht="25.8">
      <c r="C85" s="33"/>
      <c r="D85" s="33" t="s">
        <v>18</v>
      </c>
      <c r="E85" s="53" t="s">
        <v>5</v>
      </c>
      <c r="F85" s="33"/>
      <c r="G85" s="33"/>
      <c r="H85" s="33"/>
      <c r="I85" s="34"/>
      <c r="J85" s="34"/>
      <c r="L85" s="2"/>
      <c r="M85" s="2"/>
    </row>
    <row r="86" spans="3:13" ht="25.8">
      <c r="C86" s="33"/>
      <c r="D86" s="33" t="s">
        <v>18</v>
      </c>
      <c r="E86" s="53" t="s">
        <v>5</v>
      </c>
      <c r="F86" s="33"/>
      <c r="G86" s="33"/>
      <c r="H86" s="33"/>
      <c r="I86" s="34"/>
      <c r="J86" s="34"/>
      <c r="L86" s="2"/>
      <c r="M86" s="2"/>
    </row>
    <row r="87" spans="3:13" ht="25.8">
      <c r="C87" s="33"/>
      <c r="D87" s="33" t="s">
        <v>18</v>
      </c>
      <c r="E87" s="53" t="s">
        <v>5</v>
      </c>
      <c r="F87" s="33"/>
      <c r="G87" s="33"/>
      <c r="H87" s="33"/>
      <c r="I87" s="34"/>
      <c r="J87" s="34"/>
      <c r="L87" s="2"/>
      <c r="M87" s="2"/>
    </row>
    <row r="88" spans="3:13" ht="25.8">
      <c r="C88" s="33"/>
      <c r="D88" s="33" t="s">
        <v>18</v>
      </c>
      <c r="E88" s="53" t="s">
        <v>5</v>
      </c>
      <c r="F88" s="33"/>
      <c r="G88" s="33"/>
      <c r="H88" s="33"/>
      <c r="I88" s="34"/>
      <c r="J88" s="34"/>
      <c r="L88" s="2"/>
      <c r="M88" s="2"/>
    </row>
    <row r="89" spans="3:13" ht="25.8">
      <c r="C89" s="33"/>
      <c r="D89" s="33" t="s">
        <v>18</v>
      </c>
      <c r="E89" s="53" t="s">
        <v>5</v>
      </c>
      <c r="F89" s="33"/>
      <c r="G89" s="33"/>
      <c r="H89" s="33"/>
      <c r="I89" s="34"/>
      <c r="J89" s="34"/>
      <c r="L89" s="2"/>
      <c r="M89" s="2"/>
    </row>
    <row r="90" spans="3:13" ht="25.8">
      <c r="C90" s="33"/>
      <c r="D90" s="33" t="s">
        <v>18</v>
      </c>
      <c r="E90" s="53" t="s">
        <v>5</v>
      </c>
      <c r="F90" s="33"/>
      <c r="G90" s="33"/>
      <c r="H90" s="33"/>
      <c r="I90" s="34"/>
      <c r="J90" s="34"/>
      <c r="L90" s="2"/>
      <c r="M90" s="2"/>
    </row>
    <row r="91" spans="3:13" ht="25.8">
      <c r="C91" s="33"/>
      <c r="D91" s="33" t="s">
        <v>18</v>
      </c>
      <c r="E91" s="53" t="s">
        <v>5</v>
      </c>
      <c r="F91" s="33"/>
      <c r="G91" s="33"/>
      <c r="H91" s="33"/>
      <c r="I91" s="34"/>
      <c r="J91" s="34"/>
      <c r="L91" s="2"/>
      <c r="M91" s="2"/>
    </row>
    <row r="92" spans="3:13" ht="25.8">
      <c r="C92" s="33"/>
      <c r="D92" s="33" t="s">
        <v>18</v>
      </c>
      <c r="E92" s="53" t="s">
        <v>5</v>
      </c>
      <c r="F92" s="33"/>
      <c r="G92" s="33"/>
      <c r="H92" s="33"/>
      <c r="I92" s="34"/>
      <c r="J92" s="34"/>
      <c r="L92" s="2"/>
      <c r="M92" s="2"/>
    </row>
    <row r="93" spans="3:13" ht="25.8">
      <c r="C93" s="33"/>
      <c r="D93" s="33" t="s">
        <v>18</v>
      </c>
      <c r="E93" s="53" t="s">
        <v>5</v>
      </c>
      <c r="F93" s="33"/>
      <c r="G93" s="33"/>
      <c r="H93" s="33"/>
      <c r="I93" s="34"/>
      <c r="J93" s="34"/>
      <c r="L93" s="2"/>
      <c r="M93" s="2"/>
    </row>
    <row r="94" spans="3:13" ht="25.8">
      <c r="C94" s="33"/>
      <c r="D94" s="33" t="s">
        <v>18</v>
      </c>
      <c r="E94" s="53" t="s">
        <v>5</v>
      </c>
      <c r="F94" s="33"/>
      <c r="G94" s="33"/>
      <c r="H94" s="33"/>
      <c r="I94" s="34"/>
      <c r="J94" s="34"/>
      <c r="L94" s="2"/>
      <c r="M94" s="2"/>
    </row>
    <row r="95" spans="3:13" ht="25.8">
      <c r="C95" s="33"/>
      <c r="D95" s="33" t="s">
        <v>18</v>
      </c>
      <c r="E95" s="53" t="s">
        <v>5</v>
      </c>
      <c r="F95" s="33"/>
      <c r="G95" s="33"/>
      <c r="H95" s="33"/>
      <c r="I95" s="34"/>
      <c r="J95" s="34"/>
      <c r="L95" s="2"/>
      <c r="M95" s="2"/>
    </row>
    <row r="96" spans="3:13" ht="25.8">
      <c r="C96" s="33"/>
      <c r="D96" s="33" t="s">
        <v>18</v>
      </c>
      <c r="E96" s="53" t="s">
        <v>5</v>
      </c>
      <c r="F96" s="33"/>
      <c r="G96" s="33"/>
      <c r="H96" s="33"/>
      <c r="I96" s="34"/>
      <c r="J96" s="34"/>
      <c r="L96" s="2"/>
      <c r="M96" s="2"/>
    </row>
    <row r="97" spans="3:13" ht="25.8">
      <c r="C97" s="33"/>
      <c r="D97" s="33" t="s">
        <v>18</v>
      </c>
      <c r="E97" s="53" t="s">
        <v>5</v>
      </c>
      <c r="F97" s="33"/>
      <c r="G97" s="33"/>
      <c r="H97" s="33"/>
      <c r="I97" s="34"/>
      <c r="J97" s="34"/>
      <c r="L97" s="2"/>
      <c r="M97" s="2"/>
    </row>
    <row r="98" spans="3:13" ht="25.8">
      <c r="C98" s="33"/>
      <c r="D98" s="33" t="s">
        <v>18</v>
      </c>
      <c r="E98" s="53" t="s">
        <v>5</v>
      </c>
      <c r="F98" s="33"/>
      <c r="G98" s="33"/>
      <c r="H98" s="33"/>
      <c r="I98" s="34"/>
      <c r="J98" s="34"/>
      <c r="L98" s="2"/>
      <c r="M98" s="2"/>
    </row>
    <row r="99" spans="3:13" ht="25.8">
      <c r="C99" s="33"/>
      <c r="D99" s="33" t="s">
        <v>18</v>
      </c>
      <c r="E99" s="53" t="s">
        <v>5</v>
      </c>
      <c r="F99" s="33"/>
      <c r="G99" s="33"/>
      <c r="H99" s="33"/>
      <c r="I99" s="34"/>
      <c r="J99" s="34"/>
      <c r="L99" s="2"/>
      <c r="M99" s="2"/>
    </row>
    <row r="100" spans="3:13" ht="25.8">
      <c r="C100" s="33"/>
      <c r="D100" s="33" t="s">
        <v>18</v>
      </c>
      <c r="E100" s="53" t="s">
        <v>5</v>
      </c>
      <c r="F100" s="33"/>
      <c r="G100" s="33"/>
      <c r="H100" s="33"/>
      <c r="I100" s="34"/>
      <c r="J100" s="34"/>
      <c r="L100" s="2"/>
      <c r="M100" s="2"/>
    </row>
    <row r="101" spans="3:13" ht="25.8">
      <c r="C101" s="33"/>
      <c r="D101" s="33" t="s">
        <v>18</v>
      </c>
      <c r="E101" s="53" t="s">
        <v>5</v>
      </c>
      <c r="F101" s="33"/>
      <c r="G101" s="33"/>
      <c r="H101" s="33"/>
      <c r="I101" s="34"/>
      <c r="J101" s="34"/>
      <c r="L101" s="2"/>
      <c r="M101" s="2"/>
    </row>
    <row r="102" spans="3:13" ht="25.8">
      <c r="C102" s="33"/>
      <c r="D102" s="33" t="s">
        <v>18</v>
      </c>
      <c r="E102" s="53" t="s">
        <v>5</v>
      </c>
      <c r="F102" s="33"/>
      <c r="G102" s="33"/>
      <c r="H102" s="33"/>
      <c r="I102" s="34"/>
      <c r="J102" s="34"/>
      <c r="L102" s="2"/>
      <c r="M102" s="2"/>
    </row>
    <row r="103" spans="3:13" ht="25.8">
      <c r="C103" s="33"/>
      <c r="D103" s="33" t="s">
        <v>18</v>
      </c>
      <c r="E103" s="53" t="s">
        <v>5</v>
      </c>
      <c r="F103" s="33"/>
      <c r="G103" s="33"/>
      <c r="H103" s="33"/>
      <c r="I103" s="34"/>
      <c r="J103" s="34"/>
      <c r="L103" s="2"/>
      <c r="M103" s="2"/>
    </row>
    <row r="104" spans="3:13" ht="25.8">
      <c r="C104" s="33"/>
      <c r="D104" s="33" t="s">
        <v>18</v>
      </c>
      <c r="E104" s="53" t="s">
        <v>5</v>
      </c>
      <c r="F104" s="33"/>
      <c r="G104" s="33"/>
      <c r="H104" s="33"/>
      <c r="I104" s="34"/>
      <c r="J104" s="34"/>
      <c r="L104" s="2"/>
      <c r="M104" s="2"/>
    </row>
    <row r="105" spans="3:13" ht="25.8">
      <c r="C105" s="33"/>
      <c r="D105" s="33" t="s">
        <v>18</v>
      </c>
      <c r="E105" s="53" t="s">
        <v>5</v>
      </c>
      <c r="F105" s="33"/>
      <c r="G105" s="33"/>
      <c r="H105" s="33"/>
      <c r="I105" s="34"/>
      <c r="J105" s="34"/>
      <c r="L105" s="2"/>
      <c r="M105" s="2"/>
    </row>
    <row r="106" spans="3:13" ht="25.8">
      <c r="C106" s="33"/>
      <c r="D106" s="33" t="s">
        <v>18</v>
      </c>
      <c r="E106" s="53" t="s">
        <v>5</v>
      </c>
      <c r="F106" s="33"/>
      <c r="G106" s="33"/>
      <c r="H106" s="33"/>
      <c r="I106" s="34"/>
      <c r="J106" s="34"/>
      <c r="L106" s="2"/>
      <c r="M106" s="2"/>
    </row>
    <row r="107" spans="3:13" ht="25.8">
      <c r="C107" s="33"/>
      <c r="D107" s="33" t="s">
        <v>18</v>
      </c>
      <c r="E107" s="53" t="s">
        <v>5</v>
      </c>
      <c r="F107" s="33"/>
      <c r="G107" s="33"/>
      <c r="H107" s="33"/>
      <c r="I107" s="34"/>
      <c r="J107" s="34"/>
      <c r="L107" s="2"/>
      <c r="M107" s="2"/>
    </row>
    <row r="108" spans="3:13" ht="25.8">
      <c r="C108" s="33"/>
      <c r="D108" s="33" t="s">
        <v>18</v>
      </c>
      <c r="E108" s="53" t="s">
        <v>5</v>
      </c>
      <c r="F108" s="33"/>
      <c r="G108" s="33"/>
      <c r="H108" s="33"/>
      <c r="I108" s="34"/>
      <c r="J108" s="34"/>
      <c r="L108" s="2"/>
      <c r="M108" s="2"/>
    </row>
    <row r="109" spans="3:13" ht="25.8">
      <c r="C109" s="33"/>
      <c r="D109" s="33" t="s">
        <v>18</v>
      </c>
      <c r="E109" s="53" t="s">
        <v>5</v>
      </c>
      <c r="F109" s="33"/>
      <c r="G109" s="33"/>
      <c r="H109" s="33"/>
      <c r="I109" s="34"/>
      <c r="J109" s="34"/>
      <c r="L109" s="2"/>
      <c r="M109" s="2"/>
    </row>
    <row r="110" spans="3:13" ht="25.8">
      <c r="C110" s="33"/>
      <c r="D110" s="33" t="s">
        <v>18</v>
      </c>
      <c r="E110" s="53" t="s">
        <v>5</v>
      </c>
      <c r="F110" s="33"/>
      <c r="G110" s="33"/>
      <c r="H110" s="33"/>
      <c r="I110" s="34"/>
      <c r="J110" s="34"/>
      <c r="L110" s="2"/>
      <c r="M110" s="2"/>
    </row>
    <row r="111" spans="3:13" ht="25.8">
      <c r="C111" s="33"/>
      <c r="D111" s="33" t="s">
        <v>18</v>
      </c>
      <c r="E111" s="53" t="s">
        <v>5</v>
      </c>
      <c r="F111" s="33"/>
      <c r="G111" s="33"/>
      <c r="H111" s="33"/>
      <c r="I111" s="34"/>
      <c r="J111" s="34"/>
      <c r="L111" s="2"/>
      <c r="M111" s="2"/>
    </row>
    <row r="112" spans="3:13" ht="25.8">
      <c r="C112" s="33"/>
      <c r="D112" s="33" t="s">
        <v>18</v>
      </c>
      <c r="E112" s="53" t="s">
        <v>5</v>
      </c>
      <c r="F112" s="33"/>
      <c r="G112" s="33"/>
      <c r="H112" s="33"/>
      <c r="I112" s="34"/>
      <c r="J112" s="34"/>
      <c r="L112" s="2"/>
      <c r="M112" s="2"/>
    </row>
    <row r="113" spans="3:13" ht="25.8">
      <c r="C113" s="33"/>
      <c r="D113" s="33" t="s">
        <v>18</v>
      </c>
      <c r="E113" s="53" t="s">
        <v>5</v>
      </c>
      <c r="F113" s="33"/>
      <c r="G113" s="33"/>
      <c r="H113" s="33"/>
      <c r="I113" s="34"/>
      <c r="J113" s="34"/>
      <c r="L113" s="2"/>
      <c r="M113" s="2"/>
    </row>
    <row r="114" spans="3:13" ht="25.8">
      <c r="C114" s="33"/>
      <c r="D114" s="33" t="s">
        <v>18</v>
      </c>
      <c r="E114" s="53" t="s">
        <v>5</v>
      </c>
      <c r="F114" s="33"/>
      <c r="G114" s="33"/>
      <c r="H114" s="33"/>
      <c r="I114" s="34"/>
      <c r="J114" s="34"/>
      <c r="L114" s="2"/>
      <c r="M114" s="2"/>
    </row>
    <row r="115" spans="3:13" ht="25.8">
      <c r="C115" s="33"/>
      <c r="D115" s="33" t="s">
        <v>18</v>
      </c>
      <c r="E115" s="53" t="s">
        <v>5</v>
      </c>
      <c r="F115" s="33"/>
      <c r="G115" s="33"/>
      <c r="H115" s="33"/>
      <c r="I115" s="34"/>
      <c r="J115" s="34"/>
      <c r="L115" s="2"/>
      <c r="M115" s="2"/>
    </row>
    <row r="116" spans="3:13" ht="25.8">
      <c r="C116" s="33"/>
      <c r="D116" s="33" t="s">
        <v>18</v>
      </c>
      <c r="E116" s="53" t="s">
        <v>5</v>
      </c>
      <c r="F116" s="33"/>
      <c r="G116" s="33"/>
      <c r="H116" s="33"/>
      <c r="I116" s="34"/>
      <c r="J116" s="34"/>
      <c r="L116" s="2"/>
      <c r="M116" s="2"/>
    </row>
    <row r="117" spans="3:13" ht="25.8">
      <c r="C117" s="33"/>
      <c r="D117" s="33" t="s">
        <v>18</v>
      </c>
      <c r="E117" s="53" t="s">
        <v>5</v>
      </c>
      <c r="F117" s="33"/>
      <c r="G117" s="33"/>
      <c r="H117" s="33"/>
      <c r="I117" s="34"/>
      <c r="J117" s="34"/>
      <c r="L117" s="2"/>
      <c r="M117" s="2"/>
    </row>
    <row r="118" spans="3:13" ht="25.8">
      <c r="C118" s="33"/>
      <c r="D118" s="33" t="s">
        <v>18</v>
      </c>
      <c r="E118" s="53" t="s">
        <v>5</v>
      </c>
      <c r="F118" s="33"/>
      <c r="G118" s="33"/>
      <c r="H118" s="33"/>
      <c r="I118" s="34"/>
      <c r="J118" s="34"/>
      <c r="L118" s="2"/>
      <c r="M118" s="2"/>
    </row>
    <row r="119" spans="3:13" ht="25.8">
      <c r="C119" s="33"/>
      <c r="D119" s="33" t="s">
        <v>18</v>
      </c>
      <c r="E119" s="53" t="s">
        <v>5</v>
      </c>
      <c r="F119" s="33"/>
      <c r="G119" s="33"/>
      <c r="H119" s="33"/>
      <c r="I119" s="34"/>
      <c r="J119" s="34"/>
      <c r="L119" s="2"/>
      <c r="M119" s="2"/>
    </row>
    <row r="120" spans="3:13" ht="25.8">
      <c r="C120" s="33"/>
      <c r="D120" s="33" t="s">
        <v>18</v>
      </c>
      <c r="E120" s="53" t="s">
        <v>5</v>
      </c>
      <c r="F120" s="33"/>
      <c r="G120" s="33"/>
      <c r="H120" s="33"/>
      <c r="I120" s="34"/>
      <c r="J120" s="34"/>
      <c r="L120" s="2"/>
      <c r="M120" s="2"/>
    </row>
    <row r="121" spans="3:13" ht="25.8">
      <c r="C121" s="33"/>
      <c r="D121" s="33" t="s">
        <v>18</v>
      </c>
      <c r="E121" s="53" t="s">
        <v>5</v>
      </c>
      <c r="F121" s="33"/>
      <c r="G121" s="33"/>
      <c r="H121" s="33"/>
      <c r="I121" s="34"/>
      <c r="J121" s="34"/>
      <c r="L121" s="2"/>
      <c r="M121" s="2"/>
    </row>
    <row r="122" spans="3:13" ht="25.8">
      <c r="C122" s="33"/>
      <c r="D122" s="33" t="s">
        <v>18</v>
      </c>
      <c r="E122" s="53" t="s">
        <v>5</v>
      </c>
      <c r="F122" s="33"/>
      <c r="G122" s="33"/>
      <c r="H122" s="33"/>
      <c r="I122" s="34"/>
      <c r="J122" s="34"/>
      <c r="L122" s="2"/>
      <c r="M122" s="2"/>
    </row>
    <row r="123" spans="3:13" ht="25.8">
      <c r="C123" s="33"/>
      <c r="D123" s="33" t="s">
        <v>18</v>
      </c>
      <c r="E123" s="53" t="s">
        <v>5</v>
      </c>
      <c r="F123" s="33"/>
      <c r="G123" s="33"/>
      <c r="H123" s="33"/>
      <c r="I123" s="34"/>
      <c r="J123" s="34"/>
      <c r="L123" s="2"/>
      <c r="M123" s="2"/>
    </row>
    <row r="124" spans="3:13" ht="25.8">
      <c r="C124" s="33"/>
      <c r="D124" s="33" t="s">
        <v>18</v>
      </c>
      <c r="E124" s="53" t="s">
        <v>5</v>
      </c>
      <c r="F124" s="33"/>
      <c r="G124" s="33"/>
      <c r="H124" s="33"/>
      <c r="I124" s="34"/>
      <c r="J124" s="34"/>
      <c r="L124" s="2"/>
      <c r="M124" s="2"/>
    </row>
    <row r="125" spans="3:13" ht="25.8">
      <c r="C125" s="33"/>
      <c r="D125" s="33" t="s">
        <v>18</v>
      </c>
      <c r="E125" s="53" t="s">
        <v>5</v>
      </c>
      <c r="F125" s="33"/>
      <c r="G125" s="33"/>
      <c r="H125" s="33"/>
      <c r="I125" s="34"/>
      <c r="J125" s="34"/>
      <c r="L125" s="2"/>
      <c r="M125" s="2"/>
    </row>
    <row r="126" spans="3:13" ht="25.8">
      <c r="C126" s="33"/>
      <c r="D126" s="33" t="s">
        <v>18</v>
      </c>
      <c r="E126" s="53" t="s">
        <v>5</v>
      </c>
      <c r="F126" s="33"/>
      <c r="G126" s="33"/>
      <c r="H126" s="33"/>
      <c r="I126" s="34"/>
      <c r="J126" s="34"/>
      <c r="L126" s="2"/>
      <c r="M126" s="2"/>
    </row>
    <row r="127" spans="3:13" ht="25.8">
      <c r="C127" s="33"/>
      <c r="D127" s="33" t="s">
        <v>18</v>
      </c>
      <c r="E127" s="53" t="s">
        <v>5</v>
      </c>
      <c r="F127" s="33"/>
      <c r="G127" s="33"/>
      <c r="H127" s="33"/>
      <c r="I127" s="34"/>
      <c r="J127" s="34"/>
      <c r="L127" s="2"/>
      <c r="M127" s="2"/>
    </row>
    <row r="128" spans="3:13" ht="25.8">
      <c r="C128" s="33"/>
      <c r="D128" s="33" t="s">
        <v>18</v>
      </c>
      <c r="E128" s="53" t="s">
        <v>5</v>
      </c>
      <c r="F128" s="33"/>
      <c r="G128" s="33"/>
      <c r="H128" s="33"/>
      <c r="I128" s="34"/>
      <c r="J128" s="34"/>
      <c r="L128" s="2"/>
      <c r="M128" s="2"/>
    </row>
    <row r="129" spans="3:13" ht="25.8">
      <c r="C129" s="33"/>
      <c r="D129" s="33" t="s">
        <v>18</v>
      </c>
      <c r="E129" s="53" t="s">
        <v>5</v>
      </c>
      <c r="F129" s="33"/>
      <c r="G129" s="33"/>
      <c r="H129" s="33"/>
      <c r="I129" s="34"/>
      <c r="J129" s="34"/>
      <c r="L129" s="2"/>
      <c r="M129" s="2"/>
    </row>
    <row r="130" spans="3:13" ht="25.8">
      <c r="C130" s="33"/>
      <c r="D130" s="33" t="s">
        <v>18</v>
      </c>
      <c r="E130" s="53" t="s">
        <v>5</v>
      </c>
      <c r="F130" s="33"/>
      <c r="G130" s="33"/>
      <c r="H130" s="33"/>
      <c r="I130" s="34"/>
      <c r="J130" s="34"/>
      <c r="L130" s="2"/>
      <c r="M130" s="2"/>
    </row>
    <row r="131" spans="3:13" ht="25.8">
      <c r="C131" s="33"/>
      <c r="D131" s="33" t="s">
        <v>18</v>
      </c>
      <c r="E131" s="53" t="s">
        <v>5</v>
      </c>
      <c r="F131" s="33"/>
      <c r="G131" s="33"/>
      <c r="H131" s="33"/>
      <c r="I131" s="34"/>
      <c r="J131" s="34"/>
      <c r="L131" s="2"/>
      <c r="M131" s="2"/>
    </row>
    <row r="132" spans="3:13" ht="25.8">
      <c r="C132" s="33"/>
      <c r="D132" s="33" t="s">
        <v>18</v>
      </c>
      <c r="E132" s="53" t="s">
        <v>5</v>
      </c>
      <c r="F132" s="33"/>
      <c r="G132" s="33"/>
      <c r="H132" s="33"/>
      <c r="I132" s="34"/>
      <c r="J132" s="34"/>
      <c r="L132" s="2"/>
      <c r="M132" s="2"/>
    </row>
    <row r="133" spans="3:13" ht="25.8">
      <c r="C133" s="33"/>
      <c r="D133" s="33" t="s">
        <v>18</v>
      </c>
      <c r="E133" s="53" t="s">
        <v>5</v>
      </c>
      <c r="F133" s="33"/>
      <c r="G133" s="33"/>
      <c r="H133" s="33"/>
      <c r="I133" s="34"/>
      <c r="J133" s="34"/>
      <c r="L133" s="2"/>
      <c r="M133" s="2"/>
    </row>
    <row r="134" spans="3:13" ht="25.8">
      <c r="C134" s="33"/>
      <c r="D134" s="33" t="s">
        <v>18</v>
      </c>
      <c r="E134" s="53" t="s">
        <v>5</v>
      </c>
      <c r="F134" s="33"/>
      <c r="G134" s="33"/>
      <c r="H134" s="33"/>
      <c r="I134" s="34"/>
      <c r="J134" s="34"/>
      <c r="L134" s="2"/>
      <c r="M134" s="2"/>
    </row>
    <row r="135" spans="3:13" ht="25.8">
      <c r="C135" s="33"/>
      <c r="D135" s="33" t="s">
        <v>18</v>
      </c>
      <c r="E135" s="53" t="s">
        <v>5</v>
      </c>
      <c r="F135" s="33"/>
      <c r="G135" s="33"/>
      <c r="H135" s="33"/>
      <c r="I135" s="34"/>
      <c r="J135" s="34"/>
      <c r="L135" s="2"/>
      <c r="M135" s="2"/>
    </row>
    <row r="136" spans="3:13" ht="25.8">
      <c r="C136" s="33"/>
      <c r="D136" s="33" t="s">
        <v>18</v>
      </c>
      <c r="E136" s="53" t="s">
        <v>5</v>
      </c>
      <c r="F136" s="33"/>
      <c r="G136" s="33"/>
      <c r="H136" s="33"/>
      <c r="I136" s="34"/>
      <c r="J136" s="34"/>
      <c r="L136" s="2"/>
      <c r="M136" s="2"/>
    </row>
    <row r="137" spans="3:13" ht="25.8">
      <c r="C137" s="33"/>
      <c r="D137" s="33" t="s">
        <v>18</v>
      </c>
      <c r="E137" s="53" t="s">
        <v>5</v>
      </c>
      <c r="F137" s="33"/>
      <c r="G137" s="33"/>
      <c r="H137" s="33"/>
      <c r="I137" s="34"/>
      <c r="J137" s="34"/>
      <c r="L137" s="2"/>
      <c r="M137" s="2"/>
    </row>
    <row r="138" spans="3:13" ht="25.8">
      <c r="C138" s="33"/>
      <c r="D138" s="33" t="s">
        <v>18</v>
      </c>
      <c r="E138" s="53" t="s">
        <v>5</v>
      </c>
      <c r="F138" s="33"/>
      <c r="G138" s="33"/>
      <c r="H138" s="33"/>
      <c r="I138" s="34"/>
      <c r="J138" s="34"/>
      <c r="L138" s="2"/>
      <c r="M138" s="2"/>
    </row>
    <row r="139" spans="3:13" ht="25.8">
      <c r="C139" s="33"/>
      <c r="D139" s="33" t="s">
        <v>18</v>
      </c>
      <c r="E139" s="53" t="s">
        <v>5</v>
      </c>
      <c r="F139" s="33"/>
      <c r="G139" s="33"/>
      <c r="H139" s="33"/>
      <c r="I139" s="34"/>
      <c r="J139" s="34"/>
      <c r="L139" s="2"/>
      <c r="M139" s="2"/>
    </row>
    <row r="140" spans="3:13" ht="25.8">
      <c r="C140" s="33"/>
      <c r="D140" s="33" t="s">
        <v>18</v>
      </c>
      <c r="E140" s="53" t="s">
        <v>5</v>
      </c>
      <c r="F140" s="33"/>
      <c r="G140" s="33"/>
      <c r="H140" s="33"/>
      <c r="I140" s="34"/>
      <c r="J140" s="34"/>
      <c r="L140" s="2"/>
      <c r="M140" s="2"/>
    </row>
    <row r="141" spans="3:13" ht="25.8">
      <c r="C141" s="33"/>
      <c r="D141" s="33" t="s">
        <v>18</v>
      </c>
      <c r="E141" s="53" t="s">
        <v>5</v>
      </c>
      <c r="F141" s="33"/>
      <c r="G141" s="33"/>
      <c r="H141" s="33"/>
      <c r="I141" s="34"/>
      <c r="J141" s="34"/>
      <c r="L141" s="2"/>
      <c r="M141" s="2"/>
    </row>
    <row r="142" spans="3:13" ht="25.8">
      <c r="C142" s="33"/>
      <c r="D142" s="33" t="s">
        <v>18</v>
      </c>
      <c r="E142" s="53" t="s">
        <v>5</v>
      </c>
      <c r="F142" s="33"/>
      <c r="G142" s="33"/>
      <c r="H142" s="33"/>
      <c r="I142" s="34"/>
      <c r="J142" s="34"/>
      <c r="L142" s="2"/>
      <c r="M142" s="2"/>
    </row>
    <row r="143" spans="3:13" ht="25.8">
      <c r="C143" s="33"/>
      <c r="D143" s="33" t="s">
        <v>18</v>
      </c>
      <c r="E143" s="53" t="s">
        <v>5</v>
      </c>
      <c r="F143" s="33"/>
      <c r="G143" s="33"/>
      <c r="H143" s="33"/>
      <c r="I143" s="34"/>
      <c r="J143" s="34"/>
      <c r="L143" s="2"/>
      <c r="M143" s="2"/>
    </row>
    <row r="144" spans="3:13" ht="25.8">
      <c r="C144" s="33"/>
      <c r="D144" s="33" t="s">
        <v>18</v>
      </c>
      <c r="E144" s="53" t="s">
        <v>5</v>
      </c>
      <c r="F144" s="33"/>
      <c r="G144" s="33"/>
      <c r="H144" s="33"/>
      <c r="I144" s="34"/>
      <c r="J144" s="34"/>
      <c r="L144" s="2"/>
      <c r="M144" s="2"/>
    </row>
    <row r="145" spans="3:13" ht="25.8">
      <c r="C145" s="33"/>
      <c r="D145" s="33" t="s">
        <v>18</v>
      </c>
      <c r="E145" s="53" t="s">
        <v>5</v>
      </c>
      <c r="F145" s="33"/>
      <c r="G145" s="33"/>
      <c r="H145" s="33"/>
      <c r="I145" s="34"/>
      <c r="J145" s="34"/>
      <c r="L145" s="2"/>
      <c r="M145" s="2"/>
    </row>
    <row r="146" spans="3:13" ht="25.8">
      <c r="C146" s="33"/>
      <c r="D146" s="33" t="s">
        <v>18</v>
      </c>
      <c r="E146" s="53" t="s">
        <v>5</v>
      </c>
      <c r="F146" s="33"/>
      <c r="G146" s="33"/>
      <c r="H146" s="33"/>
      <c r="I146" s="34"/>
      <c r="J146" s="34"/>
      <c r="L146" s="2"/>
      <c r="M146" s="2"/>
    </row>
    <row r="147" spans="3:13" ht="25.8">
      <c r="C147" s="33"/>
      <c r="D147" s="33" t="s">
        <v>18</v>
      </c>
      <c r="E147" s="53" t="s">
        <v>5</v>
      </c>
      <c r="F147" s="33"/>
      <c r="G147" s="33"/>
      <c r="H147" s="33"/>
      <c r="I147" s="34"/>
      <c r="J147" s="34"/>
      <c r="L147" s="2"/>
      <c r="M147" s="2"/>
    </row>
    <row r="148" spans="3:13" ht="25.8">
      <c r="C148" s="33"/>
      <c r="D148" s="33" t="s">
        <v>18</v>
      </c>
      <c r="E148" s="53" t="s">
        <v>5</v>
      </c>
      <c r="F148" s="33"/>
      <c r="G148" s="33"/>
      <c r="H148" s="33"/>
      <c r="I148" s="34"/>
      <c r="J148" s="34"/>
      <c r="L148" s="2"/>
      <c r="M148" s="2"/>
    </row>
    <row r="149" spans="3:13" ht="25.8">
      <c r="C149" s="33"/>
      <c r="D149" s="33" t="s">
        <v>18</v>
      </c>
      <c r="E149" s="53" t="s">
        <v>5</v>
      </c>
      <c r="F149" s="33"/>
      <c r="G149" s="33"/>
      <c r="H149" s="33"/>
      <c r="I149" s="34"/>
      <c r="J149" s="34"/>
      <c r="L149" s="2"/>
      <c r="M149" s="2"/>
    </row>
    <row r="150" spans="3:13" ht="25.8">
      <c r="C150" s="33"/>
      <c r="D150" s="33" t="s">
        <v>18</v>
      </c>
      <c r="E150" s="53" t="s">
        <v>5</v>
      </c>
      <c r="F150" s="33"/>
      <c r="G150" s="33"/>
      <c r="H150" s="33"/>
      <c r="I150" s="34"/>
      <c r="J150" s="34"/>
      <c r="L150" s="2"/>
      <c r="M150" s="2"/>
    </row>
    <row r="151" spans="3:13" ht="25.8">
      <c r="C151" s="33"/>
      <c r="D151" s="33" t="s">
        <v>18</v>
      </c>
      <c r="E151" s="53" t="s">
        <v>5</v>
      </c>
      <c r="F151" s="33"/>
      <c r="G151" s="33"/>
      <c r="H151" s="33"/>
      <c r="I151" s="34"/>
      <c r="J151" s="34"/>
      <c r="L151" s="2"/>
      <c r="M151" s="2"/>
    </row>
    <row r="152" spans="3:13" ht="25.8">
      <c r="C152" s="33"/>
      <c r="D152" s="33" t="s">
        <v>18</v>
      </c>
      <c r="E152" s="53" t="s">
        <v>5</v>
      </c>
      <c r="F152" s="33"/>
      <c r="G152" s="33"/>
      <c r="H152" s="33"/>
      <c r="I152" s="34"/>
      <c r="J152" s="34"/>
      <c r="L152" s="2"/>
      <c r="M152" s="2"/>
    </row>
    <row r="153" spans="3:13" ht="25.8">
      <c r="C153" s="33"/>
      <c r="D153" s="33" t="s">
        <v>18</v>
      </c>
      <c r="E153" s="53" t="s">
        <v>5</v>
      </c>
      <c r="F153" s="33"/>
      <c r="G153" s="33"/>
      <c r="H153" s="33"/>
      <c r="I153" s="34"/>
      <c r="J153" s="34"/>
      <c r="L153" s="2"/>
      <c r="M153" s="2"/>
    </row>
    <row r="154" spans="3:13" ht="25.8">
      <c r="C154" s="33"/>
      <c r="D154" s="33" t="s">
        <v>18</v>
      </c>
      <c r="E154" s="53" t="s">
        <v>5</v>
      </c>
      <c r="F154" s="33"/>
      <c r="G154" s="33"/>
      <c r="H154" s="33"/>
      <c r="I154" s="34"/>
      <c r="J154" s="34"/>
      <c r="L154" s="2"/>
      <c r="M154" s="2"/>
    </row>
    <row r="155" spans="3:13" ht="25.8">
      <c r="C155" s="33"/>
      <c r="D155" s="33" t="s">
        <v>18</v>
      </c>
      <c r="E155" s="53" t="s">
        <v>5</v>
      </c>
      <c r="F155" s="33"/>
      <c r="G155" s="33"/>
      <c r="H155" s="33"/>
      <c r="I155" s="34"/>
      <c r="J155" s="34"/>
      <c r="L155" s="2"/>
      <c r="M155" s="2"/>
    </row>
    <row r="156" spans="3:13" ht="25.8">
      <c r="C156" s="33"/>
      <c r="D156" s="33" t="s">
        <v>18</v>
      </c>
      <c r="E156" s="53" t="s">
        <v>5</v>
      </c>
      <c r="F156" s="33"/>
      <c r="G156" s="33"/>
      <c r="H156" s="33"/>
      <c r="I156" s="34"/>
      <c r="J156" s="34"/>
      <c r="L156" s="2"/>
      <c r="M156" s="2"/>
    </row>
    <row r="157" spans="3:13" ht="25.8">
      <c r="C157" s="33"/>
      <c r="D157" s="33" t="s">
        <v>18</v>
      </c>
      <c r="E157" s="53" t="s">
        <v>5</v>
      </c>
      <c r="F157" s="33"/>
      <c r="G157" s="33"/>
      <c r="H157" s="33"/>
      <c r="I157" s="34"/>
      <c r="J157" s="34"/>
      <c r="L157" s="2"/>
      <c r="M157" s="2"/>
    </row>
    <row r="158" spans="3:13" ht="25.8">
      <c r="C158" s="33"/>
      <c r="D158" s="33" t="s">
        <v>18</v>
      </c>
      <c r="E158" s="53" t="s">
        <v>5</v>
      </c>
      <c r="F158" s="33"/>
      <c r="G158" s="33"/>
      <c r="H158" s="33"/>
      <c r="I158" s="34"/>
      <c r="J158" s="34"/>
      <c r="L158" s="2"/>
      <c r="M158" s="2"/>
    </row>
    <row r="159" spans="3:13" ht="25.8">
      <c r="C159" s="33"/>
      <c r="D159" s="33" t="s">
        <v>18</v>
      </c>
      <c r="E159" s="53" t="s">
        <v>5</v>
      </c>
      <c r="F159" s="33"/>
      <c r="G159" s="33"/>
      <c r="H159" s="33"/>
      <c r="I159" s="34"/>
      <c r="J159" s="34"/>
      <c r="L159" s="2"/>
      <c r="M159" s="2"/>
    </row>
    <row r="160" spans="3:13" ht="25.8">
      <c r="C160" s="33"/>
      <c r="D160" s="33" t="s">
        <v>18</v>
      </c>
      <c r="E160" s="53" t="s">
        <v>5</v>
      </c>
      <c r="F160" s="33"/>
      <c r="G160" s="33"/>
      <c r="H160" s="33"/>
      <c r="I160" s="34"/>
      <c r="J160" s="34"/>
      <c r="L160" s="2"/>
      <c r="M160" s="2"/>
    </row>
    <row r="161" spans="3:13" ht="25.8">
      <c r="C161" s="33"/>
      <c r="D161" s="33" t="s">
        <v>18</v>
      </c>
      <c r="E161" s="53" t="s">
        <v>5</v>
      </c>
      <c r="F161" s="33"/>
      <c r="G161" s="33"/>
      <c r="H161" s="33"/>
      <c r="I161" s="34"/>
      <c r="J161" s="34"/>
      <c r="L161" s="2"/>
      <c r="M161" s="2"/>
    </row>
    <row r="162" spans="3:13" ht="25.8">
      <c r="C162" s="33"/>
      <c r="D162" s="33" t="s">
        <v>18</v>
      </c>
      <c r="E162" s="53" t="s">
        <v>5</v>
      </c>
      <c r="F162" s="33"/>
      <c r="G162" s="33"/>
      <c r="H162" s="33"/>
      <c r="I162" s="34"/>
      <c r="J162" s="34"/>
      <c r="L162" s="2"/>
      <c r="M162" s="2"/>
    </row>
    <row r="163" spans="3:13" ht="25.8">
      <c r="C163" s="33"/>
      <c r="D163" s="33" t="s">
        <v>18</v>
      </c>
      <c r="E163" s="53" t="s">
        <v>5</v>
      </c>
      <c r="F163" s="33"/>
      <c r="G163" s="33"/>
      <c r="H163" s="33"/>
      <c r="I163" s="34"/>
      <c r="J163" s="34"/>
      <c r="L163" s="2"/>
      <c r="M163" s="2"/>
    </row>
    <row r="164" spans="3:13" ht="25.8">
      <c r="C164" s="33"/>
      <c r="D164" s="33" t="s">
        <v>18</v>
      </c>
      <c r="E164" s="53" t="s">
        <v>5</v>
      </c>
      <c r="F164" s="33"/>
      <c r="G164" s="33"/>
      <c r="H164" s="33"/>
      <c r="I164" s="34"/>
      <c r="J164" s="34"/>
      <c r="L164" s="2"/>
      <c r="M164" s="2"/>
    </row>
    <row r="165" spans="3:13" ht="25.8">
      <c r="C165" s="33"/>
      <c r="D165" s="33" t="s">
        <v>18</v>
      </c>
      <c r="E165" s="53" t="s">
        <v>5</v>
      </c>
      <c r="F165" s="33"/>
      <c r="G165" s="33"/>
      <c r="H165" s="33"/>
      <c r="I165" s="34"/>
      <c r="J165" s="34"/>
      <c r="L165" s="2"/>
      <c r="M165" s="2"/>
    </row>
    <row r="166" spans="3:13" ht="25.8">
      <c r="C166" s="33"/>
      <c r="D166" s="33" t="s">
        <v>18</v>
      </c>
      <c r="E166" s="53" t="s">
        <v>5</v>
      </c>
      <c r="F166" s="33"/>
      <c r="G166" s="33"/>
      <c r="H166" s="33"/>
      <c r="I166" s="34"/>
      <c r="J166" s="34"/>
      <c r="L166" s="2"/>
      <c r="M166" s="2"/>
    </row>
    <row r="167" spans="3:13" ht="25.8">
      <c r="C167" s="33"/>
      <c r="D167" s="33" t="s">
        <v>18</v>
      </c>
      <c r="E167" s="53" t="s">
        <v>5</v>
      </c>
      <c r="F167" s="33"/>
      <c r="G167" s="33"/>
      <c r="H167" s="33"/>
      <c r="I167" s="34"/>
      <c r="J167" s="34"/>
      <c r="L167" s="2"/>
      <c r="M167" s="2"/>
    </row>
    <row r="168" spans="3:13" ht="25.8">
      <c r="C168" s="33"/>
      <c r="D168" s="33" t="s">
        <v>18</v>
      </c>
      <c r="E168" s="53" t="s">
        <v>5</v>
      </c>
      <c r="F168" s="33"/>
      <c r="G168" s="33"/>
      <c r="H168" s="33"/>
      <c r="I168" s="34"/>
      <c r="J168" s="34"/>
      <c r="L168" s="2"/>
      <c r="M168" s="2"/>
    </row>
    <row r="169" spans="3:13" ht="25.8">
      <c r="C169" s="33"/>
      <c r="D169" s="33" t="s">
        <v>18</v>
      </c>
      <c r="E169" s="53" t="s">
        <v>5</v>
      </c>
      <c r="F169" s="33"/>
      <c r="G169" s="33"/>
      <c r="H169" s="33"/>
      <c r="I169" s="34"/>
      <c r="J169" s="34"/>
      <c r="L169" s="2"/>
      <c r="M169" s="2"/>
    </row>
    <row r="170" spans="3:13" ht="25.8">
      <c r="C170" s="33"/>
      <c r="D170" s="33" t="s">
        <v>18</v>
      </c>
      <c r="E170" s="53" t="s">
        <v>5</v>
      </c>
      <c r="F170" s="33"/>
      <c r="G170" s="33"/>
      <c r="H170" s="33"/>
      <c r="I170" s="34"/>
      <c r="J170" s="34"/>
      <c r="L170" s="2"/>
      <c r="M170" s="2"/>
    </row>
    <row r="171" spans="3:13" ht="25.8">
      <c r="C171" s="33"/>
      <c r="D171" s="33" t="s">
        <v>18</v>
      </c>
      <c r="E171" s="53" t="s">
        <v>5</v>
      </c>
      <c r="F171" s="33"/>
      <c r="G171" s="33"/>
      <c r="H171" s="33"/>
      <c r="I171" s="34"/>
      <c r="J171" s="34"/>
      <c r="L171" s="2"/>
      <c r="M171" s="2"/>
    </row>
    <row r="172" spans="3:13" ht="25.8">
      <c r="C172" s="33"/>
      <c r="D172" s="33" t="s">
        <v>18</v>
      </c>
      <c r="E172" s="53" t="s">
        <v>5</v>
      </c>
      <c r="F172" s="33"/>
      <c r="G172" s="33"/>
      <c r="H172" s="33"/>
      <c r="I172" s="34"/>
      <c r="J172" s="34"/>
      <c r="L172" s="2"/>
      <c r="M172" s="2"/>
    </row>
    <row r="173" spans="3:13" ht="25.8">
      <c r="C173" s="33"/>
      <c r="D173" s="33" t="s">
        <v>18</v>
      </c>
      <c r="E173" s="53" t="s">
        <v>5</v>
      </c>
      <c r="F173" s="33"/>
      <c r="G173" s="33"/>
      <c r="H173" s="33"/>
      <c r="I173" s="34"/>
      <c r="J173" s="34"/>
      <c r="L173" s="2"/>
      <c r="M173" s="2"/>
    </row>
    <row r="174" spans="3:13" ht="25.8">
      <c r="C174" s="33"/>
      <c r="D174" s="33" t="s">
        <v>18</v>
      </c>
      <c r="E174" s="53" t="s">
        <v>5</v>
      </c>
      <c r="F174" s="33"/>
      <c r="G174" s="33"/>
      <c r="H174" s="33"/>
      <c r="I174" s="34"/>
      <c r="J174" s="34"/>
      <c r="L174" s="2"/>
      <c r="M174" s="2"/>
    </row>
    <row r="175" spans="3:13" ht="25.8">
      <c r="C175" s="33"/>
      <c r="D175" s="33" t="s">
        <v>18</v>
      </c>
      <c r="E175" s="53" t="s">
        <v>5</v>
      </c>
      <c r="F175" s="33"/>
      <c r="G175" s="33"/>
      <c r="H175" s="33"/>
      <c r="I175" s="34"/>
      <c r="J175" s="34"/>
      <c r="L175" s="2"/>
      <c r="M175" s="2"/>
    </row>
    <row r="176" spans="3:13" ht="25.8">
      <c r="C176" s="33"/>
      <c r="D176" s="33" t="s">
        <v>18</v>
      </c>
      <c r="E176" s="53" t="s">
        <v>5</v>
      </c>
      <c r="F176" s="33"/>
      <c r="G176" s="33"/>
      <c r="H176" s="33"/>
      <c r="I176" s="34"/>
      <c r="J176" s="34"/>
      <c r="L176" s="2"/>
      <c r="M176" s="2"/>
    </row>
    <row r="177" spans="3:13" ht="25.8">
      <c r="C177" s="33"/>
      <c r="D177" s="33" t="s">
        <v>18</v>
      </c>
      <c r="E177" s="53" t="s">
        <v>5</v>
      </c>
      <c r="F177" s="33"/>
      <c r="G177" s="33"/>
      <c r="H177" s="33"/>
      <c r="I177" s="34"/>
      <c r="J177" s="34"/>
      <c r="L177" s="2"/>
      <c r="M177" s="2"/>
    </row>
    <row r="178" spans="3:13" ht="25.8">
      <c r="C178" s="33"/>
      <c r="D178" s="33" t="s">
        <v>18</v>
      </c>
      <c r="E178" s="53" t="s">
        <v>5</v>
      </c>
      <c r="F178" s="33"/>
      <c r="G178" s="33"/>
      <c r="H178" s="33"/>
      <c r="I178" s="34"/>
      <c r="J178" s="34"/>
      <c r="L178" s="2"/>
      <c r="M178" s="2"/>
    </row>
    <row r="179" spans="3:13" ht="25.8">
      <c r="C179" s="33"/>
      <c r="D179" s="33" t="s">
        <v>18</v>
      </c>
      <c r="E179" s="53" t="s">
        <v>5</v>
      </c>
      <c r="F179" s="33"/>
      <c r="G179" s="33"/>
      <c r="H179" s="33"/>
      <c r="I179" s="34"/>
      <c r="J179" s="34"/>
      <c r="L179" s="2"/>
      <c r="M179" s="2"/>
    </row>
    <row r="180" spans="3:13" ht="25.8">
      <c r="C180" s="33"/>
      <c r="D180" s="33" t="s">
        <v>18</v>
      </c>
      <c r="E180" s="53" t="s">
        <v>5</v>
      </c>
      <c r="F180" s="33"/>
      <c r="G180" s="33"/>
      <c r="H180" s="33"/>
      <c r="I180" s="34"/>
      <c r="J180" s="34"/>
      <c r="L180" s="2"/>
      <c r="M180" s="2"/>
    </row>
    <row r="181" spans="3:13" ht="25.8">
      <c r="C181" s="33"/>
      <c r="D181" s="33" t="s">
        <v>18</v>
      </c>
      <c r="E181" s="53" t="s">
        <v>5</v>
      </c>
      <c r="F181" s="33"/>
      <c r="G181" s="33"/>
      <c r="H181" s="33"/>
      <c r="I181" s="34"/>
      <c r="J181" s="34"/>
      <c r="L181" s="2"/>
      <c r="M181" s="2"/>
    </row>
    <row r="182" spans="3:13" ht="25.8">
      <c r="C182" s="33"/>
      <c r="D182" s="33" t="s">
        <v>18</v>
      </c>
      <c r="E182" s="53" t="s">
        <v>5</v>
      </c>
      <c r="F182" s="33"/>
      <c r="G182" s="33"/>
      <c r="H182" s="33"/>
      <c r="I182" s="34"/>
      <c r="J182" s="34"/>
      <c r="L182" s="2"/>
      <c r="M182" s="2"/>
    </row>
    <row r="183" spans="3:13" ht="25.8">
      <c r="C183" s="33"/>
      <c r="D183" s="33" t="s">
        <v>18</v>
      </c>
      <c r="E183" s="53" t="s">
        <v>5</v>
      </c>
      <c r="F183" s="33"/>
      <c r="G183" s="33"/>
      <c r="H183" s="33"/>
      <c r="I183" s="34"/>
      <c r="J183" s="34"/>
      <c r="L183" s="2"/>
      <c r="M183" s="2"/>
    </row>
    <row r="184" spans="3:13" ht="25.8">
      <c r="C184" s="33"/>
      <c r="D184" s="33" t="s">
        <v>18</v>
      </c>
      <c r="E184" s="53" t="s">
        <v>5</v>
      </c>
      <c r="F184" s="33"/>
      <c r="G184" s="33"/>
      <c r="H184" s="33"/>
      <c r="I184" s="34"/>
      <c r="J184" s="34"/>
      <c r="L184" s="2"/>
      <c r="M184" s="2"/>
    </row>
    <row r="185" spans="3:13" ht="25.8">
      <c r="C185" s="33"/>
      <c r="D185" s="33" t="s">
        <v>18</v>
      </c>
      <c r="E185" s="53" t="s">
        <v>5</v>
      </c>
      <c r="F185" s="33"/>
      <c r="G185" s="33"/>
      <c r="H185" s="33"/>
      <c r="I185" s="34"/>
      <c r="J185" s="34"/>
      <c r="L185" s="2"/>
      <c r="M185" s="2"/>
    </row>
    <row r="186" spans="3:13" ht="25.8">
      <c r="C186" s="33"/>
      <c r="D186" s="33" t="s">
        <v>18</v>
      </c>
      <c r="E186" s="53" t="s">
        <v>5</v>
      </c>
      <c r="F186" s="33"/>
      <c r="G186" s="33"/>
      <c r="H186" s="33"/>
      <c r="I186" s="34"/>
      <c r="J186" s="34"/>
      <c r="L186" s="2"/>
      <c r="M186" s="2"/>
    </row>
    <row r="187" spans="3:13" ht="25.8">
      <c r="C187" s="33"/>
      <c r="D187" s="33" t="s">
        <v>18</v>
      </c>
      <c r="E187" s="53" t="s">
        <v>5</v>
      </c>
      <c r="F187" s="33"/>
      <c r="G187" s="33"/>
      <c r="H187" s="33"/>
      <c r="I187" s="34"/>
      <c r="J187" s="34"/>
      <c r="L187" s="2"/>
      <c r="M187" s="2"/>
    </row>
    <row r="188" spans="3:13" ht="25.8">
      <c r="C188" s="33"/>
      <c r="D188" s="33" t="s">
        <v>18</v>
      </c>
      <c r="E188" s="53" t="s">
        <v>5</v>
      </c>
      <c r="F188" s="33"/>
      <c r="G188" s="33"/>
      <c r="H188" s="33"/>
      <c r="I188" s="34"/>
      <c r="J188" s="34"/>
      <c r="L188" s="2"/>
      <c r="M188" s="2"/>
    </row>
    <row r="189" spans="3:13" ht="25.8">
      <c r="C189" s="33"/>
      <c r="D189" s="33" t="s">
        <v>18</v>
      </c>
      <c r="E189" s="53" t="s">
        <v>5</v>
      </c>
      <c r="F189" s="33"/>
      <c r="G189" s="33"/>
      <c r="H189" s="33"/>
      <c r="I189" s="34"/>
      <c r="J189" s="34"/>
      <c r="L189" s="2"/>
      <c r="M189" s="2"/>
    </row>
    <row r="190" spans="3:13" ht="25.8">
      <c r="C190" s="33"/>
      <c r="D190" s="33" t="s">
        <v>18</v>
      </c>
      <c r="E190" s="53" t="s">
        <v>5</v>
      </c>
      <c r="F190" s="33"/>
      <c r="G190" s="33"/>
      <c r="H190" s="33"/>
      <c r="I190" s="34"/>
      <c r="J190" s="34"/>
      <c r="L190" s="2"/>
      <c r="M190" s="2"/>
    </row>
    <row r="191" spans="3:13" ht="25.8">
      <c r="C191" s="33"/>
      <c r="D191" s="33" t="s">
        <v>18</v>
      </c>
      <c r="E191" s="53" t="s">
        <v>5</v>
      </c>
      <c r="F191" s="33"/>
      <c r="G191" s="33"/>
      <c r="H191" s="33"/>
      <c r="I191" s="34"/>
      <c r="J191" s="34"/>
      <c r="L191" s="2"/>
      <c r="M191" s="2"/>
    </row>
    <row r="192" spans="3:13" ht="25.8">
      <c r="C192" s="33"/>
      <c r="D192" s="33" t="s">
        <v>18</v>
      </c>
      <c r="E192" s="53" t="s">
        <v>5</v>
      </c>
      <c r="F192" s="33"/>
      <c r="G192" s="33"/>
      <c r="H192" s="33"/>
      <c r="I192" s="34"/>
      <c r="J192" s="34"/>
      <c r="L192" s="2"/>
      <c r="M192" s="2"/>
    </row>
    <row r="193" spans="3:13" ht="25.8">
      <c r="C193" s="33"/>
      <c r="D193" s="33" t="s">
        <v>18</v>
      </c>
      <c r="E193" s="53" t="s">
        <v>5</v>
      </c>
      <c r="F193" s="33"/>
      <c r="G193" s="33"/>
      <c r="H193" s="33"/>
      <c r="I193" s="34"/>
      <c r="J193" s="34"/>
      <c r="L193" s="2"/>
      <c r="M193" s="2"/>
    </row>
    <row r="194" spans="3:13" ht="25.8">
      <c r="C194" s="33"/>
      <c r="D194" s="33" t="s">
        <v>18</v>
      </c>
      <c r="E194" s="53" t="s">
        <v>5</v>
      </c>
      <c r="F194" s="33"/>
      <c r="G194" s="33"/>
      <c r="H194" s="33"/>
      <c r="I194" s="34"/>
      <c r="J194" s="34"/>
      <c r="L194" s="2"/>
      <c r="M194" s="2"/>
    </row>
    <row r="195" spans="3:13" ht="25.8">
      <c r="C195" s="33"/>
      <c r="D195" s="33" t="s">
        <v>18</v>
      </c>
      <c r="E195" s="53" t="s">
        <v>5</v>
      </c>
      <c r="F195" s="33"/>
      <c r="G195" s="33"/>
      <c r="H195" s="33"/>
      <c r="I195" s="34"/>
      <c r="J195" s="34"/>
      <c r="L195" s="2"/>
      <c r="M195" s="2"/>
    </row>
    <row r="196" spans="3:13" ht="25.8">
      <c r="C196" s="33"/>
      <c r="D196" s="33" t="s">
        <v>18</v>
      </c>
      <c r="E196" s="53" t="s">
        <v>5</v>
      </c>
      <c r="F196" s="33"/>
      <c r="G196" s="33"/>
      <c r="H196" s="33"/>
      <c r="I196" s="34"/>
      <c r="J196" s="34"/>
      <c r="L196" s="2"/>
      <c r="M196" s="2"/>
    </row>
    <row r="197" spans="3:13" ht="25.8">
      <c r="C197" s="33"/>
      <c r="D197" s="33" t="s">
        <v>18</v>
      </c>
      <c r="E197" s="53" t="s">
        <v>5</v>
      </c>
      <c r="F197" s="33"/>
      <c r="G197" s="33"/>
      <c r="H197" s="33"/>
      <c r="I197" s="34"/>
      <c r="J197" s="34"/>
      <c r="L197" s="2"/>
      <c r="M197" s="2"/>
    </row>
    <row r="198" spans="3:13" ht="25.8">
      <c r="C198" s="33"/>
      <c r="D198" s="33" t="s">
        <v>18</v>
      </c>
      <c r="E198" s="53" t="s">
        <v>5</v>
      </c>
      <c r="F198" s="33"/>
      <c r="G198" s="33"/>
      <c r="H198" s="33"/>
      <c r="I198" s="34"/>
      <c r="J198" s="34"/>
      <c r="L198" s="2"/>
      <c r="M198" s="2"/>
    </row>
    <row r="199" spans="3:13" ht="25.8">
      <c r="C199" s="33"/>
      <c r="D199" s="33" t="s">
        <v>18</v>
      </c>
      <c r="E199" s="53" t="s">
        <v>5</v>
      </c>
      <c r="F199" s="33"/>
      <c r="G199" s="33"/>
      <c r="H199" s="33"/>
      <c r="I199" s="34"/>
      <c r="J199" s="34"/>
      <c r="L199" s="2"/>
      <c r="M199" s="2"/>
    </row>
    <row r="200" spans="3:13" ht="25.8">
      <c r="C200" s="33"/>
      <c r="D200" s="33" t="s">
        <v>18</v>
      </c>
      <c r="E200" s="53" t="s">
        <v>5</v>
      </c>
      <c r="F200" s="33"/>
      <c r="G200" s="33"/>
      <c r="H200" s="33"/>
      <c r="I200" s="34"/>
      <c r="J200" s="34"/>
      <c r="L200" s="2"/>
      <c r="M200" s="2"/>
    </row>
    <row r="201" spans="3:13" ht="25.8">
      <c r="C201" s="33"/>
      <c r="D201" s="33" t="s">
        <v>18</v>
      </c>
      <c r="E201" s="53" t="s">
        <v>5</v>
      </c>
      <c r="F201" s="33"/>
      <c r="G201" s="33"/>
      <c r="H201" s="33"/>
      <c r="I201" s="34"/>
      <c r="J201" s="34"/>
      <c r="L201" s="2"/>
      <c r="M201" s="2"/>
    </row>
    <row r="202" spans="3:13" ht="25.8">
      <c r="C202" s="33"/>
      <c r="D202" s="33" t="s">
        <v>18</v>
      </c>
      <c r="E202" s="53" t="s">
        <v>5</v>
      </c>
      <c r="F202" s="33"/>
      <c r="G202" s="33"/>
      <c r="H202" s="33"/>
      <c r="I202" s="34"/>
      <c r="J202" s="34"/>
      <c r="L202" s="2"/>
      <c r="M202" s="2"/>
    </row>
    <row r="203" spans="3:13" ht="25.8">
      <c r="C203" s="33"/>
      <c r="D203" s="33" t="s">
        <v>18</v>
      </c>
      <c r="E203" s="53" t="s">
        <v>5</v>
      </c>
      <c r="F203" s="33"/>
      <c r="G203" s="33"/>
      <c r="H203" s="33"/>
      <c r="I203" s="34"/>
      <c r="J203" s="34"/>
      <c r="L203" s="2"/>
      <c r="M203" s="2"/>
    </row>
    <row r="204" spans="3:13" ht="25.8">
      <c r="C204" s="33"/>
      <c r="D204" s="33" t="s">
        <v>18</v>
      </c>
      <c r="E204" s="53" t="s">
        <v>5</v>
      </c>
      <c r="F204" s="33"/>
      <c r="G204" s="33"/>
      <c r="H204" s="33"/>
      <c r="I204" s="34"/>
      <c r="J204" s="34"/>
      <c r="L204" s="2"/>
      <c r="M204" s="2"/>
    </row>
    <row r="205" spans="3:13" ht="25.8">
      <c r="C205" s="33"/>
      <c r="D205" s="33" t="s">
        <v>18</v>
      </c>
      <c r="E205" s="53" t="s">
        <v>5</v>
      </c>
      <c r="F205" s="33"/>
      <c r="G205" s="33"/>
      <c r="H205" s="33"/>
      <c r="I205" s="34"/>
      <c r="J205" s="34"/>
      <c r="L205" s="2"/>
      <c r="M205" s="2"/>
    </row>
    <row r="206" spans="3:13" ht="25.8">
      <c r="C206" s="33"/>
      <c r="D206" s="33" t="s">
        <v>18</v>
      </c>
      <c r="E206" s="53" t="s">
        <v>5</v>
      </c>
      <c r="F206" s="33"/>
      <c r="G206" s="33"/>
      <c r="H206" s="33"/>
      <c r="I206" s="34"/>
      <c r="J206" s="34"/>
      <c r="L206" s="2"/>
      <c r="M206" s="2"/>
    </row>
    <row r="207" spans="3:13" ht="25.8">
      <c r="C207" s="33"/>
      <c r="D207" s="33" t="s">
        <v>18</v>
      </c>
      <c r="E207" s="53" t="s">
        <v>5</v>
      </c>
      <c r="F207" s="33"/>
      <c r="G207" s="33"/>
      <c r="H207" s="33"/>
      <c r="I207" s="34"/>
      <c r="J207" s="34"/>
      <c r="L207" s="2"/>
      <c r="M207" s="2"/>
    </row>
    <row r="208" spans="3:13" ht="25.8">
      <c r="C208" s="33"/>
      <c r="D208" s="33" t="s">
        <v>18</v>
      </c>
      <c r="E208" s="53" t="s">
        <v>5</v>
      </c>
      <c r="F208" s="33"/>
      <c r="G208" s="33"/>
      <c r="H208" s="33"/>
      <c r="I208" s="34"/>
      <c r="J208" s="34"/>
      <c r="L208" s="2"/>
      <c r="M208" s="2"/>
    </row>
    <row r="209" spans="3:13" ht="25.8">
      <c r="C209" s="33"/>
      <c r="D209" s="33" t="s">
        <v>18</v>
      </c>
      <c r="E209" s="53" t="s">
        <v>5</v>
      </c>
      <c r="F209" s="33"/>
      <c r="G209" s="33"/>
      <c r="H209" s="33"/>
      <c r="I209" s="34"/>
      <c r="J209" s="34"/>
      <c r="L209" s="2"/>
      <c r="M209" s="2"/>
    </row>
    <row r="210" spans="3:13" ht="25.8">
      <c r="C210" s="33"/>
      <c r="D210" s="33" t="s">
        <v>18</v>
      </c>
      <c r="E210" s="53" t="s">
        <v>5</v>
      </c>
      <c r="F210" s="33"/>
      <c r="G210" s="33"/>
      <c r="H210" s="33"/>
      <c r="I210" s="34"/>
      <c r="J210" s="34"/>
      <c r="L210" s="2"/>
      <c r="M210" s="2"/>
    </row>
    <row r="211" spans="3:13" ht="25.8">
      <c r="C211" s="33"/>
      <c r="D211" s="33" t="s">
        <v>18</v>
      </c>
      <c r="E211" s="53" t="s">
        <v>5</v>
      </c>
      <c r="F211" s="33"/>
      <c r="G211" s="33"/>
      <c r="H211" s="33"/>
      <c r="I211" s="34"/>
      <c r="J211" s="34"/>
      <c r="L211" s="2"/>
      <c r="M211" s="2"/>
    </row>
    <row r="212" spans="3:13" ht="25.8">
      <c r="C212" s="33"/>
      <c r="D212" s="33" t="s">
        <v>18</v>
      </c>
      <c r="E212" s="53" t="s">
        <v>5</v>
      </c>
      <c r="F212" s="33"/>
      <c r="G212" s="33"/>
      <c r="H212" s="33"/>
      <c r="I212" s="34"/>
      <c r="J212" s="34"/>
      <c r="L212" s="2"/>
      <c r="M212" s="2"/>
    </row>
    <row r="213" spans="3:13" ht="25.8">
      <c r="C213" s="33"/>
      <c r="D213" s="33" t="s">
        <v>18</v>
      </c>
      <c r="E213" s="53" t="s">
        <v>5</v>
      </c>
      <c r="F213" s="33"/>
      <c r="G213" s="33"/>
      <c r="H213" s="33"/>
      <c r="I213" s="34"/>
      <c r="J213" s="34"/>
      <c r="L213" s="2"/>
      <c r="M213" s="2"/>
    </row>
    <row r="214" spans="3:13" ht="25.8">
      <c r="C214" s="33"/>
      <c r="D214" s="33" t="s">
        <v>18</v>
      </c>
      <c r="E214" s="53" t="s">
        <v>5</v>
      </c>
      <c r="F214" s="33"/>
      <c r="G214" s="33"/>
      <c r="H214" s="33"/>
      <c r="I214" s="34"/>
      <c r="J214" s="34"/>
      <c r="L214" s="2"/>
      <c r="M214" s="2"/>
    </row>
    <row r="215" spans="3:13" ht="25.8">
      <c r="C215" s="33"/>
      <c r="D215" s="33" t="s">
        <v>18</v>
      </c>
      <c r="E215" s="53" t="s">
        <v>5</v>
      </c>
      <c r="F215" s="33"/>
      <c r="G215" s="33"/>
      <c r="H215" s="33"/>
      <c r="I215" s="34"/>
      <c r="J215" s="34"/>
      <c r="L215" s="2"/>
      <c r="M215" s="2"/>
    </row>
    <row r="216" spans="3:13" ht="25.8">
      <c r="C216" s="33"/>
      <c r="D216" s="33" t="s">
        <v>18</v>
      </c>
      <c r="E216" s="53" t="s">
        <v>5</v>
      </c>
      <c r="F216" s="33"/>
      <c r="G216" s="33"/>
      <c r="H216" s="33"/>
      <c r="I216" s="34"/>
      <c r="J216" s="34"/>
      <c r="L216" s="2"/>
      <c r="M216" s="2"/>
    </row>
    <row r="217" spans="3:13" ht="25.8">
      <c r="C217" s="33"/>
      <c r="D217" s="33" t="s">
        <v>18</v>
      </c>
      <c r="E217" s="53" t="s">
        <v>5</v>
      </c>
      <c r="F217" s="33"/>
      <c r="G217" s="33"/>
      <c r="H217" s="33"/>
      <c r="I217" s="34"/>
      <c r="J217" s="34"/>
      <c r="L217" s="2"/>
      <c r="M217" s="2"/>
    </row>
    <row r="218" spans="3:13" ht="25.8">
      <c r="C218" s="33"/>
      <c r="D218" s="33" t="s">
        <v>18</v>
      </c>
      <c r="E218" s="53" t="s">
        <v>5</v>
      </c>
      <c r="F218" s="33"/>
      <c r="G218" s="33"/>
      <c r="H218" s="33"/>
      <c r="I218" s="34"/>
      <c r="J218" s="34"/>
      <c r="L218" s="2"/>
      <c r="M218" s="2"/>
    </row>
    <row r="219" spans="3:13" ht="25.8">
      <c r="C219" s="33"/>
      <c r="D219" s="33" t="s">
        <v>18</v>
      </c>
      <c r="E219" s="53" t="s">
        <v>5</v>
      </c>
      <c r="F219" s="33"/>
      <c r="G219" s="33"/>
      <c r="H219" s="33"/>
      <c r="I219" s="34"/>
      <c r="J219" s="34"/>
      <c r="L219" s="2"/>
      <c r="M219" s="2"/>
    </row>
    <row r="220" spans="3:13" ht="25.8">
      <c r="C220" s="33"/>
      <c r="D220" s="33" t="s">
        <v>18</v>
      </c>
      <c r="E220" s="53" t="s">
        <v>5</v>
      </c>
      <c r="F220" s="33"/>
      <c r="G220" s="33"/>
      <c r="H220" s="33"/>
      <c r="I220" s="34"/>
      <c r="J220" s="34"/>
      <c r="L220" s="2"/>
      <c r="M220" s="2"/>
    </row>
    <row r="221" spans="3:13" ht="25.8">
      <c r="C221" s="33"/>
      <c r="D221" s="33" t="s">
        <v>18</v>
      </c>
      <c r="E221" s="53" t="s">
        <v>5</v>
      </c>
      <c r="F221" s="33"/>
      <c r="G221" s="33"/>
      <c r="H221" s="33"/>
      <c r="I221" s="34"/>
      <c r="J221" s="34"/>
      <c r="L221" s="2"/>
      <c r="M221" s="2"/>
    </row>
    <row r="222" spans="3:13" ht="25.8">
      <c r="C222" s="33"/>
      <c r="D222" s="33" t="s">
        <v>18</v>
      </c>
      <c r="E222" s="53" t="s">
        <v>5</v>
      </c>
      <c r="F222" s="33"/>
      <c r="G222" s="33"/>
      <c r="H222" s="33"/>
      <c r="I222" s="34"/>
      <c r="J222" s="34"/>
      <c r="L222" s="2"/>
      <c r="M222" s="2"/>
    </row>
    <row r="223" spans="3:13" ht="25.8">
      <c r="C223" s="33"/>
      <c r="D223" s="33" t="s">
        <v>18</v>
      </c>
      <c r="E223" s="53" t="s">
        <v>5</v>
      </c>
      <c r="F223" s="33"/>
      <c r="G223" s="33"/>
      <c r="H223" s="33"/>
      <c r="I223" s="34"/>
      <c r="J223" s="34"/>
      <c r="L223" s="2"/>
      <c r="M223" s="2"/>
    </row>
    <row r="224" spans="3:13" ht="25.8">
      <c r="C224" s="33"/>
      <c r="D224" s="33" t="s">
        <v>18</v>
      </c>
      <c r="E224" s="53" t="s">
        <v>5</v>
      </c>
      <c r="F224" s="33"/>
      <c r="G224" s="33"/>
      <c r="H224" s="33"/>
      <c r="I224" s="34"/>
      <c r="J224" s="34"/>
      <c r="L224" s="2"/>
      <c r="M224" s="2"/>
    </row>
    <row r="225" spans="3:13" ht="25.8">
      <c r="C225" s="33"/>
      <c r="D225" s="33" t="s">
        <v>18</v>
      </c>
      <c r="E225" s="53" t="s">
        <v>5</v>
      </c>
      <c r="F225" s="33"/>
      <c r="G225" s="33"/>
      <c r="H225" s="33"/>
      <c r="I225" s="34"/>
      <c r="J225" s="34"/>
      <c r="L225" s="2"/>
      <c r="M225" s="2"/>
    </row>
    <row r="226" spans="3:13" ht="25.8">
      <c r="C226" s="33"/>
      <c r="D226" s="33" t="s">
        <v>18</v>
      </c>
      <c r="E226" s="53" t="s">
        <v>5</v>
      </c>
      <c r="F226" s="33"/>
      <c r="G226" s="33"/>
      <c r="H226" s="33"/>
      <c r="I226" s="34"/>
      <c r="J226" s="34"/>
      <c r="L226" s="2"/>
      <c r="M226" s="2"/>
    </row>
    <row r="227" spans="3:13" ht="25.8">
      <c r="C227" s="33"/>
      <c r="D227" s="33" t="s">
        <v>18</v>
      </c>
      <c r="E227" s="53" t="s">
        <v>5</v>
      </c>
      <c r="F227" s="33"/>
      <c r="G227" s="33"/>
      <c r="H227" s="33"/>
      <c r="I227" s="34"/>
      <c r="J227" s="34"/>
      <c r="L227" s="2"/>
      <c r="M227" s="2"/>
    </row>
    <row r="228" spans="3:13" ht="25.8">
      <c r="C228" s="33"/>
      <c r="D228" s="33" t="s">
        <v>18</v>
      </c>
      <c r="E228" s="53" t="s">
        <v>5</v>
      </c>
      <c r="F228" s="33"/>
      <c r="G228" s="33"/>
      <c r="H228" s="33"/>
      <c r="I228" s="34"/>
      <c r="J228" s="34"/>
      <c r="L228" s="2"/>
      <c r="M228" s="2"/>
    </row>
    <row r="229" spans="3:13" ht="25.8">
      <c r="C229" s="33"/>
      <c r="D229" s="33" t="s">
        <v>18</v>
      </c>
      <c r="E229" s="53" t="s">
        <v>5</v>
      </c>
      <c r="F229" s="33"/>
      <c r="G229" s="33"/>
      <c r="H229" s="33"/>
      <c r="I229" s="34"/>
      <c r="J229" s="34"/>
      <c r="L229" s="2"/>
      <c r="M229" s="2"/>
    </row>
    <row r="230" spans="3:13" ht="25.8">
      <c r="C230" s="33"/>
      <c r="D230" s="33" t="s">
        <v>18</v>
      </c>
      <c r="E230" s="53" t="s">
        <v>5</v>
      </c>
      <c r="F230" s="33"/>
      <c r="G230" s="33"/>
      <c r="H230" s="33"/>
      <c r="I230" s="34"/>
      <c r="J230" s="34"/>
      <c r="L230" s="2"/>
      <c r="M230" s="2"/>
    </row>
    <row r="231" spans="3:13" ht="25.8">
      <c r="C231" s="33"/>
      <c r="D231" s="33" t="s">
        <v>18</v>
      </c>
      <c r="E231" s="53" t="s">
        <v>5</v>
      </c>
      <c r="F231" s="33"/>
      <c r="G231" s="33"/>
      <c r="H231" s="33"/>
      <c r="I231" s="34"/>
      <c r="J231" s="34"/>
      <c r="L231" s="2"/>
      <c r="M231" s="2"/>
    </row>
    <row r="232" spans="3:13" ht="25.8">
      <c r="C232" s="33"/>
      <c r="D232" s="33" t="s">
        <v>18</v>
      </c>
      <c r="E232" s="53" t="s">
        <v>5</v>
      </c>
      <c r="F232" s="33"/>
      <c r="G232" s="33"/>
      <c r="H232" s="33"/>
      <c r="I232" s="34"/>
      <c r="J232" s="34"/>
      <c r="L232" s="2"/>
      <c r="M232" s="2"/>
    </row>
    <row r="233" spans="3:13" ht="25.8">
      <c r="C233" s="33"/>
      <c r="D233" s="33" t="s">
        <v>18</v>
      </c>
      <c r="E233" s="53" t="s">
        <v>5</v>
      </c>
      <c r="F233" s="33"/>
      <c r="G233" s="33"/>
      <c r="H233" s="33"/>
      <c r="I233" s="34"/>
      <c r="J233" s="34"/>
      <c r="L233" s="2"/>
      <c r="M233" s="2"/>
    </row>
    <row r="234" spans="3:13" ht="25.8">
      <c r="C234" s="33"/>
      <c r="D234" s="33" t="s">
        <v>18</v>
      </c>
      <c r="E234" s="53" t="s">
        <v>5</v>
      </c>
      <c r="F234" s="33"/>
      <c r="G234" s="33"/>
      <c r="H234" s="33"/>
      <c r="I234" s="34"/>
      <c r="J234" s="34"/>
      <c r="L234" s="2"/>
      <c r="M234" s="2"/>
    </row>
    <row r="235" spans="3:13" ht="25.8">
      <c r="C235" s="33"/>
      <c r="D235" s="33" t="s">
        <v>18</v>
      </c>
      <c r="E235" s="53" t="s">
        <v>5</v>
      </c>
      <c r="F235" s="33"/>
      <c r="G235" s="33"/>
      <c r="H235" s="33"/>
      <c r="I235" s="34"/>
      <c r="J235" s="34"/>
      <c r="L235" s="2"/>
      <c r="M235" s="2"/>
    </row>
    <row r="236" spans="3:13" ht="25.8">
      <c r="C236" s="33"/>
      <c r="D236" s="33" t="s">
        <v>18</v>
      </c>
      <c r="E236" s="53" t="s">
        <v>5</v>
      </c>
      <c r="F236" s="33"/>
      <c r="G236" s="33"/>
      <c r="H236" s="33"/>
      <c r="I236" s="34"/>
      <c r="J236" s="34"/>
      <c r="L236" s="2"/>
      <c r="M236" s="2"/>
    </row>
    <row r="237" spans="3:13" ht="25.8">
      <c r="C237" s="33"/>
      <c r="D237" s="33" t="s">
        <v>18</v>
      </c>
      <c r="E237" s="53" t="s">
        <v>5</v>
      </c>
      <c r="F237" s="33"/>
      <c r="G237" s="33"/>
      <c r="H237" s="33"/>
      <c r="I237" s="34"/>
      <c r="J237" s="34"/>
      <c r="L237" s="2"/>
      <c r="M237" s="2"/>
    </row>
    <row r="238" spans="3:13" ht="25.8">
      <c r="C238" s="33"/>
      <c r="D238" s="33" t="s">
        <v>18</v>
      </c>
      <c r="E238" s="53" t="s">
        <v>5</v>
      </c>
      <c r="F238" s="33"/>
      <c r="G238" s="33"/>
      <c r="H238" s="33"/>
      <c r="I238" s="34"/>
      <c r="J238" s="34"/>
      <c r="L238" s="2"/>
      <c r="M238" s="2"/>
    </row>
    <row r="239" spans="3:13" ht="25.8">
      <c r="C239" s="33"/>
      <c r="D239" s="33" t="s">
        <v>18</v>
      </c>
      <c r="E239" s="53" t="s">
        <v>5</v>
      </c>
      <c r="F239" s="33"/>
      <c r="G239" s="33"/>
      <c r="H239" s="33"/>
      <c r="I239" s="34"/>
      <c r="J239" s="34"/>
      <c r="L239" s="2"/>
      <c r="M239" s="2"/>
    </row>
    <row r="240" spans="3:13" ht="25.8">
      <c r="C240" s="33"/>
      <c r="D240" s="33" t="s">
        <v>18</v>
      </c>
      <c r="E240" s="53" t="s">
        <v>5</v>
      </c>
      <c r="F240" s="33"/>
      <c r="G240" s="33"/>
      <c r="H240" s="33"/>
      <c r="I240" s="34"/>
      <c r="J240" s="34"/>
      <c r="L240" s="2"/>
      <c r="M240" s="2"/>
    </row>
    <row r="241" spans="3:13" ht="25.8">
      <c r="C241" s="33"/>
      <c r="D241" s="33" t="s">
        <v>18</v>
      </c>
      <c r="E241" s="53" t="s">
        <v>5</v>
      </c>
      <c r="F241" s="33"/>
      <c r="G241" s="33"/>
      <c r="H241" s="33"/>
      <c r="I241" s="34"/>
      <c r="J241" s="34"/>
      <c r="L241" s="2"/>
      <c r="M241" s="2"/>
    </row>
    <row r="242" spans="3:13" ht="25.8">
      <c r="C242" s="33"/>
      <c r="D242" s="33" t="s">
        <v>18</v>
      </c>
      <c r="E242" s="53" t="s">
        <v>5</v>
      </c>
      <c r="F242" s="33"/>
      <c r="G242" s="33"/>
      <c r="H242" s="33"/>
      <c r="I242" s="34"/>
      <c r="J242" s="34"/>
      <c r="L242" s="2"/>
      <c r="M242" s="2"/>
    </row>
    <row r="243" spans="3:13" ht="25.8">
      <c r="C243" s="33"/>
      <c r="D243" s="33" t="s">
        <v>18</v>
      </c>
      <c r="E243" s="53" t="s">
        <v>5</v>
      </c>
      <c r="F243" s="33"/>
      <c r="G243" s="33"/>
      <c r="H243" s="33"/>
      <c r="I243" s="34"/>
      <c r="J243" s="34"/>
      <c r="L243" s="2"/>
      <c r="M243" s="2"/>
    </row>
    <row r="244" spans="3:13" ht="25.8">
      <c r="C244" s="33"/>
      <c r="D244" s="33" t="s">
        <v>18</v>
      </c>
      <c r="E244" s="53" t="s">
        <v>5</v>
      </c>
      <c r="F244" s="33"/>
      <c r="G244" s="33"/>
      <c r="H244" s="33"/>
      <c r="I244" s="34"/>
      <c r="J244" s="34"/>
      <c r="L244" s="2"/>
      <c r="M244" s="2"/>
    </row>
    <row r="245" spans="3:13" ht="25.8">
      <c r="C245" s="33"/>
      <c r="D245" s="33" t="s">
        <v>18</v>
      </c>
      <c r="E245" s="53" t="s">
        <v>5</v>
      </c>
      <c r="F245" s="33"/>
      <c r="G245" s="33"/>
      <c r="H245" s="33"/>
      <c r="I245" s="34"/>
      <c r="J245" s="34"/>
      <c r="L245" s="2"/>
      <c r="M245" s="2"/>
    </row>
    <row r="246" spans="3:13" ht="25.8">
      <c r="C246" s="33"/>
      <c r="D246" s="33" t="s">
        <v>18</v>
      </c>
      <c r="E246" s="53" t="s">
        <v>5</v>
      </c>
      <c r="F246" s="33"/>
      <c r="G246" s="33"/>
      <c r="H246" s="33"/>
      <c r="I246" s="34"/>
      <c r="J246" s="34"/>
      <c r="L246" s="2"/>
      <c r="M246" s="2"/>
    </row>
    <row r="247" spans="3:13" ht="25.8">
      <c r="C247" s="33"/>
      <c r="D247" s="33" t="s">
        <v>18</v>
      </c>
      <c r="E247" s="53" t="s">
        <v>5</v>
      </c>
      <c r="F247" s="33"/>
      <c r="G247" s="33"/>
      <c r="H247" s="33"/>
      <c r="I247" s="34"/>
      <c r="J247" s="34"/>
      <c r="L247" s="2"/>
      <c r="M247" s="2"/>
    </row>
    <row r="248" spans="3:13" ht="25.8">
      <c r="C248" s="33"/>
      <c r="D248" s="33" t="s">
        <v>18</v>
      </c>
      <c r="E248" s="53" t="s">
        <v>5</v>
      </c>
      <c r="F248" s="33"/>
      <c r="G248" s="33"/>
      <c r="H248" s="33"/>
      <c r="I248" s="34"/>
      <c r="J248" s="34"/>
      <c r="L248" s="2"/>
      <c r="M248" s="2"/>
    </row>
    <row r="249" spans="3:13" ht="25.8">
      <c r="C249" s="33"/>
      <c r="D249" s="33" t="s">
        <v>18</v>
      </c>
      <c r="E249" s="53" t="s">
        <v>5</v>
      </c>
      <c r="F249" s="33"/>
      <c r="G249" s="33"/>
      <c r="H249" s="33"/>
      <c r="I249" s="34"/>
      <c r="J249" s="34"/>
      <c r="L249" s="2"/>
      <c r="M249" s="2"/>
    </row>
    <row r="250" spans="3:13" ht="25.8">
      <c r="C250" s="33"/>
      <c r="D250" s="33" t="s">
        <v>18</v>
      </c>
      <c r="E250" s="53" t="s">
        <v>5</v>
      </c>
      <c r="F250" s="33"/>
      <c r="G250" s="33"/>
      <c r="H250" s="33"/>
      <c r="I250" s="34"/>
      <c r="J250" s="34"/>
      <c r="L250" s="2"/>
      <c r="M250" s="2"/>
    </row>
    <row r="251" spans="3:13" ht="25.8">
      <c r="C251" s="33"/>
      <c r="D251" s="33" t="s">
        <v>18</v>
      </c>
      <c r="E251" s="53" t="s">
        <v>5</v>
      </c>
      <c r="F251" s="33"/>
      <c r="G251" s="33"/>
      <c r="H251" s="33"/>
      <c r="I251" s="34"/>
      <c r="J251" s="34"/>
      <c r="L251" s="2"/>
      <c r="M251" s="2"/>
    </row>
    <row r="252" spans="3:13" ht="25.8">
      <c r="C252" s="33"/>
      <c r="D252" s="33" t="s">
        <v>18</v>
      </c>
      <c r="E252" s="53" t="s">
        <v>5</v>
      </c>
      <c r="F252" s="33"/>
      <c r="G252" s="33"/>
      <c r="H252" s="33"/>
      <c r="I252" s="34"/>
      <c r="J252" s="34"/>
      <c r="L252" s="2"/>
      <c r="M252" s="2"/>
    </row>
    <row r="253" spans="3:13" ht="25.8">
      <c r="C253" s="33"/>
      <c r="D253" s="33" t="s">
        <v>18</v>
      </c>
      <c r="E253" s="53" t="s">
        <v>5</v>
      </c>
      <c r="F253" s="33"/>
      <c r="G253" s="33"/>
      <c r="H253" s="33"/>
      <c r="I253" s="34"/>
      <c r="J253" s="34"/>
      <c r="L253" s="2"/>
      <c r="M253" s="2"/>
    </row>
    <row r="254" spans="3:13" ht="25.8">
      <c r="C254" s="33"/>
      <c r="D254" s="33" t="s">
        <v>18</v>
      </c>
      <c r="E254" s="53" t="s">
        <v>5</v>
      </c>
      <c r="F254" s="33"/>
      <c r="G254" s="33"/>
      <c r="H254" s="33"/>
      <c r="I254" s="34"/>
      <c r="J254" s="34"/>
      <c r="L254" s="2"/>
      <c r="M254" s="2"/>
    </row>
    <row r="255" spans="3:13" ht="25.8">
      <c r="C255" s="33"/>
      <c r="D255" s="33" t="s">
        <v>18</v>
      </c>
      <c r="E255" s="53" t="s">
        <v>5</v>
      </c>
      <c r="F255" s="33"/>
      <c r="G255" s="33"/>
      <c r="H255" s="33"/>
      <c r="I255" s="34"/>
      <c r="J255" s="34"/>
      <c r="L255" s="2"/>
      <c r="M255" s="2"/>
    </row>
    <row r="256" spans="3:13" ht="25.8">
      <c r="C256" s="33"/>
      <c r="D256" s="33" t="s">
        <v>18</v>
      </c>
      <c r="E256" s="53" t="s">
        <v>5</v>
      </c>
      <c r="F256" s="33"/>
      <c r="G256" s="33"/>
      <c r="H256" s="33"/>
      <c r="I256" s="34"/>
      <c r="J256" s="34"/>
      <c r="L256" s="2"/>
      <c r="M256" s="2"/>
    </row>
    <row r="257" spans="3:13" ht="25.8">
      <c r="C257" s="33"/>
      <c r="D257" s="33" t="s">
        <v>18</v>
      </c>
      <c r="E257" s="53" t="s">
        <v>5</v>
      </c>
      <c r="F257" s="33"/>
      <c r="G257" s="33"/>
      <c r="H257" s="33"/>
      <c r="I257" s="34"/>
      <c r="J257" s="34"/>
      <c r="L257" s="2"/>
      <c r="M257" s="2"/>
    </row>
    <row r="258" spans="3:13" ht="25.8">
      <c r="C258" s="33"/>
      <c r="D258" s="33" t="s">
        <v>18</v>
      </c>
      <c r="E258" s="53" t="s">
        <v>5</v>
      </c>
      <c r="F258" s="33"/>
      <c r="G258" s="33"/>
      <c r="H258" s="33"/>
      <c r="I258" s="34"/>
      <c r="J258" s="34"/>
      <c r="L258" s="2"/>
      <c r="M258" s="2"/>
    </row>
    <row r="259" spans="3:13" ht="25.8">
      <c r="C259" s="33"/>
      <c r="D259" s="33" t="s">
        <v>18</v>
      </c>
      <c r="E259" s="53" t="s">
        <v>5</v>
      </c>
      <c r="F259" s="33"/>
      <c r="G259" s="33"/>
      <c r="H259" s="33"/>
      <c r="I259" s="34"/>
      <c r="J259" s="34"/>
      <c r="L259" s="2"/>
      <c r="M259" s="2"/>
    </row>
    <row r="260" spans="3:13" ht="25.8">
      <c r="C260" s="33"/>
      <c r="D260" s="33" t="s">
        <v>18</v>
      </c>
      <c r="E260" s="53" t="s">
        <v>5</v>
      </c>
      <c r="F260" s="33"/>
      <c r="G260" s="33"/>
      <c r="H260" s="33"/>
      <c r="I260" s="34"/>
      <c r="J260" s="34"/>
      <c r="L260" s="2"/>
      <c r="M260" s="2"/>
    </row>
    <row r="261" spans="3:13" ht="25.8">
      <c r="C261" s="33"/>
      <c r="D261" s="33" t="s">
        <v>18</v>
      </c>
      <c r="E261" s="53" t="s">
        <v>5</v>
      </c>
      <c r="F261" s="33"/>
      <c r="G261" s="33"/>
      <c r="H261" s="33"/>
      <c r="I261" s="34"/>
      <c r="J261" s="34"/>
      <c r="L261" s="2"/>
      <c r="M261" s="2"/>
    </row>
    <row r="262" spans="3:13" ht="25.8">
      <c r="C262" s="33"/>
      <c r="D262" s="33" t="s">
        <v>18</v>
      </c>
      <c r="E262" s="53" t="s">
        <v>5</v>
      </c>
      <c r="F262" s="33"/>
      <c r="G262" s="33"/>
      <c r="H262" s="33"/>
      <c r="I262" s="34"/>
      <c r="J262" s="34"/>
      <c r="L262" s="2"/>
      <c r="M262" s="2"/>
    </row>
    <row r="263" spans="3:13" ht="25.8">
      <c r="C263" s="33"/>
      <c r="D263" s="33" t="s">
        <v>18</v>
      </c>
      <c r="E263" s="53" t="s">
        <v>5</v>
      </c>
      <c r="F263" s="33"/>
      <c r="G263" s="33"/>
      <c r="H263" s="33"/>
      <c r="I263" s="34"/>
      <c r="J263" s="34"/>
      <c r="L263" s="2"/>
      <c r="M263" s="2"/>
    </row>
    <row r="264" spans="3:13" ht="25.8">
      <c r="C264" s="33"/>
      <c r="D264" s="33" t="s">
        <v>18</v>
      </c>
      <c r="E264" s="53" t="s">
        <v>5</v>
      </c>
      <c r="F264" s="33"/>
      <c r="G264" s="33"/>
      <c r="H264" s="33"/>
      <c r="I264" s="34"/>
      <c r="J264" s="34"/>
      <c r="L264" s="2"/>
      <c r="M264" s="2"/>
    </row>
    <row r="265" spans="3:13" ht="25.8">
      <c r="C265" s="33"/>
      <c r="D265" s="33" t="s">
        <v>18</v>
      </c>
      <c r="E265" s="53" t="s">
        <v>5</v>
      </c>
      <c r="F265" s="33"/>
      <c r="G265" s="33"/>
      <c r="H265" s="33"/>
      <c r="I265" s="34"/>
      <c r="J265" s="34"/>
      <c r="L265" s="2"/>
      <c r="M265" s="2"/>
    </row>
    <row r="266" spans="3:13" ht="25.8">
      <c r="C266" s="33"/>
      <c r="D266" s="33" t="s">
        <v>18</v>
      </c>
      <c r="E266" s="53" t="s">
        <v>5</v>
      </c>
      <c r="F266" s="33"/>
      <c r="G266" s="33"/>
      <c r="H266" s="33"/>
      <c r="I266" s="34"/>
      <c r="J266" s="34"/>
      <c r="L266" s="2"/>
      <c r="M266" s="2"/>
    </row>
    <row r="267" spans="3:13" ht="25.8">
      <c r="C267" s="33"/>
      <c r="D267" s="33" t="s">
        <v>18</v>
      </c>
      <c r="E267" s="53" t="s">
        <v>5</v>
      </c>
      <c r="F267" s="33"/>
      <c r="G267" s="33"/>
      <c r="H267" s="33"/>
      <c r="I267" s="34"/>
      <c r="J267" s="34"/>
      <c r="L267" s="2"/>
      <c r="M267" s="2"/>
    </row>
    <row r="268" spans="3:13" ht="25.8">
      <c r="C268" s="33"/>
      <c r="D268" s="33" t="s">
        <v>18</v>
      </c>
      <c r="E268" s="53" t="s">
        <v>5</v>
      </c>
      <c r="F268" s="33"/>
      <c r="G268" s="33"/>
      <c r="H268" s="33"/>
      <c r="I268" s="34"/>
      <c r="J268" s="34"/>
      <c r="L268" s="2"/>
      <c r="M268" s="2"/>
    </row>
    <row r="269" spans="3:13" ht="25.8">
      <c r="C269" s="33"/>
      <c r="D269" s="33" t="s">
        <v>18</v>
      </c>
      <c r="E269" s="53" t="s">
        <v>5</v>
      </c>
      <c r="F269" s="33"/>
      <c r="G269" s="33"/>
      <c r="H269" s="33"/>
      <c r="I269" s="34"/>
      <c r="J269" s="34"/>
      <c r="L269" s="2"/>
      <c r="M269" s="2"/>
    </row>
    <row r="270" spans="3:13" ht="25.8">
      <c r="C270" s="33"/>
      <c r="D270" s="33" t="s">
        <v>18</v>
      </c>
      <c r="E270" s="53" t="s">
        <v>5</v>
      </c>
      <c r="F270" s="33"/>
      <c r="G270" s="33"/>
      <c r="H270" s="33"/>
      <c r="I270" s="34"/>
      <c r="J270" s="34"/>
      <c r="L270" s="2"/>
      <c r="M270" s="2"/>
    </row>
    <row r="271" spans="3:13" ht="25.8">
      <c r="C271" s="33"/>
      <c r="D271" s="33" t="s">
        <v>18</v>
      </c>
      <c r="E271" s="53" t="s">
        <v>5</v>
      </c>
      <c r="F271" s="33"/>
      <c r="G271" s="33"/>
      <c r="H271" s="33"/>
      <c r="I271" s="34"/>
      <c r="J271" s="34"/>
      <c r="L271" s="2"/>
      <c r="M271" s="2"/>
    </row>
    <row r="272" spans="3:13" ht="25.8">
      <c r="C272" s="33"/>
      <c r="D272" s="33" t="s">
        <v>18</v>
      </c>
      <c r="E272" s="53" t="s">
        <v>5</v>
      </c>
      <c r="F272" s="33"/>
      <c r="G272" s="33"/>
      <c r="H272" s="33"/>
      <c r="I272" s="34"/>
      <c r="J272" s="34"/>
      <c r="L272" s="2"/>
      <c r="M272" s="2"/>
    </row>
    <row r="273" spans="3:13" ht="25.8">
      <c r="C273" s="33"/>
      <c r="D273" s="33" t="s">
        <v>18</v>
      </c>
      <c r="E273" s="53" t="s">
        <v>5</v>
      </c>
      <c r="F273" s="33"/>
      <c r="G273" s="33"/>
      <c r="H273" s="33"/>
      <c r="I273" s="34"/>
      <c r="J273" s="34"/>
      <c r="L273" s="2"/>
      <c r="M273" s="2"/>
    </row>
    <row r="274" spans="3:13" ht="25.8">
      <c r="C274" s="33"/>
      <c r="D274" s="33" t="s">
        <v>18</v>
      </c>
      <c r="E274" s="53" t="s">
        <v>5</v>
      </c>
      <c r="F274" s="33"/>
      <c r="G274" s="33"/>
      <c r="H274" s="33"/>
      <c r="I274" s="34"/>
      <c r="J274" s="34"/>
      <c r="L274" s="2"/>
      <c r="M274" s="2"/>
    </row>
    <row r="275" spans="3:13" ht="25.8">
      <c r="C275" s="33"/>
      <c r="D275" s="33" t="s">
        <v>18</v>
      </c>
      <c r="E275" s="53" t="s">
        <v>5</v>
      </c>
      <c r="F275" s="33"/>
      <c r="G275" s="33"/>
      <c r="H275" s="33"/>
      <c r="I275" s="34"/>
      <c r="J275" s="34"/>
      <c r="L275" s="2"/>
      <c r="M275" s="2"/>
    </row>
    <row r="276" spans="3:13" ht="25.8">
      <c r="C276" s="33"/>
      <c r="D276" s="33" t="s">
        <v>18</v>
      </c>
      <c r="E276" s="53" t="s">
        <v>5</v>
      </c>
      <c r="F276" s="33"/>
      <c r="G276" s="33"/>
      <c r="H276" s="33"/>
      <c r="I276" s="34"/>
      <c r="J276" s="34"/>
      <c r="L276" s="2"/>
      <c r="M276" s="2"/>
    </row>
    <row r="277" spans="3:13" ht="25.8">
      <c r="C277" s="33"/>
      <c r="D277" s="33" t="s">
        <v>18</v>
      </c>
      <c r="E277" s="53" t="s">
        <v>5</v>
      </c>
      <c r="F277" s="33"/>
      <c r="G277" s="33"/>
      <c r="H277" s="33"/>
      <c r="I277" s="34"/>
      <c r="J277" s="34"/>
      <c r="L277" s="2"/>
      <c r="M277" s="2"/>
    </row>
    <row r="278" spans="3:13" ht="25.8">
      <c r="C278" s="33"/>
      <c r="D278" s="33" t="s">
        <v>18</v>
      </c>
      <c r="E278" s="53" t="s">
        <v>5</v>
      </c>
      <c r="F278" s="33"/>
      <c r="G278" s="33"/>
      <c r="H278" s="33"/>
      <c r="I278" s="34"/>
      <c r="J278" s="34"/>
      <c r="L278" s="2"/>
      <c r="M278" s="2"/>
    </row>
    <row r="279" spans="3:13" ht="25.8">
      <c r="C279" s="33"/>
      <c r="D279" s="33" t="s">
        <v>18</v>
      </c>
      <c r="E279" s="53" t="s">
        <v>5</v>
      </c>
      <c r="F279" s="33"/>
      <c r="G279" s="33"/>
      <c r="H279" s="33"/>
      <c r="I279" s="34"/>
      <c r="J279" s="34"/>
      <c r="L279" s="2"/>
      <c r="M279" s="2"/>
    </row>
    <row r="280" spans="3:13" ht="25.8">
      <c r="C280" s="33"/>
      <c r="D280" s="33" t="s">
        <v>18</v>
      </c>
      <c r="E280" s="53" t="s">
        <v>5</v>
      </c>
      <c r="F280" s="33"/>
      <c r="G280" s="33"/>
      <c r="H280" s="33"/>
      <c r="I280" s="34"/>
      <c r="J280" s="34"/>
      <c r="L280" s="2"/>
      <c r="M280" s="2"/>
    </row>
    <row r="281" spans="3:13" ht="25.8">
      <c r="C281" s="33"/>
      <c r="D281" s="33" t="s">
        <v>18</v>
      </c>
      <c r="E281" s="53" t="s">
        <v>5</v>
      </c>
      <c r="F281" s="33"/>
      <c r="G281" s="33"/>
      <c r="H281" s="33"/>
      <c r="I281" s="34"/>
      <c r="J281" s="34"/>
      <c r="L281" s="2"/>
      <c r="M281" s="2"/>
    </row>
    <row r="282" spans="3:13" ht="25.8">
      <c r="C282" s="33"/>
      <c r="D282" s="33" t="s">
        <v>18</v>
      </c>
      <c r="E282" s="53" t="s">
        <v>5</v>
      </c>
      <c r="F282" s="33"/>
      <c r="G282" s="33"/>
      <c r="H282" s="33"/>
      <c r="I282" s="34"/>
      <c r="J282" s="34"/>
      <c r="L282" s="2"/>
      <c r="M282" s="2"/>
    </row>
    <row r="283" spans="3:13" ht="25.8">
      <c r="C283" s="33"/>
      <c r="D283" s="33" t="s">
        <v>18</v>
      </c>
      <c r="E283" s="53" t="s">
        <v>5</v>
      </c>
      <c r="F283" s="33"/>
      <c r="G283" s="33"/>
      <c r="H283" s="33"/>
      <c r="I283" s="34"/>
      <c r="J283" s="34"/>
      <c r="L283" s="2"/>
      <c r="M283" s="2"/>
    </row>
    <row r="284" spans="3:13" ht="25.8">
      <c r="C284" s="33"/>
      <c r="D284" s="33" t="s">
        <v>18</v>
      </c>
      <c r="E284" s="53" t="s">
        <v>5</v>
      </c>
      <c r="F284" s="33"/>
      <c r="G284" s="33"/>
      <c r="H284" s="33"/>
      <c r="I284" s="34"/>
      <c r="J284" s="34"/>
      <c r="L284" s="2"/>
      <c r="M284" s="2"/>
    </row>
    <row r="285" spans="3:13" ht="25.8">
      <c r="C285" s="33"/>
      <c r="D285" s="33" t="s">
        <v>18</v>
      </c>
      <c r="E285" s="53" t="s">
        <v>5</v>
      </c>
      <c r="F285" s="33"/>
      <c r="G285" s="33"/>
      <c r="H285" s="33"/>
      <c r="I285" s="34"/>
      <c r="J285" s="34"/>
      <c r="L285" s="2"/>
      <c r="M285" s="2"/>
    </row>
    <row r="286" spans="3:13" ht="25.8">
      <c r="C286" s="33"/>
      <c r="D286" s="33" t="s">
        <v>18</v>
      </c>
      <c r="E286" s="53" t="s">
        <v>5</v>
      </c>
      <c r="F286" s="33"/>
      <c r="G286" s="33"/>
      <c r="H286" s="33"/>
      <c r="I286" s="34"/>
      <c r="J286" s="34"/>
      <c r="L286" s="2"/>
      <c r="M286" s="2"/>
    </row>
    <row r="287" spans="3:13" ht="25.8">
      <c r="C287" s="33"/>
      <c r="D287" s="33" t="s">
        <v>18</v>
      </c>
      <c r="E287" s="53" t="s">
        <v>5</v>
      </c>
      <c r="F287" s="33"/>
      <c r="G287" s="33"/>
      <c r="H287" s="33"/>
      <c r="I287" s="34"/>
      <c r="J287" s="34"/>
      <c r="L287" s="2"/>
      <c r="M287" s="2"/>
    </row>
    <row r="288" spans="3:13" ht="25.8">
      <c r="C288" s="33"/>
      <c r="D288" s="33" t="s">
        <v>18</v>
      </c>
      <c r="E288" s="53" t="s">
        <v>5</v>
      </c>
      <c r="F288" s="33"/>
      <c r="G288" s="33"/>
      <c r="H288" s="33"/>
      <c r="I288" s="34"/>
      <c r="J288" s="34"/>
      <c r="L288" s="2"/>
      <c r="M288" s="2"/>
    </row>
    <row r="289" spans="3:13" ht="25.8">
      <c r="C289" s="33"/>
      <c r="D289" s="33" t="s">
        <v>18</v>
      </c>
      <c r="E289" s="53" t="s">
        <v>5</v>
      </c>
      <c r="F289" s="33"/>
      <c r="G289" s="33"/>
      <c r="H289" s="33"/>
      <c r="I289" s="34"/>
      <c r="J289" s="34"/>
      <c r="L289" s="2"/>
      <c r="M289" s="2"/>
    </row>
    <row r="290" spans="3:13" ht="25.8">
      <c r="C290" s="33"/>
      <c r="D290" s="33" t="s">
        <v>18</v>
      </c>
      <c r="E290" s="53" t="s">
        <v>5</v>
      </c>
      <c r="F290" s="33"/>
      <c r="G290" s="33"/>
      <c r="H290" s="33"/>
      <c r="I290" s="34"/>
      <c r="J290" s="34"/>
      <c r="L290" s="2"/>
      <c r="M290" s="2"/>
    </row>
    <row r="291" spans="3:13" ht="25.8">
      <c r="C291" s="33"/>
      <c r="D291" s="33" t="s">
        <v>18</v>
      </c>
      <c r="E291" s="53" t="s">
        <v>5</v>
      </c>
      <c r="F291" s="33"/>
      <c r="G291" s="33"/>
      <c r="H291" s="33"/>
      <c r="I291" s="34"/>
      <c r="J291" s="34"/>
      <c r="L291" s="2"/>
      <c r="M291" s="2"/>
    </row>
    <row r="292" spans="3:13" ht="25.8">
      <c r="C292" s="33"/>
      <c r="D292" s="33" t="s">
        <v>18</v>
      </c>
      <c r="E292" s="53" t="s">
        <v>5</v>
      </c>
      <c r="F292" s="33"/>
      <c r="G292" s="33"/>
      <c r="H292" s="33"/>
      <c r="I292" s="34"/>
      <c r="J292" s="34"/>
      <c r="L292" s="2"/>
      <c r="M292" s="2"/>
    </row>
    <row r="293" spans="3:13" ht="25.8">
      <c r="C293" s="33"/>
      <c r="D293" s="33" t="s">
        <v>18</v>
      </c>
      <c r="E293" s="53" t="s">
        <v>5</v>
      </c>
      <c r="F293" s="33"/>
      <c r="G293" s="33"/>
      <c r="H293" s="33"/>
      <c r="I293" s="34"/>
      <c r="J293" s="34"/>
      <c r="L293" s="2"/>
      <c r="M293" s="2"/>
    </row>
    <row r="294" spans="3:13" ht="25.8">
      <c r="C294" s="33"/>
      <c r="D294" s="33" t="s">
        <v>18</v>
      </c>
      <c r="E294" s="53" t="s">
        <v>5</v>
      </c>
      <c r="F294" s="33"/>
      <c r="G294" s="33"/>
      <c r="H294" s="33"/>
      <c r="I294" s="34"/>
      <c r="J294" s="34"/>
      <c r="L294" s="2"/>
      <c r="M294" s="2"/>
    </row>
    <row r="295" spans="3:13" ht="25.8">
      <c r="C295" s="33"/>
      <c r="D295" s="33" t="s">
        <v>18</v>
      </c>
      <c r="E295" s="53" t="s">
        <v>5</v>
      </c>
      <c r="F295" s="33"/>
      <c r="G295" s="33"/>
      <c r="H295" s="33"/>
      <c r="I295" s="34"/>
      <c r="J295" s="34"/>
      <c r="L295" s="2"/>
      <c r="M295" s="2"/>
    </row>
    <row r="296" spans="3:13" ht="25.8">
      <c r="C296" s="33"/>
      <c r="D296" s="33" t="s">
        <v>18</v>
      </c>
      <c r="E296" s="53" t="s">
        <v>5</v>
      </c>
      <c r="F296" s="33"/>
      <c r="G296" s="33"/>
      <c r="H296" s="33"/>
      <c r="I296" s="34"/>
      <c r="J296" s="34"/>
      <c r="L296" s="2"/>
      <c r="M296" s="2"/>
    </row>
    <row r="297" spans="3:13" ht="25.8">
      <c r="C297" s="33"/>
      <c r="D297" s="33" t="s">
        <v>18</v>
      </c>
      <c r="E297" s="53" t="s">
        <v>5</v>
      </c>
      <c r="F297" s="33"/>
      <c r="G297" s="33"/>
      <c r="H297" s="33"/>
      <c r="I297" s="34"/>
      <c r="J297" s="34"/>
      <c r="L297" s="2"/>
      <c r="M297" s="2"/>
    </row>
    <row r="298" spans="3:13" ht="25.8">
      <c r="C298" s="33"/>
      <c r="D298" s="33" t="s">
        <v>18</v>
      </c>
      <c r="E298" s="53" t="s">
        <v>5</v>
      </c>
      <c r="F298" s="33"/>
      <c r="G298" s="33"/>
      <c r="H298" s="33"/>
      <c r="I298" s="34"/>
      <c r="J298" s="34"/>
      <c r="L298" s="2"/>
      <c r="M298" s="2"/>
    </row>
    <row r="299" spans="3:13" ht="25.8">
      <c r="C299" s="33"/>
      <c r="D299" s="33" t="s">
        <v>18</v>
      </c>
      <c r="E299" s="53" t="s">
        <v>5</v>
      </c>
      <c r="F299" s="33"/>
      <c r="G299" s="33"/>
      <c r="H299" s="33"/>
      <c r="I299" s="34"/>
      <c r="J299" s="34"/>
      <c r="L299" s="2"/>
      <c r="M299" s="2"/>
    </row>
    <row r="300" spans="3:13" ht="25.8">
      <c r="C300" s="33"/>
      <c r="D300" s="33" t="s">
        <v>18</v>
      </c>
      <c r="E300" s="53" t="s">
        <v>5</v>
      </c>
      <c r="F300" s="33"/>
      <c r="G300" s="33"/>
      <c r="H300" s="33"/>
      <c r="I300" s="34"/>
      <c r="J300" s="34"/>
      <c r="L300" s="2"/>
      <c r="M300" s="2"/>
    </row>
    <row r="301" spans="3:13" ht="25.8">
      <c r="C301" s="45"/>
      <c r="D301" s="45"/>
      <c r="E301" s="46"/>
      <c r="F301" s="45"/>
      <c r="G301" s="45"/>
      <c r="H301" s="45"/>
      <c r="I301" s="47"/>
      <c r="J301" s="47"/>
    </row>
    <row r="302" spans="3:13" ht="25.8">
      <c r="C302" s="45"/>
      <c r="D302" s="45"/>
      <c r="E302" s="46"/>
      <c r="F302" s="45"/>
      <c r="G302" s="45"/>
      <c r="H302" s="45"/>
      <c r="I302" s="47"/>
      <c r="J302" s="47"/>
    </row>
    <row r="303" spans="3:13" ht="25.8">
      <c r="C303" s="45"/>
      <c r="D303" s="45"/>
      <c r="E303" s="46"/>
      <c r="F303" s="45"/>
      <c r="G303" s="45"/>
      <c r="H303" s="45"/>
      <c r="I303" s="47"/>
      <c r="J303" s="47"/>
    </row>
    <row r="304" spans="3:13" ht="25.8">
      <c r="C304" s="45"/>
      <c r="D304" s="45"/>
      <c r="E304" s="46"/>
      <c r="F304" s="45"/>
      <c r="G304" s="45"/>
      <c r="H304" s="45"/>
      <c r="I304" s="47"/>
      <c r="J304" s="47"/>
    </row>
    <row r="305" spans="3:10" ht="25.8">
      <c r="C305" s="45"/>
      <c r="D305" s="45"/>
      <c r="E305" s="46"/>
      <c r="F305" s="45"/>
      <c r="G305" s="45"/>
      <c r="H305" s="45"/>
      <c r="I305" s="47"/>
      <c r="J305" s="47"/>
    </row>
    <row r="306" spans="3:10" ht="25.8">
      <c r="C306" s="45"/>
      <c r="D306" s="45"/>
      <c r="E306" s="46"/>
      <c r="F306" s="45"/>
      <c r="G306" s="45"/>
      <c r="H306" s="45"/>
      <c r="I306" s="47"/>
      <c r="J306" s="47"/>
    </row>
    <row r="307" spans="3:10" ht="25.8">
      <c r="C307" s="45"/>
      <c r="D307" s="45"/>
      <c r="E307" s="46"/>
      <c r="F307" s="45"/>
      <c r="G307" s="45"/>
      <c r="H307" s="45"/>
      <c r="I307" s="47"/>
      <c r="J307" s="47"/>
    </row>
    <row r="308" spans="3:10" ht="25.8">
      <c r="C308" s="45"/>
      <c r="D308" s="45"/>
      <c r="E308" s="46"/>
      <c r="F308" s="45"/>
      <c r="G308" s="45"/>
      <c r="H308" s="45"/>
      <c r="I308" s="47"/>
      <c r="J308" s="47"/>
    </row>
    <row r="309" spans="3:10" ht="25.8">
      <c r="C309" s="45"/>
      <c r="D309" s="45"/>
      <c r="E309" s="46"/>
      <c r="F309" s="45"/>
      <c r="G309" s="45"/>
      <c r="H309" s="45"/>
      <c r="I309" s="47"/>
      <c r="J309" s="47"/>
    </row>
    <row r="310" spans="3:10" ht="25.8">
      <c r="C310" s="45"/>
      <c r="D310" s="45"/>
      <c r="E310" s="46"/>
      <c r="F310" s="45"/>
      <c r="G310" s="45"/>
      <c r="H310" s="45"/>
      <c r="I310" s="47"/>
      <c r="J310" s="47"/>
    </row>
    <row r="311" spans="3:10" ht="25.8">
      <c r="C311" s="45"/>
      <c r="D311" s="45"/>
      <c r="E311" s="46"/>
      <c r="F311" s="45"/>
      <c r="G311" s="45"/>
      <c r="H311" s="45"/>
      <c r="I311" s="47"/>
      <c r="J311" s="47"/>
    </row>
    <row r="312" spans="3:10" ht="25.8">
      <c r="C312" s="45"/>
      <c r="D312" s="45"/>
      <c r="E312" s="46"/>
      <c r="F312" s="45"/>
      <c r="G312" s="45"/>
      <c r="H312" s="45"/>
      <c r="I312" s="47"/>
      <c r="J312" s="47"/>
    </row>
    <row r="313" spans="3:10" ht="25.8">
      <c r="C313" s="45"/>
      <c r="D313" s="45"/>
      <c r="E313" s="46"/>
      <c r="F313" s="45"/>
      <c r="G313" s="45"/>
      <c r="H313" s="45"/>
      <c r="I313" s="47"/>
      <c r="J313" s="47"/>
    </row>
    <row r="314" spans="3:10" ht="25.8">
      <c r="C314" s="45"/>
      <c r="D314" s="45"/>
      <c r="E314" s="46"/>
      <c r="F314" s="45"/>
      <c r="G314" s="45"/>
      <c r="H314" s="45"/>
      <c r="I314" s="47"/>
      <c r="J314" s="47"/>
    </row>
    <row r="315" spans="3:10" ht="25.8">
      <c r="C315" s="45"/>
      <c r="D315" s="45"/>
      <c r="E315" s="46"/>
      <c r="F315" s="45"/>
      <c r="G315" s="45"/>
      <c r="H315" s="45"/>
      <c r="I315" s="47"/>
      <c r="J315" s="47"/>
    </row>
    <row r="316" spans="3:10" ht="25.8">
      <c r="C316" s="45"/>
      <c r="D316" s="45"/>
      <c r="E316" s="46"/>
      <c r="F316" s="45"/>
      <c r="G316" s="45"/>
      <c r="H316" s="45"/>
      <c r="I316" s="47"/>
      <c r="J316" s="47"/>
    </row>
    <row r="317" spans="3:10" ht="25.8">
      <c r="C317" s="45"/>
      <c r="D317" s="45"/>
      <c r="E317" s="46"/>
      <c r="F317" s="45"/>
      <c r="G317" s="45"/>
      <c r="H317" s="45"/>
      <c r="I317" s="47"/>
      <c r="J317" s="47"/>
    </row>
    <row r="318" spans="3:10" ht="25.8">
      <c r="C318" s="45"/>
      <c r="D318" s="45"/>
      <c r="E318" s="46"/>
      <c r="F318" s="45"/>
      <c r="G318" s="45"/>
      <c r="H318" s="45"/>
      <c r="I318" s="47"/>
      <c r="J318" s="47"/>
    </row>
    <row r="319" spans="3:10" ht="25.8">
      <c r="C319" s="45"/>
      <c r="D319" s="45"/>
      <c r="E319" s="46"/>
      <c r="F319" s="45"/>
      <c r="G319" s="45"/>
      <c r="H319" s="45"/>
      <c r="I319" s="47"/>
      <c r="J319" s="47"/>
    </row>
    <row r="320" spans="3:10" ht="25.8">
      <c r="C320" s="45"/>
      <c r="D320" s="45"/>
      <c r="E320" s="46"/>
      <c r="F320" s="45"/>
      <c r="G320" s="45"/>
      <c r="H320" s="45"/>
      <c r="I320" s="47"/>
      <c r="J320" s="47"/>
    </row>
    <row r="321" spans="3:10" ht="25.8">
      <c r="C321" s="45"/>
      <c r="D321" s="45"/>
      <c r="E321" s="46"/>
      <c r="F321" s="45"/>
      <c r="G321" s="45"/>
      <c r="H321" s="45"/>
      <c r="I321" s="47"/>
      <c r="J321" s="47"/>
    </row>
    <row r="322" spans="3:10" ht="25.8">
      <c r="C322" s="45"/>
      <c r="D322" s="45"/>
      <c r="E322" s="46"/>
      <c r="F322" s="45"/>
      <c r="G322" s="45"/>
      <c r="H322" s="45"/>
      <c r="I322" s="47"/>
      <c r="J322" s="47"/>
    </row>
    <row r="323" spans="3:10" ht="25.8">
      <c r="C323" s="45"/>
      <c r="D323" s="45"/>
      <c r="E323" s="46"/>
      <c r="F323" s="45"/>
      <c r="G323" s="45"/>
      <c r="H323" s="45"/>
      <c r="I323" s="47"/>
      <c r="J323" s="47"/>
    </row>
    <row r="324" spans="3:10" ht="25.8">
      <c r="C324" s="45"/>
      <c r="D324" s="45"/>
      <c r="E324" s="46"/>
      <c r="F324" s="45"/>
      <c r="G324" s="45"/>
      <c r="H324" s="45"/>
      <c r="I324" s="47"/>
      <c r="J324" s="47"/>
    </row>
    <row r="325" spans="3:10" ht="25.8">
      <c r="C325" s="45"/>
      <c r="D325" s="45"/>
      <c r="E325" s="46"/>
      <c r="F325" s="45"/>
      <c r="G325" s="45"/>
      <c r="H325" s="45"/>
      <c r="I325" s="47"/>
      <c r="J325" s="47"/>
    </row>
    <row r="326" spans="3:10" ht="25.8">
      <c r="C326" s="45"/>
      <c r="D326" s="45"/>
      <c r="E326" s="46"/>
      <c r="F326" s="45"/>
      <c r="G326" s="45"/>
      <c r="H326" s="45"/>
      <c r="I326" s="47"/>
      <c r="J326" s="47"/>
    </row>
    <row r="327" spans="3:10" ht="25.8">
      <c r="C327" s="45"/>
      <c r="D327" s="45"/>
      <c r="E327" s="46"/>
      <c r="F327" s="45"/>
      <c r="G327" s="45"/>
      <c r="H327" s="45"/>
      <c r="I327" s="47"/>
      <c r="J327" s="47"/>
    </row>
    <row r="328" spans="3:10" ht="25.8">
      <c r="C328" s="45"/>
      <c r="D328" s="45"/>
      <c r="E328" s="46"/>
      <c r="F328" s="45"/>
      <c r="G328" s="45"/>
      <c r="H328" s="45"/>
      <c r="I328" s="47"/>
      <c r="J328" s="47"/>
    </row>
    <row r="329" spans="3:10" ht="25.8">
      <c r="C329" s="45"/>
      <c r="D329" s="45"/>
      <c r="E329" s="46"/>
      <c r="F329" s="45"/>
      <c r="G329" s="45"/>
      <c r="H329" s="45"/>
      <c r="I329" s="47"/>
      <c r="J329" s="47"/>
    </row>
    <row r="330" spans="3:10" ht="25.8">
      <c r="C330" s="45"/>
      <c r="D330" s="45"/>
      <c r="E330" s="46"/>
      <c r="F330" s="45"/>
      <c r="G330" s="45"/>
      <c r="H330" s="45"/>
      <c r="I330" s="47"/>
      <c r="J330" s="47"/>
    </row>
  </sheetData>
  <mergeCells count="3">
    <mergeCell ref="C2:J4"/>
    <mergeCell ref="L3:M4"/>
    <mergeCell ref="C5:J5"/>
  </mergeCells>
  <conditionalFormatting sqref="F1:F1048576">
    <cfRule type="containsText" dxfId="89" priority="3" operator="containsText" text="White">
      <formula>NOT(ISERROR(SEARCH("White",F1)))</formula>
    </cfRule>
    <cfRule type="containsText" dxfId="88" priority="4" operator="containsText" text="Brown">
      <formula>NOT(ISERROR(SEARCH("Brown",F1)))</formula>
    </cfRule>
    <cfRule type="containsText" dxfId="87" priority="5" operator="containsText" text="Red">
      <formula>NOT(ISERROR(SEARCH("Red",F1)))</formula>
    </cfRule>
    <cfRule type="containsText" dxfId="86" priority="6" operator="containsText" text="Green">
      <formula>NOT(ISERROR(SEARCH("Green",F1)))</formula>
    </cfRule>
    <cfRule type="containsText" dxfId="85" priority="7" operator="containsText" text="Orange (10)">
      <formula>NOT(ISERROR(SEARCH("Orange (10)",F1)))</formula>
    </cfRule>
    <cfRule type="containsText" dxfId="84" priority="8" operator="containsText" text="Blue">
      <formula>NOT(ISERROR(SEARCH("Blue",F1)))</formula>
    </cfRule>
    <cfRule type="containsText" dxfId="83" priority="9" operator="containsText" text="Purple (10)">
      <formula>NOT(ISERROR(SEARCH("Purple (10)",F1)))</formula>
    </cfRule>
  </conditionalFormatting>
  <conditionalFormatting sqref="J1:J1048576">
    <cfRule type="beginsWith" dxfId="82" priority="2" operator="beginsWith" text="0">
      <formula>LEFT(J1,LEN("0"))="0"</formula>
    </cfRule>
  </conditionalFormatting>
  <conditionalFormatting sqref="I1:I1048576">
    <cfRule type="beginsWith" dxfId="81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200-000000000000}">
      <formula1>"WithOut"</formula1>
    </dataValidation>
    <dataValidation type="list" allowBlank="1" showInputMessage="1" showErrorMessage="1" sqref="D7:D300" xr:uid="{00000000-0002-0000-0200-000001000000}">
      <formula1>"Sacks"</formula1>
    </dataValidation>
    <dataValidation type="list" allowBlank="1" showInputMessage="1" showErrorMessage="1" sqref="F2:F5 F7:F1048576" xr:uid="{00000000-0002-0000-0200-000002000000}">
      <formula1>"Purple (10), Orange (10),Red,Green,Brown, Blue,White"</formula1>
    </dataValidation>
    <dataValidation type="list" allowBlank="1" showInputMessage="1" showErrorMessage="1" sqref="G7:G1048576 G2:G5" xr:uid="{00000000-0002-0000-0200-000003000000}">
      <formula1>"(75*9),(75*13),(70*45*10)"</formula1>
    </dataValidation>
  </dataValidations>
  <pageMargins left="0.75" right="0.75" top="1" bottom="1" header="0.5" footer="0.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/>
  </sheetPr>
  <dimension ref="C1:M300"/>
  <sheetViews>
    <sheetView topLeftCell="B3" zoomScale="70" zoomScaleNormal="70" workbookViewId="0">
      <selection activeCell="M22" sqref="M2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138" t="s">
        <v>7</v>
      </c>
      <c r="D2" s="138"/>
      <c r="E2" s="138"/>
      <c r="F2" s="138"/>
      <c r="G2" s="138"/>
      <c r="H2" s="138"/>
      <c r="I2" s="138"/>
      <c r="J2" s="138"/>
      <c r="K2" s="1"/>
    </row>
    <row r="3" spans="3:13" ht="27.75" customHeight="1">
      <c r="C3" s="138"/>
      <c r="D3" s="138"/>
      <c r="E3" s="138"/>
      <c r="F3" s="138"/>
      <c r="G3" s="138"/>
      <c r="H3" s="138"/>
      <c r="I3" s="138"/>
      <c r="J3" s="138"/>
      <c r="K3" s="1"/>
      <c r="L3" s="134" t="s">
        <v>16</v>
      </c>
      <c r="M3" s="134"/>
    </row>
    <row r="4" spans="3:13" ht="27.75" customHeight="1">
      <c r="C4" s="138"/>
      <c r="D4" s="138"/>
      <c r="E4" s="138"/>
      <c r="F4" s="138"/>
      <c r="G4" s="138"/>
      <c r="H4" s="138"/>
      <c r="I4" s="138"/>
      <c r="J4" s="138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71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18</v>
      </c>
      <c r="E7" s="33" t="s">
        <v>4</v>
      </c>
      <c r="F7" s="50" t="s">
        <v>53</v>
      </c>
      <c r="G7" s="33" t="s">
        <v>29</v>
      </c>
      <c r="H7" s="33" t="s">
        <v>86</v>
      </c>
      <c r="I7" s="69">
        <v>7194</v>
      </c>
      <c r="J7" s="69">
        <v>7194</v>
      </c>
      <c r="K7" s="1"/>
      <c r="L7" s="33"/>
      <c r="M7" s="33"/>
    </row>
    <row r="8" spans="3:13" ht="25.8">
      <c r="C8" s="35">
        <v>46174</v>
      </c>
      <c r="D8" s="33" t="s">
        <v>18</v>
      </c>
      <c r="E8" s="33" t="s">
        <v>4</v>
      </c>
      <c r="F8" s="50" t="s">
        <v>45</v>
      </c>
      <c r="G8" s="33" t="s">
        <v>29</v>
      </c>
      <c r="H8" s="33" t="s">
        <v>86</v>
      </c>
      <c r="I8" s="69">
        <v>27016</v>
      </c>
      <c r="J8" s="69">
        <v>27016</v>
      </c>
      <c r="K8" s="1"/>
      <c r="L8" s="33"/>
      <c r="M8" s="33"/>
    </row>
    <row r="9" spans="3:13" ht="25.8">
      <c r="C9" s="35">
        <v>46174</v>
      </c>
      <c r="D9" s="33" t="s">
        <v>18</v>
      </c>
      <c r="E9" s="33" t="s">
        <v>4</v>
      </c>
      <c r="F9" s="50" t="s">
        <v>46</v>
      </c>
      <c r="G9" s="33" t="s">
        <v>29</v>
      </c>
      <c r="H9" s="33" t="s">
        <v>86</v>
      </c>
      <c r="I9" s="69">
        <v>25695</v>
      </c>
      <c r="J9" s="69">
        <v>25695</v>
      </c>
      <c r="K9" s="1"/>
      <c r="L9" s="33"/>
      <c r="M9" s="33"/>
    </row>
    <row r="10" spans="3:13" ht="25.8">
      <c r="C10" s="35">
        <v>46174</v>
      </c>
      <c r="D10" s="33" t="s">
        <v>18</v>
      </c>
      <c r="E10" s="33" t="s">
        <v>4</v>
      </c>
      <c r="F10" s="50" t="s">
        <v>47</v>
      </c>
      <c r="G10" s="33" t="s">
        <v>29</v>
      </c>
      <c r="H10" s="33" t="s">
        <v>86</v>
      </c>
      <c r="I10" s="69">
        <v>9176</v>
      </c>
      <c r="J10" s="69">
        <v>9176</v>
      </c>
      <c r="K10" s="1"/>
      <c r="L10" s="33"/>
      <c r="M10" s="33"/>
    </row>
    <row r="11" spans="3:13" ht="25.8">
      <c r="C11" s="35">
        <v>46174</v>
      </c>
      <c r="D11" s="33" t="s">
        <v>18</v>
      </c>
      <c r="E11" s="33" t="s">
        <v>4</v>
      </c>
      <c r="F11" s="50" t="s">
        <v>49</v>
      </c>
      <c r="G11" s="33" t="s">
        <v>29</v>
      </c>
      <c r="H11" s="33" t="s">
        <v>86</v>
      </c>
      <c r="I11" s="69">
        <v>41655</v>
      </c>
      <c r="J11" s="69">
        <v>41655</v>
      </c>
      <c r="K11" s="1"/>
      <c r="L11" s="33"/>
      <c r="M11" s="33"/>
    </row>
    <row r="12" spans="3:13" ht="25.8">
      <c r="C12" s="35">
        <v>46174</v>
      </c>
      <c r="D12" s="33" t="s">
        <v>18</v>
      </c>
      <c r="E12" s="33" t="s">
        <v>4</v>
      </c>
      <c r="F12" s="50" t="s">
        <v>48</v>
      </c>
      <c r="G12" s="33" t="s">
        <v>29</v>
      </c>
      <c r="H12" s="33" t="s">
        <v>86</v>
      </c>
      <c r="I12" s="69">
        <v>8004</v>
      </c>
      <c r="J12" s="69">
        <v>8004</v>
      </c>
      <c r="K12" s="1"/>
      <c r="L12" s="33"/>
      <c r="M12" s="33"/>
    </row>
    <row r="13" spans="3:13" ht="25.8">
      <c r="C13" s="35">
        <v>46174</v>
      </c>
      <c r="D13" s="33" t="s">
        <v>18</v>
      </c>
      <c r="E13" s="33" t="s">
        <v>4</v>
      </c>
      <c r="F13" s="50" t="s">
        <v>50</v>
      </c>
      <c r="G13" s="33" t="s">
        <v>29</v>
      </c>
      <c r="H13" s="33" t="s">
        <v>86</v>
      </c>
      <c r="I13" s="69">
        <v>10090</v>
      </c>
      <c r="J13" s="69">
        <v>10090</v>
      </c>
      <c r="K13" s="1"/>
      <c r="L13" s="33"/>
      <c r="M13" s="33"/>
    </row>
    <row r="14" spans="3:13" ht="25.8">
      <c r="C14" s="35">
        <v>46174</v>
      </c>
      <c r="D14" s="33" t="s">
        <v>18</v>
      </c>
      <c r="E14" s="33" t="s">
        <v>4</v>
      </c>
      <c r="F14" s="50" t="s">
        <v>51</v>
      </c>
      <c r="G14" s="33" t="s">
        <v>29</v>
      </c>
      <c r="H14" s="33" t="s">
        <v>86</v>
      </c>
      <c r="I14" s="69">
        <v>21187</v>
      </c>
      <c r="J14" s="69">
        <v>21187</v>
      </c>
      <c r="K14" s="1"/>
      <c r="L14" s="33"/>
      <c r="M14" s="33"/>
    </row>
    <row r="15" spans="3:13" ht="25.8">
      <c r="C15" s="35">
        <v>46174</v>
      </c>
      <c r="D15" s="33" t="s">
        <v>18</v>
      </c>
      <c r="E15" s="33" t="s">
        <v>4</v>
      </c>
      <c r="F15" s="50" t="s">
        <v>54</v>
      </c>
      <c r="G15" s="33" t="s">
        <v>29</v>
      </c>
      <c r="H15" s="33" t="s">
        <v>86</v>
      </c>
      <c r="I15" s="69">
        <v>2918</v>
      </c>
      <c r="J15" s="69">
        <v>2918</v>
      </c>
      <c r="K15" s="1"/>
      <c r="L15" s="33"/>
      <c r="M15" s="33"/>
    </row>
    <row r="16" spans="3:13" ht="25.8">
      <c r="C16" s="35">
        <v>46174</v>
      </c>
      <c r="D16" s="33" t="s">
        <v>18</v>
      </c>
      <c r="E16" s="33" t="s">
        <v>4</v>
      </c>
      <c r="F16" s="50" t="s">
        <v>60</v>
      </c>
      <c r="G16" s="53" t="s">
        <v>29</v>
      </c>
      <c r="H16" s="33" t="s">
        <v>86</v>
      </c>
      <c r="I16" s="59">
        <v>0</v>
      </c>
      <c r="J16" s="59">
        <v>0</v>
      </c>
      <c r="K16" s="1"/>
      <c r="L16" s="33"/>
      <c r="M16" s="33"/>
    </row>
    <row r="17" spans="3:13" ht="25.8">
      <c r="C17" s="35">
        <v>46174</v>
      </c>
      <c r="D17" s="33" t="s">
        <v>18</v>
      </c>
      <c r="E17" s="33" t="s">
        <v>4</v>
      </c>
      <c r="F17" s="50" t="s">
        <v>87</v>
      </c>
      <c r="G17" s="33" t="s">
        <v>29</v>
      </c>
      <c r="H17" s="33" t="s">
        <v>86</v>
      </c>
      <c r="I17" s="69">
        <v>0</v>
      </c>
      <c r="J17" s="69">
        <v>0</v>
      </c>
      <c r="K17" s="1"/>
      <c r="L17" s="33"/>
      <c r="M17" s="33"/>
    </row>
    <row r="18" spans="3:13" ht="25.8">
      <c r="C18" s="35">
        <v>46176</v>
      </c>
      <c r="D18" s="33" t="s">
        <v>18</v>
      </c>
      <c r="E18" s="33" t="s">
        <v>4</v>
      </c>
      <c r="F18" s="50" t="s">
        <v>46</v>
      </c>
      <c r="G18" s="33" t="s">
        <v>29</v>
      </c>
      <c r="H18" s="33" t="s">
        <v>88</v>
      </c>
      <c r="I18" s="69">
        <v>25695</v>
      </c>
      <c r="J18" s="69">
        <v>25650</v>
      </c>
      <c r="K18" s="1"/>
      <c r="L18" s="33"/>
      <c r="M18" s="33"/>
    </row>
    <row r="19" spans="3:13" ht="25.8">
      <c r="C19" s="35">
        <v>46176</v>
      </c>
      <c r="D19" s="33" t="s">
        <v>18</v>
      </c>
      <c r="E19" s="33" t="s">
        <v>4</v>
      </c>
      <c r="F19" s="50" t="s">
        <v>53</v>
      </c>
      <c r="G19" s="33" t="s">
        <v>29</v>
      </c>
      <c r="H19" s="33" t="s">
        <v>88</v>
      </c>
      <c r="I19" s="69">
        <v>7194</v>
      </c>
      <c r="J19" s="69">
        <v>6989</v>
      </c>
      <c r="K19" s="1"/>
      <c r="L19" s="33"/>
      <c r="M19" s="33"/>
    </row>
    <row r="20" spans="3:13" ht="25.8">
      <c r="C20" s="35">
        <v>46176</v>
      </c>
      <c r="D20" s="33" t="s">
        <v>18</v>
      </c>
      <c r="E20" s="33" t="s">
        <v>4</v>
      </c>
      <c r="F20" s="50" t="s">
        <v>50</v>
      </c>
      <c r="G20" s="33" t="s">
        <v>29</v>
      </c>
      <c r="H20" s="33" t="s">
        <v>88</v>
      </c>
      <c r="I20" s="69">
        <v>10090</v>
      </c>
      <c r="J20" s="69">
        <v>8725</v>
      </c>
      <c r="K20" s="1"/>
      <c r="L20" s="33"/>
      <c r="M20" s="33"/>
    </row>
    <row r="21" spans="3:13" ht="26.25" customHeight="1">
      <c r="C21" s="35">
        <v>46176</v>
      </c>
      <c r="D21" s="33" t="s">
        <v>18</v>
      </c>
      <c r="E21" s="33" t="s">
        <v>4</v>
      </c>
      <c r="F21" s="50" t="s">
        <v>54</v>
      </c>
      <c r="G21" s="33" t="s">
        <v>29</v>
      </c>
      <c r="H21" s="33" t="s">
        <v>88</v>
      </c>
      <c r="I21" s="69">
        <v>2918</v>
      </c>
      <c r="J21" s="69">
        <v>2108</v>
      </c>
      <c r="K21" s="1"/>
      <c r="L21" s="33"/>
      <c r="M21" s="33"/>
    </row>
    <row r="22" spans="3:13" ht="26.25" customHeight="1">
      <c r="C22" s="35"/>
      <c r="D22" s="33" t="s">
        <v>18</v>
      </c>
      <c r="E22" s="33" t="s">
        <v>4</v>
      </c>
      <c r="F22" s="50"/>
      <c r="G22" s="33"/>
      <c r="H22" s="33"/>
      <c r="I22" s="69"/>
      <c r="J22" s="69"/>
      <c r="K22" s="1"/>
      <c r="L22" s="33"/>
      <c r="M22" s="33"/>
    </row>
    <row r="23" spans="3:13" ht="26.25" customHeight="1">
      <c r="C23" s="35"/>
      <c r="D23" s="33" t="s">
        <v>18</v>
      </c>
      <c r="E23" s="33" t="s">
        <v>4</v>
      </c>
      <c r="F23" s="50"/>
      <c r="G23" s="33"/>
      <c r="H23" s="33"/>
      <c r="I23" s="69"/>
      <c r="J23" s="69"/>
      <c r="K23" s="1"/>
      <c r="L23" s="33"/>
      <c r="M23" s="33"/>
    </row>
    <row r="24" spans="3:13" ht="26.25" customHeight="1">
      <c r="C24" s="35"/>
      <c r="D24" s="33" t="s">
        <v>18</v>
      </c>
      <c r="E24" s="33" t="s">
        <v>4</v>
      </c>
      <c r="F24" s="50"/>
      <c r="G24" s="33"/>
      <c r="H24" s="33"/>
      <c r="I24" s="69"/>
      <c r="J24" s="69"/>
      <c r="K24" s="1"/>
      <c r="L24" s="33"/>
      <c r="M24" s="33"/>
    </row>
    <row r="25" spans="3:13" ht="26.25" customHeight="1">
      <c r="C25" s="35"/>
      <c r="D25" s="33" t="s">
        <v>18</v>
      </c>
      <c r="E25" s="33" t="s">
        <v>4</v>
      </c>
      <c r="F25" s="50"/>
      <c r="G25" s="33"/>
      <c r="H25" s="33"/>
      <c r="I25" s="69"/>
      <c r="J25" s="69"/>
      <c r="K25" s="1"/>
      <c r="L25" s="33"/>
      <c r="M25" s="33"/>
    </row>
    <row r="26" spans="3:13" ht="26.25" customHeight="1">
      <c r="C26" s="35"/>
      <c r="D26" s="33" t="s">
        <v>18</v>
      </c>
      <c r="E26" s="33" t="s">
        <v>4</v>
      </c>
      <c r="F26" s="50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33" t="s">
        <v>18</v>
      </c>
      <c r="E27" s="33" t="s">
        <v>4</v>
      </c>
      <c r="F27" s="50"/>
      <c r="G27" s="33"/>
      <c r="H27" s="33"/>
      <c r="I27" s="69"/>
      <c r="J27" s="69"/>
      <c r="K27" s="1"/>
      <c r="L27" s="33"/>
      <c r="M27" s="33"/>
    </row>
    <row r="28" spans="3:13" ht="26.25" customHeight="1">
      <c r="C28" s="35"/>
      <c r="D28" s="33" t="s">
        <v>18</v>
      </c>
      <c r="E28" s="33" t="s">
        <v>4</v>
      </c>
      <c r="F28" s="50"/>
      <c r="G28" s="33"/>
      <c r="H28" s="33"/>
      <c r="I28" s="69"/>
      <c r="J28" s="69"/>
      <c r="K28" s="1"/>
      <c r="L28" s="33"/>
      <c r="M28" s="33"/>
    </row>
    <row r="29" spans="3:13" ht="26.25" customHeight="1">
      <c r="C29" s="35"/>
      <c r="D29" s="33" t="s">
        <v>18</v>
      </c>
      <c r="E29" s="33" t="s">
        <v>4</v>
      </c>
      <c r="F29" s="50"/>
      <c r="G29" s="33"/>
      <c r="H29" s="33"/>
      <c r="I29" s="69"/>
      <c r="J29" s="69"/>
      <c r="K29" s="1"/>
      <c r="L29" s="33"/>
      <c r="M29" s="33"/>
    </row>
    <row r="30" spans="3:13" ht="26.25" customHeight="1">
      <c r="C30" s="35"/>
      <c r="D30" s="33" t="s">
        <v>18</v>
      </c>
      <c r="E30" s="33" t="s">
        <v>4</v>
      </c>
      <c r="F30" s="50"/>
      <c r="G30" s="33"/>
      <c r="H30" s="33"/>
      <c r="I30" s="69"/>
      <c r="J30" s="69"/>
      <c r="K30" s="1"/>
      <c r="L30" s="33"/>
      <c r="M30" s="33"/>
    </row>
    <row r="31" spans="3:13" ht="26.25" customHeight="1">
      <c r="C31" s="35"/>
      <c r="D31" s="33" t="s">
        <v>18</v>
      </c>
      <c r="E31" s="33" t="s">
        <v>4</v>
      </c>
      <c r="F31" s="50"/>
      <c r="G31" s="33"/>
      <c r="H31" s="33"/>
      <c r="I31" s="69"/>
      <c r="J31" s="69"/>
      <c r="K31" s="1"/>
      <c r="L31" s="33"/>
      <c r="M31" s="33"/>
    </row>
    <row r="32" spans="3:13" ht="26.25" customHeight="1">
      <c r="C32" s="35"/>
      <c r="D32" s="33" t="s">
        <v>18</v>
      </c>
      <c r="E32" s="33" t="s">
        <v>4</v>
      </c>
      <c r="F32" s="50"/>
      <c r="G32" s="33"/>
      <c r="H32" s="33"/>
      <c r="I32" s="69"/>
      <c r="J32" s="69"/>
      <c r="K32" s="1"/>
      <c r="L32" s="33"/>
      <c r="M32" s="33"/>
    </row>
    <row r="33" spans="3:13" ht="26.25" customHeight="1">
      <c r="C33" s="35"/>
      <c r="D33" s="33" t="s">
        <v>18</v>
      </c>
      <c r="E33" s="33" t="s">
        <v>4</v>
      </c>
      <c r="F33" s="50"/>
      <c r="G33" s="33"/>
      <c r="H33" s="33"/>
      <c r="I33" s="69"/>
      <c r="J33" s="69"/>
      <c r="K33" s="1"/>
      <c r="L33" s="33"/>
      <c r="M33" s="33"/>
    </row>
    <row r="34" spans="3:13" ht="26.25" customHeight="1">
      <c r="C34" s="35"/>
      <c r="D34" s="33" t="s">
        <v>18</v>
      </c>
      <c r="E34" s="33" t="s">
        <v>4</v>
      </c>
      <c r="F34" s="50"/>
      <c r="G34" s="33"/>
      <c r="H34" s="33"/>
      <c r="I34" s="69"/>
      <c r="J34" s="69"/>
      <c r="K34" s="1"/>
      <c r="L34" s="33"/>
      <c r="M34" s="33"/>
    </row>
    <row r="35" spans="3:13" ht="26.25" customHeight="1">
      <c r="C35" s="35"/>
      <c r="D35" s="33" t="s">
        <v>18</v>
      </c>
      <c r="E35" s="33" t="s">
        <v>4</v>
      </c>
      <c r="F35" s="50"/>
      <c r="G35" s="33"/>
      <c r="H35" s="33"/>
      <c r="I35" s="69"/>
      <c r="J35" s="69"/>
      <c r="K35" s="1"/>
      <c r="L35" s="53"/>
      <c r="M35" s="53"/>
    </row>
    <row r="36" spans="3:13" ht="26.25" customHeight="1">
      <c r="C36" s="35"/>
      <c r="D36" s="33" t="s">
        <v>18</v>
      </c>
      <c r="E36" s="33" t="s">
        <v>4</v>
      </c>
      <c r="F36" s="50"/>
      <c r="G36" s="33"/>
      <c r="H36" s="33"/>
      <c r="I36" s="69"/>
      <c r="J36" s="69"/>
      <c r="K36" s="1"/>
      <c r="L36" s="33"/>
      <c r="M36" s="33"/>
    </row>
    <row r="37" spans="3:13" ht="26.25" customHeight="1">
      <c r="C37" s="35"/>
      <c r="D37" s="33" t="s">
        <v>18</v>
      </c>
      <c r="E37" s="33" t="s">
        <v>4</v>
      </c>
      <c r="F37" s="50"/>
      <c r="G37" s="33"/>
      <c r="H37" s="33"/>
      <c r="I37" s="69"/>
      <c r="J37" s="69"/>
      <c r="K37" s="1"/>
      <c r="L37" s="33"/>
      <c r="M37" s="33"/>
    </row>
    <row r="38" spans="3:13" ht="26.25" customHeight="1">
      <c r="C38" s="35"/>
      <c r="D38" s="33" t="s">
        <v>18</v>
      </c>
      <c r="E38" s="33" t="s">
        <v>4</v>
      </c>
      <c r="F38" s="50"/>
      <c r="G38" s="33"/>
      <c r="H38" s="33"/>
      <c r="I38" s="33"/>
      <c r="J38" s="69"/>
      <c r="L38" s="33"/>
      <c r="M38" s="33"/>
    </row>
    <row r="39" spans="3:13" ht="26.25" customHeight="1">
      <c r="C39" s="35"/>
      <c r="D39" s="33" t="s">
        <v>18</v>
      </c>
      <c r="E39" s="33" t="s">
        <v>4</v>
      </c>
      <c r="F39" s="50"/>
      <c r="G39" s="33"/>
      <c r="H39" s="33"/>
      <c r="I39" s="33"/>
      <c r="J39" s="69"/>
      <c r="L39" s="33"/>
      <c r="M39" s="33"/>
    </row>
    <row r="40" spans="3:13" ht="26.25" customHeight="1">
      <c r="C40" s="35"/>
      <c r="D40" s="33" t="s">
        <v>18</v>
      </c>
      <c r="E40" s="33" t="s">
        <v>4</v>
      </c>
      <c r="F40" s="50"/>
      <c r="G40" s="33"/>
      <c r="H40" s="33"/>
      <c r="I40" s="33"/>
      <c r="J40" s="69"/>
      <c r="L40" s="33"/>
      <c r="M40" s="33"/>
    </row>
    <row r="41" spans="3:13" ht="26.25" customHeight="1">
      <c r="C41" s="35"/>
      <c r="D41" s="33" t="s">
        <v>18</v>
      </c>
      <c r="E41" s="33" t="s">
        <v>4</v>
      </c>
      <c r="F41" s="50"/>
      <c r="G41" s="33"/>
      <c r="H41" s="33"/>
      <c r="I41" s="33"/>
      <c r="J41" s="69"/>
      <c r="L41" s="33"/>
      <c r="M41" s="33"/>
    </row>
    <row r="42" spans="3:13" ht="26.25" customHeight="1">
      <c r="C42" s="35"/>
      <c r="D42" s="33" t="s">
        <v>18</v>
      </c>
      <c r="E42" s="33" t="s">
        <v>4</v>
      </c>
      <c r="F42" s="50"/>
      <c r="G42" s="33"/>
      <c r="H42" s="33"/>
      <c r="I42" s="33"/>
      <c r="J42" s="69"/>
      <c r="L42" s="33"/>
      <c r="M42" s="33"/>
    </row>
    <row r="43" spans="3:13" ht="26.25" customHeight="1">
      <c r="C43" s="57"/>
      <c r="D43" s="33" t="s">
        <v>18</v>
      </c>
      <c r="E43" s="33" t="s">
        <v>4</v>
      </c>
      <c r="F43" s="50"/>
      <c r="G43" s="33"/>
      <c r="H43" s="33"/>
      <c r="I43" s="33"/>
      <c r="J43" s="69"/>
      <c r="L43" s="33"/>
      <c r="M43" s="33"/>
    </row>
    <row r="44" spans="3:13" ht="26.25" customHeight="1">
      <c r="C44" s="57"/>
      <c r="D44" s="33" t="s">
        <v>18</v>
      </c>
      <c r="E44" s="33" t="s">
        <v>4</v>
      </c>
      <c r="F44" s="50"/>
      <c r="G44" s="33"/>
      <c r="H44" s="33"/>
      <c r="I44" s="33"/>
      <c r="J44" s="69"/>
      <c r="L44" s="33"/>
      <c r="M44" s="33"/>
    </row>
    <row r="45" spans="3:13" ht="26.25" customHeight="1">
      <c r="C45" s="57"/>
      <c r="D45" s="33" t="s">
        <v>18</v>
      </c>
      <c r="E45" s="33" t="s">
        <v>4</v>
      </c>
      <c r="F45" s="50"/>
      <c r="G45" s="33"/>
      <c r="H45" s="33"/>
      <c r="I45" s="33"/>
      <c r="J45" s="69"/>
      <c r="L45" s="33"/>
      <c r="M45" s="33"/>
    </row>
    <row r="46" spans="3:13" ht="26.25" customHeight="1">
      <c r="C46" s="57"/>
      <c r="D46" s="33" t="s">
        <v>18</v>
      </c>
      <c r="E46" s="33" t="s">
        <v>4</v>
      </c>
      <c r="F46" s="50"/>
      <c r="G46" s="48"/>
      <c r="H46" s="48"/>
      <c r="I46" s="48"/>
      <c r="J46" s="70"/>
      <c r="L46" s="48"/>
      <c r="M46" s="48"/>
    </row>
    <row r="47" spans="3:13" ht="26.25" customHeight="1">
      <c r="C47" s="57"/>
      <c r="D47" s="33" t="s">
        <v>18</v>
      </c>
      <c r="E47" s="33" t="s">
        <v>4</v>
      </c>
      <c r="F47" s="50"/>
      <c r="G47" s="48"/>
      <c r="H47" s="48"/>
      <c r="I47" s="48"/>
      <c r="J47" s="70"/>
      <c r="L47" s="48"/>
      <c r="M47" s="48"/>
    </row>
    <row r="48" spans="3:13" ht="26.25" customHeight="1">
      <c r="C48" s="57"/>
      <c r="D48" s="33" t="s">
        <v>18</v>
      </c>
      <c r="E48" s="33" t="s">
        <v>4</v>
      </c>
      <c r="F48" s="50"/>
      <c r="G48" s="48"/>
      <c r="H48" s="48"/>
      <c r="I48" s="48"/>
      <c r="J48" s="70"/>
      <c r="L48" s="48"/>
      <c r="M48" s="48"/>
    </row>
    <row r="49" spans="3:13" ht="26.25" customHeight="1">
      <c r="C49" s="33"/>
      <c r="D49" s="33" t="s">
        <v>18</v>
      </c>
      <c r="E49" s="33" t="s">
        <v>4</v>
      </c>
      <c r="F49" s="50"/>
      <c r="G49" s="33"/>
      <c r="H49" s="33"/>
      <c r="I49" s="33"/>
      <c r="J49" s="69"/>
      <c r="L49" s="33"/>
      <c r="M49" s="33"/>
    </row>
    <row r="50" spans="3:13" ht="26.25" customHeight="1">
      <c r="C50" s="33"/>
      <c r="D50" s="33" t="s">
        <v>18</v>
      </c>
      <c r="E50" s="33" t="s">
        <v>4</v>
      </c>
      <c r="F50" s="50"/>
      <c r="G50" s="33"/>
      <c r="H50" s="33"/>
      <c r="I50" s="33"/>
      <c r="J50" s="69"/>
      <c r="L50" s="33"/>
      <c r="M50" s="33"/>
    </row>
    <row r="51" spans="3:13" ht="26.25" customHeight="1">
      <c r="C51" s="33"/>
      <c r="D51" s="33" t="s">
        <v>18</v>
      </c>
      <c r="E51" s="33" t="s">
        <v>4</v>
      </c>
      <c r="F51" s="50"/>
      <c r="G51" s="33"/>
      <c r="H51" s="33"/>
      <c r="I51" s="33"/>
      <c r="J51" s="69"/>
      <c r="L51" s="33"/>
      <c r="M51" s="33"/>
    </row>
    <row r="52" spans="3:13" ht="26.25" customHeight="1">
      <c r="C52" s="33"/>
      <c r="D52" s="33" t="s">
        <v>18</v>
      </c>
      <c r="E52" s="33" t="s">
        <v>4</v>
      </c>
      <c r="F52" s="50"/>
      <c r="G52" s="33"/>
      <c r="H52" s="33"/>
      <c r="I52" s="33"/>
      <c r="J52" s="69"/>
      <c r="L52" s="33"/>
      <c r="M52" s="33"/>
    </row>
    <row r="53" spans="3:13" ht="26.25" customHeight="1">
      <c r="C53" s="33"/>
      <c r="D53" s="33" t="s">
        <v>18</v>
      </c>
      <c r="E53" s="33" t="s">
        <v>4</v>
      </c>
      <c r="F53" s="50"/>
      <c r="G53" s="33"/>
      <c r="H53" s="33"/>
      <c r="I53" s="33"/>
      <c r="J53" s="69"/>
      <c r="L53" s="33"/>
      <c r="M53" s="33"/>
    </row>
    <row r="54" spans="3:13" ht="26.25" customHeight="1">
      <c r="C54" s="33"/>
      <c r="D54" s="33" t="s">
        <v>18</v>
      </c>
      <c r="E54" s="33" t="s">
        <v>4</v>
      </c>
      <c r="F54" s="50"/>
      <c r="G54" s="33"/>
      <c r="H54" s="33"/>
      <c r="I54" s="33"/>
      <c r="J54" s="69"/>
      <c r="L54" s="33"/>
      <c r="M54" s="33"/>
    </row>
    <row r="55" spans="3:13" ht="26.25" customHeight="1">
      <c r="C55" s="33"/>
      <c r="D55" s="33" t="s">
        <v>18</v>
      </c>
      <c r="E55" s="33" t="s">
        <v>4</v>
      </c>
      <c r="F55" s="50"/>
      <c r="G55" s="33"/>
      <c r="H55" s="33"/>
      <c r="I55" s="33"/>
      <c r="J55" s="69"/>
      <c r="L55" s="33"/>
      <c r="M55" s="33"/>
    </row>
    <row r="56" spans="3:13" ht="26.25" customHeight="1">
      <c r="C56" s="33"/>
      <c r="D56" s="33" t="s">
        <v>18</v>
      </c>
      <c r="E56" s="33" t="s">
        <v>4</v>
      </c>
      <c r="F56" s="50"/>
      <c r="G56" s="33"/>
      <c r="H56" s="33"/>
      <c r="I56" s="33"/>
      <c r="J56" s="69"/>
      <c r="L56" s="33"/>
      <c r="M56" s="33"/>
    </row>
    <row r="57" spans="3:13" ht="26.25" customHeight="1">
      <c r="C57" s="33"/>
      <c r="D57" s="33" t="s">
        <v>18</v>
      </c>
      <c r="E57" s="33" t="s">
        <v>4</v>
      </c>
      <c r="F57" s="50"/>
      <c r="G57" s="33"/>
      <c r="H57" s="33"/>
      <c r="I57" s="33"/>
      <c r="J57" s="69"/>
      <c r="L57" s="33"/>
      <c r="M57" s="33"/>
    </row>
    <row r="58" spans="3:13" ht="26.25" customHeight="1">
      <c r="C58" s="33"/>
      <c r="D58" s="33" t="s">
        <v>18</v>
      </c>
      <c r="E58" s="33" t="s">
        <v>4</v>
      </c>
      <c r="F58" s="50"/>
      <c r="G58" s="33"/>
      <c r="H58" s="33"/>
      <c r="I58" s="33"/>
      <c r="J58" s="69"/>
      <c r="L58" s="33"/>
      <c r="M58" s="33"/>
    </row>
    <row r="59" spans="3:13" ht="25.8">
      <c r="C59" s="33"/>
      <c r="D59" s="33" t="s">
        <v>18</v>
      </c>
      <c r="E59" s="33" t="s">
        <v>4</v>
      </c>
      <c r="F59" s="50"/>
      <c r="G59" s="33"/>
      <c r="H59" s="33"/>
      <c r="I59" s="33"/>
      <c r="J59" s="34"/>
      <c r="L59" s="33"/>
      <c r="M59" s="33"/>
    </row>
    <row r="60" spans="3:13" ht="25.8">
      <c r="C60" s="33"/>
      <c r="D60" s="33" t="s">
        <v>18</v>
      </c>
      <c r="E60" s="33" t="s">
        <v>4</v>
      </c>
      <c r="F60" s="50"/>
      <c r="G60" s="33"/>
      <c r="H60" s="33"/>
      <c r="I60" s="33"/>
      <c r="J60" s="34"/>
      <c r="L60" s="33"/>
      <c r="M60" s="33"/>
    </row>
    <row r="61" spans="3:13" ht="25.8">
      <c r="C61" s="33"/>
      <c r="D61" s="33" t="s">
        <v>18</v>
      </c>
      <c r="E61" s="33" t="s">
        <v>4</v>
      </c>
      <c r="F61" s="50"/>
      <c r="G61" s="33"/>
      <c r="H61" s="33"/>
      <c r="I61" s="33"/>
      <c r="J61" s="34"/>
      <c r="L61" s="33"/>
      <c r="M61" s="33"/>
    </row>
    <row r="62" spans="3:13" ht="25.8">
      <c r="C62" s="33"/>
      <c r="D62" s="33" t="s">
        <v>18</v>
      </c>
      <c r="E62" s="33" t="s">
        <v>4</v>
      </c>
      <c r="F62" s="50"/>
      <c r="G62" s="33"/>
      <c r="H62" s="33"/>
      <c r="I62" s="33"/>
      <c r="J62" s="34"/>
      <c r="L62" s="33"/>
      <c r="M62" s="33"/>
    </row>
    <row r="63" spans="3:13" ht="25.8">
      <c r="C63" s="33"/>
      <c r="D63" s="33" t="s">
        <v>18</v>
      </c>
      <c r="E63" s="33" t="s">
        <v>4</v>
      </c>
      <c r="F63" s="50"/>
      <c r="G63" s="33"/>
      <c r="H63" s="33"/>
      <c r="I63" s="33"/>
      <c r="J63" s="34"/>
      <c r="L63" s="33"/>
      <c r="M63" s="33"/>
    </row>
    <row r="64" spans="3:13" ht="25.8">
      <c r="C64" s="33"/>
      <c r="D64" s="33" t="s">
        <v>18</v>
      </c>
      <c r="E64" s="33" t="s">
        <v>4</v>
      </c>
      <c r="F64" s="50"/>
      <c r="G64" s="33"/>
      <c r="H64" s="33"/>
      <c r="I64" s="33"/>
      <c r="J64" s="34"/>
      <c r="L64" s="33"/>
      <c r="M64" s="33"/>
    </row>
    <row r="65" spans="3:13" ht="25.8">
      <c r="C65" s="33"/>
      <c r="D65" s="33" t="s">
        <v>18</v>
      </c>
      <c r="E65" s="33" t="s">
        <v>4</v>
      </c>
      <c r="F65" s="50"/>
      <c r="G65" s="33"/>
      <c r="H65" s="33"/>
      <c r="I65" s="33"/>
      <c r="J65" s="34"/>
      <c r="L65" s="33"/>
      <c r="M65" s="33"/>
    </row>
    <row r="66" spans="3:13" ht="25.8">
      <c r="C66" s="33"/>
      <c r="D66" s="33" t="s">
        <v>18</v>
      </c>
      <c r="E66" s="33" t="s">
        <v>4</v>
      </c>
      <c r="F66" s="50"/>
      <c r="G66" s="33"/>
      <c r="H66" s="33"/>
      <c r="I66" s="33"/>
      <c r="J66" s="34"/>
      <c r="L66" s="33"/>
      <c r="M66" s="33"/>
    </row>
    <row r="67" spans="3:13" ht="25.8">
      <c r="C67" s="33"/>
      <c r="D67" s="33" t="s">
        <v>18</v>
      </c>
      <c r="E67" s="33" t="s">
        <v>4</v>
      </c>
      <c r="F67" s="50"/>
      <c r="G67" s="33"/>
      <c r="H67" s="33"/>
      <c r="I67" s="33"/>
      <c r="J67" s="34"/>
      <c r="L67" s="33"/>
      <c r="M67" s="33"/>
    </row>
    <row r="68" spans="3:13" ht="25.8">
      <c r="C68" s="33"/>
      <c r="D68" s="33" t="s">
        <v>18</v>
      </c>
      <c r="E68" s="33" t="s">
        <v>4</v>
      </c>
      <c r="F68" s="50"/>
      <c r="G68" s="33"/>
      <c r="H68" s="33"/>
      <c r="I68" s="33"/>
      <c r="J68" s="34"/>
      <c r="L68" s="33"/>
      <c r="M68" s="33"/>
    </row>
    <row r="69" spans="3:13" ht="25.8">
      <c r="C69" s="33"/>
      <c r="D69" s="33" t="s">
        <v>18</v>
      </c>
      <c r="E69" s="33" t="s">
        <v>4</v>
      </c>
      <c r="F69" s="50"/>
      <c r="G69" s="33"/>
      <c r="H69" s="33"/>
      <c r="I69" s="33"/>
      <c r="J69" s="34"/>
      <c r="L69" s="33"/>
      <c r="M69" s="33"/>
    </row>
    <row r="70" spans="3:13" ht="25.8">
      <c r="C70" s="33"/>
      <c r="D70" s="33" t="s">
        <v>18</v>
      </c>
      <c r="E70" s="33" t="s">
        <v>4</v>
      </c>
      <c r="F70" s="50"/>
      <c r="G70" s="33"/>
      <c r="H70" s="33"/>
      <c r="I70" s="33"/>
      <c r="J70" s="34"/>
      <c r="L70" s="33"/>
      <c r="M70" s="33"/>
    </row>
    <row r="71" spans="3:13" ht="25.8">
      <c r="C71" s="33"/>
      <c r="D71" s="33" t="s">
        <v>18</v>
      </c>
      <c r="E71" s="33" t="s">
        <v>4</v>
      </c>
      <c r="F71" s="50"/>
      <c r="G71" s="33"/>
      <c r="H71" s="33"/>
      <c r="I71" s="33"/>
      <c r="J71" s="34"/>
      <c r="L71" s="33"/>
      <c r="M71" s="33"/>
    </row>
    <row r="72" spans="3:13" ht="25.8">
      <c r="C72" s="33"/>
      <c r="D72" s="33" t="s">
        <v>18</v>
      </c>
      <c r="E72" s="33" t="s">
        <v>4</v>
      </c>
      <c r="F72" s="50"/>
      <c r="G72" s="33"/>
      <c r="H72" s="33"/>
      <c r="I72" s="33"/>
      <c r="J72" s="34"/>
      <c r="L72" s="33"/>
      <c r="M72" s="33"/>
    </row>
    <row r="73" spans="3:13" ht="25.8">
      <c r="C73" s="33"/>
      <c r="D73" s="33" t="s">
        <v>18</v>
      </c>
      <c r="E73" s="33" t="s">
        <v>4</v>
      </c>
      <c r="F73" s="50"/>
      <c r="G73" s="33"/>
      <c r="H73" s="33"/>
      <c r="I73" s="33"/>
      <c r="J73" s="34"/>
      <c r="L73" s="33"/>
      <c r="M73" s="33"/>
    </row>
    <row r="74" spans="3:13" ht="25.8">
      <c r="C74" s="33"/>
      <c r="D74" s="33" t="s">
        <v>18</v>
      </c>
      <c r="E74" s="33" t="s">
        <v>4</v>
      </c>
      <c r="F74" s="50"/>
      <c r="G74" s="33"/>
      <c r="H74" s="33"/>
      <c r="I74" s="33"/>
      <c r="J74" s="34"/>
      <c r="L74" s="33"/>
      <c r="M74" s="33"/>
    </row>
    <row r="75" spans="3:13" ht="25.8">
      <c r="C75" s="33"/>
      <c r="D75" s="33" t="s">
        <v>18</v>
      </c>
      <c r="E75" s="33" t="s">
        <v>4</v>
      </c>
      <c r="F75" s="50"/>
      <c r="G75" s="33"/>
      <c r="H75" s="33"/>
      <c r="I75" s="33"/>
      <c r="J75" s="34"/>
      <c r="L75" s="33"/>
      <c r="M75" s="33"/>
    </row>
    <row r="76" spans="3:13" ht="25.8">
      <c r="C76" s="33"/>
      <c r="D76" s="33" t="s">
        <v>18</v>
      </c>
      <c r="E76" s="33" t="s">
        <v>4</v>
      </c>
      <c r="F76" s="50"/>
      <c r="G76" s="33"/>
      <c r="H76" s="33"/>
      <c r="I76" s="33"/>
      <c r="J76" s="34"/>
      <c r="L76" s="33"/>
      <c r="M76" s="33"/>
    </row>
    <row r="77" spans="3:13" ht="25.8">
      <c r="C77" s="33"/>
      <c r="D77" s="33" t="s">
        <v>18</v>
      </c>
      <c r="E77" s="33" t="s">
        <v>4</v>
      </c>
      <c r="F77" s="50"/>
      <c r="G77" s="33"/>
      <c r="H77" s="33"/>
      <c r="I77" s="33"/>
      <c r="J77" s="34"/>
      <c r="L77" s="33"/>
      <c r="M77" s="33"/>
    </row>
    <row r="78" spans="3:13" ht="25.8">
      <c r="C78" s="33"/>
      <c r="D78" s="33" t="s">
        <v>18</v>
      </c>
      <c r="E78" s="33" t="s">
        <v>4</v>
      </c>
      <c r="F78" s="50"/>
      <c r="G78" s="33"/>
      <c r="H78" s="33"/>
      <c r="I78" s="33"/>
      <c r="J78" s="34"/>
      <c r="L78" s="33"/>
      <c r="M78" s="33"/>
    </row>
    <row r="79" spans="3:13" ht="25.8">
      <c r="C79" s="33"/>
      <c r="D79" s="33" t="s">
        <v>18</v>
      </c>
      <c r="E79" s="33" t="s">
        <v>4</v>
      </c>
      <c r="F79" s="50"/>
      <c r="G79" s="33"/>
      <c r="H79" s="33"/>
      <c r="I79" s="33"/>
      <c r="J79" s="34"/>
      <c r="L79" s="33"/>
      <c r="M79" s="33"/>
    </row>
    <row r="80" spans="3:13" ht="25.8">
      <c r="C80" s="33"/>
      <c r="D80" s="33" t="s">
        <v>18</v>
      </c>
      <c r="E80" s="33" t="s">
        <v>4</v>
      </c>
      <c r="F80" s="50"/>
      <c r="G80" s="33"/>
      <c r="H80" s="33"/>
      <c r="I80" s="33"/>
      <c r="J80" s="34"/>
      <c r="L80" s="33"/>
      <c r="M80" s="33"/>
    </row>
    <row r="81" spans="3:13" ht="25.8">
      <c r="C81" s="33"/>
      <c r="D81" s="33" t="s">
        <v>18</v>
      </c>
      <c r="E81" s="33" t="s">
        <v>4</v>
      </c>
      <c r="F81" s="50"/>
      <c r="G81" s="33"/>
      <c r="H81" s="33"/>
      <c r="I81" s="33"/>
      <c r="J81" s="34"/>
      <c r="L81" s="33"/>
      <c r="M81" s="33"/>
    </row>
    <row r="82" spans="3:13" ht="25.8">
      <c r="C82" s="33"/>
      <c r="D82" s="33" t="s">
        <v>18</v>
      </c>
      <c r="E82" s="33" t="s">
        <v>4</v>
      </c>
      <c r="F82" s="50"/>
      <c r="G82" s="33"/>
      <c r="H82" s="33"/>
      <c r="I82" s="33"/>
      <c r="J82" s="34"/>
      <c r="L82" s="33"/>
      <c r="M82" s="33"/>
    </row>
    <row r="83" spans="3:13" ht="25.8">
      <c r="C83" s="33"/>
      <c r="D83" s="33" t="s">
        <v>18</v>
      </c>
      <c r="E83" s="33" t="s">
        <v>4</v>
      </c>
      <c r="F83" s="50"/>
      <c r="G83" s="33"/>
      <c r="H83" s="33"/>
      <c r="I83" s="33"/>
      <c r="J83" s="34"/>
      <c r="L83" s="33"/>
      <c r="M83" s="33"/>
    </row>
    <row r="84" spans="3:13" ht="25.8">
      <c r="C84" s="33"/>
      <c r="D84" s="33" t="s">
        <v>18</v>
      </c>
      <c r="E84" s="33" t="s">
        <v>4</v>
      </c>
      <c r="F84" s="50"/>
      <c r="G84" s="33"/>
      <c r="H84" s="33"/>
      <c r="I84" s="33"/>
      <c r="J84" s="34"/>
      <c r="L84" s="33"/>
      <c r="M84" s="33"/>
    </row>
    <row r="85" spans="3:13" ht="25.8">
      <c r="C85" s="33"/>
      <c r="D85" s="33" t="s">
        <v>18</v>
      </c>
      <c r="E85" s="33" t="s">
        <v>4</v>
      </c>
      <c r="F85" s="50"/>
      <c r="G85" s="33"/>
      <c r="H85" s="33"/>
      <c r="I85" s="33"/>
      <c r="J85" s="34"/>
      <c r="L85" s="33"/>
      <c r="M85" s="33"/>
    </row>
    <row r="86" spans="3:13" ht="25.8">
      <c r="C86" s="33"/>
      <c r="D86" s="33" t="s">
        <v>18</v>
      </c>
      <c r="E86" s="33" t="s">
        <v>4</v>
      </c>
      <c r="F86" s="50"/>
      <c r="G86" s="33"/>
      <c r="H86" s="33"/>
      <c r="I86" s="33"/>
      <c r="J86" s="34"/>
      <c r="L86" s="33"/>
      <c r="M86" s="33"/>
    </row>
    <row r="87" spans="3:13" ht="25.8">
      <c r="C87" s="33"/>
      <c r="D87" s="33" t="s">
        <v>18</v>
      </c>
      <c r="E87" s="33" t="s">
        <v>4</v>
      </c>
      <c r="F87" s="50"/>
      <c r="G87" s="33"/>
      <c r="H87" s="33"/>
      <c r="I87" s="33"/>
      <c r="J87" s="34"/>
      <c r="L87" s="33"/>
      <c r="M87" s="33"/>
    </row>
    <row r="88" spans="3:13" ht="25.8">
      <c r="C88" s="33"/>
      <c r="D88" s="33" t="s">
        <v>18</v>
      </c>
      <c r="E88" s="33" t="s">
        <v>4</v>
      </c>
      <c r="F88" s="50"/>
      <c r="G88" s="33"/>
      <c r="H88" s="33"/>
      <c r="I88" s="33"/>
      <c r="J88" s="34"/>
      <c r="L88" s="33"/>
      <c r="M88" s="33"/>
    </row>
    <row r="89" spans="3:13" ht="25.8">
      <c r="C89" s="33"/>
      <c r="D89" s="33" t="s">
        <v>18</v>
      </c>
      <c r="E89" s="33" t="s">
        <v>4</v>
      </c>
      <c r="F89" s="50"/>
      <c r="G89" s="33"/>
      <c r="H89" s="33"/>
      <c r="I89" s="33"/>
      <c r="J89" s="34"/>
      <c r="L89" s="33"/>
      <c r="M89" s="33"/>
    </row>
    <row r="90" spans="3:13" ht="25.8">
      <c r="C90" s="33"/>
      <c r="D90" s="33" t="s">
        <v>18</v>
      </c>
      <c r="E90" s="33" t="s">
        <v>4</v>
      </c>
      <c r="F90" s="50"/>
      <c r="G90" s="33"/>
      <c r="H90" s="33"/>
      <c r="I90" s="33"/>
      <c r="J90" s="34"/>
      <c r="L90" s="33"/>
      <c r="M90" s="33"/>
    </row>
    <row r="91" spans="3:13" ht="25.8">
      <c r="C91" s="33"/>
      <c r="D91" s="33" t="s">
        <v>18</v>
      </c>
      <c r="E91" s="33" t="s">
        <v>4</v>
      </c>
      <c r="F91" s="50"/>
      <c r="G91" s="33"/>
      <c r="H91" s="33"/>
      <c r="I91" s="33"/>
      <c r="J91" s="34"/>
      <c r="L91" s="33"/>
      <c r="M91" s="33"/>
    </row>
    <row r="92" spans="3:13" ht="25.8">
      <c r="C92" s="33"/>
      <c r="D92" s="33" t="s">
        <v>18</v>
      </c>
      <c r="E92" s="33" t="s">
        <v>4</v>
      </c>
      <c r="F92" s="50"/>
      <c r="G92" s="33"/>
      <c r="H92" s="33"/>
      <c r="I92" s="33"/>
      <c r="J92" s="34"/>
      <c r="L92" s="33"/>
      <c r="M92" s="33"/>
    </row>
    <row r="93" spans="3:13" ht="25.8">
      <c r="C93" s="33"/>
      <c r="D93" s="33" t="s">
        <v>18</v>
      </c>
      <c r="E93" s="33" t="s">
        <v>4</v>
      </c>
      <c r="F93" s="50"/>
      <c r="G93" s="33"/>
      <c r="H93" s="33"/>
      <c r="I93" s="33"/>
      <c r="J93" s="34"/>
      <c r="L93" s="33"/>
      <c r="M93" s="33"/>
    </row>
    <row r="94" spans="3:13" ht="25.8">
      <c r="C94" s="33"/>
      <c r="D94" s="33" t="s">
        <v>18</v>
      </c>
      <c r="E94" s="33" t="s">
        <v>4</v>
      </c>
      <c r="F94" s="50"/>
      <c r="G94" s="33"/>
      <c r="H94" s="33"/>
      <c r="I94" s="33"/>
      <c r="J94" s="34"/>
      <c r="L94" s="33"/>
      <c r="M94" s="33"/>
    </row>
    <row r="95" spans="3:13" ht="25.8">
      <c r="C95" s="33"/>
      <c r="D95" s="33" t="s">
        <v>18</v>
      </c>
      <c r="E95" s="33" t="s">
        <v>4</v>
      </c>
      <c r="F95" s="50"/>
      <c r="G95" s="33"/>
      <c r="H95" s="33"/>
      <c r="I95" s="33"/>
      <c r="J95" s="34"/>
      <c r="L95" s="33"/>
      <c r="M95" s="33"/>
    </row>
    <row r="96" spans="3:13" ht="25.8">
      <c r="C96" s="33"/>
      <c r="D96" s="33" t="s">
        <v>18</v>
      </c>
      <c r="E96" s="33" t="s">
        <v>4</v>
      </c>
      <c r="F96" s="50"/>
      <c r="G96" s="33"/>
      <c r="H96" s="33"/>
      <c r="I96" s="33"/>
      <c r="J96" s="34"/>
      <c r="L96" s="33"/>
      <c r="M96" s="33"/>
    </row>
    <row r="97" spans="3:13" ht="25.8">
      <c r="C97" s="33"/>
      <c r="D97" s="33" t="s">
        <v>18</v>
      </c>
      <c r="E97" s="33" t="s">
        <v>4</v>
      </c>
      <c r="F97" s="50"/>
      <c r="G97" s="33"/>
      <c r="H97" s="33"/>
      <c r="I97" s="33"/>
      <c r="J97" s="34"/>
      <c r="L97" s="33"/>
      <c r="M97" s="33"/>
    </row>
    <row r="98" spans="3:13" ht="25.8">
      <c r="C98" s="33"/>
      <c r="D98" s="33" t="s">
        <v>18</v>
      </c>
      <c r="E98" s="33" t="s">
        <v>4</v>
      </c>
      <c r="F98" s="50"/>
      <c r="G98" s="33"/>
      <c r="H98" s="33"/>
      <c r="I98" s="33"/>
      <c r="J98" s="34"/>
      <c r="L98" s="33"/>
      <c r="M98" s="33"/>
    </row>
    <row r="99" spans="3:13" ht="25.8">
      <c r="C99" s="33"/>
      <c r="D99" s="33" t="s">
        <v>18</v>
      </c>
      <c r="E99" s="33" t="s">
        <v>4</v>
      </c>
      <c r="F99" s="50"/>
      <c r="G99" s="33"/>
      <c r="H99" s="33"/>
      <c r="I99" s="33"/>
      <c r="J99" s="34"/>
      <c r="L99" s="33"/>
      <c r="M99" s="33"/>
    </row>
    <row r="100" spans="3:13" ht="25.8">
      <c r="C100" s="33"/>
      <c r="D100" s="33" t="s">
        <v>18</v>
      </c>
      <c r="E100" s="33" t="s">
        <v>4</v>
      </c>
      <c r="F100" s="50"/>
      <c r="G100" s="33"/>
      <c r="H100" s="33"/>
      <c r="I100" s="33"/>
      <c r="J100" s="34"/>
      <c r="L100" s="33"/>
      <c r="M100" s="33"/>
    </row>
    <row r="101" spans="3:13" ht="25.8">
      <c r="C101" s="33"/>
      <c r="D101" s="33" t="s">
        <v>18</v>
      </c>
      <c r="E101" s="33" t="s">
        <v>4</v>
      </c>
      <c r="F101" s="50"/>
      <c r="G101" s="33"/>
      <c r="H101" s="33"/>
      <c r="I101" s="33"/>
      <c r="J101" s="34"/>
      <c r="L101" s="33"/>
      <c r="M101" s="33"/>
    </row>
    <row r="102" spans="3:13" ht="25.8">
      <c r="C102" s="33"/>
      <c r="D102" s="33" t="s">
        <v>18</v>
      </c>
      <c r="E102" s="33" t="s">
        <v>4</v>
      </c>
      <c r="F102" s="50"/>
      <c r="G102" s="33"/>
      <c r="H102" s="33"/>
      <c r="I102" s="33"/>
      <c r="J102" s="34"/>
      <c r="L102" s="33"/>
      <c r="M102" s="33"/>
    </row>
    <row r="103" spans="3:13" ht="25.8">
      <c r="C103" s="33"/>
      <c r="D103" s="33" t="s">
        <v>18</v>
      </c>
      <c r="E103" s="33" t="s">
        <v>4</v>
      </c>
      <c r="F103" s="50"/>
      <c r="G103" s="33"/>
      <c r="H103" s="33"/>
      <c r="I103" s="33"/>
      <c r="J103" s="34"/>
      <c r="L103" s="33"/>
      <c r="M103" s="33"/>
    </row>
    <row r="104" spans="3:13" ht="25.8">
      <c r="C104" s="33"/>
      <c r="D104" s="33" t="s">
        <v>18</v>
      </c>
      <c r="E104" s="33" t="s">
        <v>4</v>
      </c>
      <c r="F104" s="50"/>
      <c r="G104" s="33"/>
      <c r="H104" s="33"/>
      <c r="I104" s="33"/>
      <c r="J104" s="34"/>
      <c r="L104" s="33"/>
      <c r="M104" s="33"/>
    </row>
    <row r="105" spans="3:13" ht="25.8">
      <c r="C105" s="33"/>
      <c r="D105" s="33" t="s">
        <v>18</v>
      </c>
      <c r="E105" s="33" t="s">
        <v>4</v>
      </c>
      <c r="F105" s="50"/>
      <c r="G105" s="33"/>
      <c r="H105" s="33"/>
      <c r="I105" s="33"/>
      <c r="J105" s="34"/>
      <c r="L105" s="33"/>
      <c r="M105" s="33"/>
    </row>
    <row r="106" spans="3:13" ht="25.8">
      <c r="C106" s="33"/>
      <c r="D106" s="33" t="s">
        <v>18</v>
      </c>
      <c r="E106" s="33" t="s">
        <v>4</v>
      </c>
      <c r="F106" s="50"/>
      <c r="G106" s="33"/>
      <c r="H106" s="33"/>
      <c r="I106" s="33"/>
      <c r="J106" s="34"/>
      <c r="L106" s="33"/>
      <c r="M106" s="33"/>
    </row>
    <row r="107" spans="3:13" ht="25.8">
      <c r="C107" s="33"/>
      <c r="D107" s="33" t="s">
        <v>18</v>
      </c>
      <c r="E107" s="33" t="s">
        <v>4</v>
      </c>
      <c r="F107" s="50"/>
      <c r="G107" s="33"/>
      <c r="H107" s="33"/>
      <c r="I107" s="33"/>
      <c r="J107" s="34"/>
      <c r="L107" s="33"/>
      <c r="M107" s="33"/>
    </row>
    <row r="108" spans="3:13" ht="25.8">
      <c r="C108" s="33"/>
      <c r="D108" s="33" t="s">
        <v>18</v>
      </c>
      <c r="E108" s="33" t="s">
        <v>4</v>
      </c>
      <c r="F108" s="50"/>
      <c r="G108" s="33"/>
      <c r="H108" s="33"/>
      <c r="I108" s="33"/>
      <c r="J108" s="34"/>
      <c r="L108" s="33"/>
      <c r="M108" s="33"/>
    </row>
    <row r="109" spans="3:13" ht="25.8">
      <c r="C109" s="33"/>
      <c r="D109" s="33" t="s">
        <v>18</v>
      </c>
      <c r="E109" s="33" t="s">
        <v>4</v>
      </c>
      <c r="F109" s="50"/>
      <c r="G109" s="33"/>
      <c r="H109" s="33"/>
      <c r="I109" s="33"/>
      <c r="J109" s="34"/>
      <c r="L109" s="33"/>
      <c r="M109" s="33"/>
    </row>
    <row r="110" spans="3:13" ht="25.8">
      <c r="C110" s="33"/>
      <c r="D110" s="33" t="s">
        <v>18</v>
      </c>
      <c r="E110" s="33" t="s">
        <v>4</v>
      </c>
      <c r="F110" s="50"/>
      <c r="G110" s="33"/>
      <c r="H110" s="33"/>
      <c r="I110" s="33"/>
      <c r="J110" s="34"/>
      <c r="L110" s="33"/>
      <c r="M110" s="33"/>
    </row>
    <row r="111" spans="3:13" ht="25.8">
      <c r="C111" s="33"/>
      <c r="D111" s="33" t="s">
        <v>18</v>
      </c>
      <c r="E111" s="33" t="s">
        <v>4</v>
      </c>
      <c r="F111" s="50"/>
      <c r="G111" s="33"/>
      <c r="H111" s="33"/>
      <c r="I111" s="33"/>
      <c r="J111" s="34"/>
      <c r="L111" s="33"/>
      <c r="M111" s="33"/>
    </row>
    <row r="112" spans="3:13" ht="25.8">
      <c r="C112" s="33"/>
      <c r="D112" s="33" t="s">
        <v>18</v>
      </c>
      <c r="E112" s="33" t="s">
        <v>4</v>
      </c>
      <c r="F112" s="50"/>
      <c r="G112" s="33"/>
      <c r="H112" s="33"/>
      <c r="I112" s="33"/>
      <c r="J112" s="34"/>
      <c r="L112" s="33"/>
      <c r="M112" s="33"/>
    </row>
    <row r="113" spans="3:13" ht="25.8">
      <c r="C113" s="33"/>
      <c r="D113" s="33" t="s">
        <v>18</v>
      </c>
      <c r="E113" s="33" t="s">
        <v>4</v>
      </c>
      <c r="F113" s="50"/>
      <c r="G113" s="33"/>
      <c r="H113" s="33"/>
      <c r="I113" s="33"/>
      <c r="J113" s="34"/>
      <c r="L113" s="33"/>
      <c r="M113" s="33"/>
    </row>
    <row r="114" spans="3:13" ht="25.8">
      <c r="C114" s="33"/>
      <c r="D114" s="33" t="s">
        <v>18</v>
      </c>
      <c r="E114" s="33" t="s">
        <v>4</v>
      </c>
      <c r="F114" s="50"/>
      <c r="G114" s="33"/>
      <c r="H114" s="33"/>
      <c r="I114" s="33"/>
      <c r="J114" s="34"/>
      <c r="L114" s="33"/>
      <c r="M114" s="33"/>
    </row>
    <row r="115" spans="3:13" ht="25.8">
      <c r="C115" s="33"/>
      <c r="D115" s="33" t="s">
        <v>18</v>
      </c>
      <c r="E115" s="33" t="s">
        <v>4</v>
      </c>
      <c r="F115" s="50"/>
      <c r="G115" s="33"/>
      <c r="H115" s="33"/>
      <c r="I115" s="33"/>
      <c r="J115" s="34"/>
      <c r="L115" s="33"/>
      <c r="M115" s="33"/>
    </row>
    <row r="116" spans="3:13" ht="25.8">
      <c r="C116" s="33"/>
      <c r="D116" s="33" t="s">
        <v>18</v>
      </c>
      <c r="E116" s="33" t="s">
        <v>4</v>
      </c>
      <c r="F116" s="50"/>
      <c r="G116" s="33"/>
      <c r="H116" s="33"/>
      <c r="I116" s="33"/>
      <c r="J116" s="34"/>
      <c r="L116" s="33"/>
      <c r="M116" s="33"/>
    </row>
    <row r="117" spans="3:13" ht="25.8">
      <c r="C117" s="33"/>
      <c r="D117" s="33" t="s">
        <v>18</v>
      </c>
      <c r="E117" s="33" t="s">
        <v>4</v>
      </c>
      <c r="F117" s="50"/>
      <c r="G117" s="33"/>
      <c r="H117" s="33"/>
      <c r="I117" s="33"/>
      <c r="J117" s="34"/>
      <c r="L117" s="33"/>
      <c r="M117" s="33"/>
    </row>
    <row r="118" spans="3:13" ht="25.8">
      <c r="C118" s="33"/>
      <c r="D118" s="33" t="s">
        <v>18</v>
      </c>
      <c r="E118" s="33" t="s">
        <v>4</v>
      </c>
      <c r="F118" s="50"/>
      <c r="G118" s="33"/>
      <c r="H118" s="33"/>
      <c r="I118" s="33"/>
      <c r="J118" s="34"/>
      <c r="L118" s="33"/>
      <c r="M118" s="33"/>
    </row>
    <row r="119" spans="3:13" ht="25.8">
      <c r="C119" s="33"/>
      <c r="D119" s="33" t="s">
        <v>18</v>
      </c>
      <c r="E119" s="33" t="s">
        <v>4</v>
      </c>
      <c r="F119" s="50"/>
      <c r="G119" s="33"/>
      <c r="H119" s="33"/>
      <c r="I119" s="33"/>
      <c r="J119" s="34"/>
      <c r="L119" s="33"/>
      <c r="M119" s="33"/>
    </row>
    <row r="120" spans="3:13" ht="25.8">
      <c r="C120" s="33"/>
      <c r="D120" s="33" t="s">
        <v>18</v>
      </c>
      <c r="E120" s="33" t="s">
        <v>4</v>
      </c>
      <c r="F120" s="50"/>
      <c r="G120" s="33"/>
      <c r="H120" s="33"/>
      <c r="I120" s="33"/>
      <c r="J120" s="34"/>
      <c r="L120" s="33"/>
      <c r="M120" s="33"/>
    </row>
    <row r="121" spans="3:13" ht="25.8">
      <c r="C121" s="33"/>
      <c r="D121" s="33" t="s">
        <v>18</v>
      </c>
      <c r="E121" s="33" t="s">
        <v>4</v>
      </c>
      <c r="F121" s="50"/>
      <c r="G121" s="33"/>
      <c r="H121" s="33"/>
      <c r="I121" s="33"/>
      <c r="J121" s="34"/>
      <c r="L121" s="33"/>
      <c r="M121" s="33"/>
    </row>
    <row r="122" spans="3:13" ht="25.8">
      <c r="C122" s="33"/>
      <c r="D122" s="33" t="s">
        <v>18</v>
      </c>
      <c r="E122" s="33" t="s">
        <v>4</v>
      </c>
      <c r="F122" s="50"/>
      <c r="G122" s="33"/>
      <c r="H122" s="33"/>
      <c r="I122" s="33"/>
      <c r="J122" s="34"/>
      <c r="L122" s="33"/>
      <c r="M122" s="33"/>
    </row>
    <row r="123" spans="3:13" ht="25.8">
      <c r="C123" s="33"/>
      <c r="D123" s="33" t="s">
        <v>18</v>
      </c>
      <c r="E123" s="33" t="s">
        <v>4</v>
      </c>
      <c r="F123" s="50"/>
      <c r="G123" s="33"/>
      <c r="H123" s="33"/>
      <c r="I123" s="33"/>
      <c r="J123" s="34"/>
      <c r="L123" s="33"/>
      <c r="M123" s="33"/>
    </row>
    <row r="124" spans="3:13" ht="25.8">
      <c r="C124" s="33"/>
      <c r="D124" s="33" t="s">
        <v>18</v>
      </c>
      <c r="E124" s="33" t="s">
        <v>4</v>
      </c>
      <c r="F124" s="50"/>
      <c r="G124" s="33"/>
      <c r="H124" s="33"/>
      <c r="I124" s="33"/>
      <c r="J124" s="34"/>
      <c r="L124" s="33"/>
      <c r="M124" s="33"/>
    </row>
    <row r="125" spans="3:13" ht="25.8">
      <c r="C125" s="33"/>
      <c r="D125" s="33" t="s">
        <v>18</v>
      </c>
      <c r="E125" s="33" t="s">
        <v>4</v>
      </c>
      <c r="F125" s="50"/>
      <c r="G125" s="33"/>
      <c r="H125" s="33"/>
      <c r="I125" s="33"/>
      <c r="J125" s="34"/>
      <c r="L125" s="33"/>
      <c r="M125" s="33"/>
    </row>
    <row r="126" spans="3:13" ht="25.8">
      <c r="C126" s="33"/>
      <c r="D126" s="33" t="s">
        <v>18</v>
      </c>
      <c r="E126" s="33" t="s">
        <v>4</v>
      </c>
      <c r="F126" s="50"/>
      <c r="G126" s="33"/>
      <c r="H126" s="33"/>
      <c r="I126" s="33"/>
      <c r="J126" s="34"/>
      <c r="L126" s="33"/>
      <c r="M126" s="33"/>
    </row>
    <row r="127" spans="3:13" ht="25.8">
      <c r="C127" s="33"/>
      <c r="D127" s="33" t="s">
        <v>18</v>
      </c>
      <c r="E127" s="33" t="s">
        <v>4</v>
      </c>
      <c r="F127" s="50"/>
      <c r="G127" s="33"/>
      <c r="H127" s="33"/>
      <c r="I127" s="33"/>
      <c r="J127" s="34"/>
      <c r="L127" s="33"/>
      <c r="M127" s="33"/>
    </row>
    <row r="128" spans="3:13" ht="25.8">
      <c r="C128" s="33"/>
      <c r="D128" s="33" t="s">
        <v>18</v>
      </c>
      <c r="E128" s="33" t="s">
        <v>4</v>
      </c>
      <c r="F128" s="50"/>
      <c r="G128" s="33"/>
      <c r="H128" s="33"/>
      <c r="I128" s="33"/>
      <c r="J128" s="34"/>
      <c r="L128" s="33"/>
      <c r="M128" s="33"/>
    </row>
    <row r="129" spans="3:13" ht="25.8">
      <c r="C129" s="33"/>
      <c r="D129" s="33" t="s">
        <v>18</v>
      </c>
      <c r="E129" s="33" t="s">
        <v>4</v>
      </c>
      <c r="F129" s="50"/>
      <c r="G129" s="33"/>
      <c r="H129" s="33"/>
      <c r="I129" s="33"/>
      <c r="J129" s="34"/>
      <c r="L129" s="33"/>
      <c r="M129" s="33"/>
    </row>
    <row r="130" spans="3:13" ht="25.8">
      <c r="C130" s="33"/>
      <c r="D130" s="33" t="s">
        <v>18</v>
      </c>
      <c r="E130" s="33" t="s">
        <v>4</v>
      </c>
      <c r="F130" s="50"/>
      <c r="G130" s="33"/>
      <c r="H130" s="33"/>
      <c r="I130" s="33"/>
      <c r="J130" s="34"/>
      <c r="L130" s="33"/>
      <c r="M130" s="33"/>
    </row>
    <row r="131" spans="3:13" ht="25.8">
      <c r="C131" s="33"/>
      <c r="D131" s="33" t="s">
        <v>18</v>
      </c>
      <c r="E131" s="33" t="s">
        <v>4</v>
      </c>
      <c r="F131" s="50"/>
      <c r="G131" s="33"/>
      <c r="H131" s="33"/>
      <c r="I131" s="33"/>
      <c r="J131" s="34"/>
      <c r="L131" s="33"/>
      <c r="M131" s="33"/>
    </row>
    <row r="132" spans="3:13" ht="25.8">
      <c r="C132" s="33"/>
      <c r="D132" s="33" t="s">
        <v>18</v>
      </c>
      <c r="E132" s="33" t="s">
        <v>4</v>
      </c>
      <c r="F132" s="50"/>
      <c r="G132" s="33"/>
      <c r="H132" s="33"/>
      <c r="I132" s="33"/>
      <c r="J132" s="34"/>
      <c r="L132" s="33"/>
      <c r="M132" s="33"/>
    </row>
    <row r="133" spans="3:13" ht="25.8">
      <c r="C133" s="33"/>
      <c r="D133" s="33" t="s">
        <v>18</v>
      </c>
      <c r="E133" s="33" t="s">
        <v>4</v>
      </c>
      <c r="F133" s="50"/>
      <c r="G133" s="33"/>
      <c r="H133" s="33"/>
      <c r="I133" s="33"/>
      <c r="J133" s="34"/>
      <c r="L133" s="33"/>
      <c r="M133" s="33"/>
    </row>
    <row r="134" spans="3:13" ht="25.8">
      <c r="C134" s="33"/>
      <c r="D134" s="33" t="s">
        <v>18</v>
      </c>
      <c r="E134" s="33" t="s">
        <v>4</v>
      </c>
      <c r="F134" s="50"/>
      <c r="G134" s="33"/>
      <c r="H134" s="33"/>
      <c r="I134" s="33"/>
      <c r="J134" s="34"/>
      <c r="L134" s="33"/>
      <c r="M134" s="33"/>
    </row>
    <row r="135" spans="3:13" ht="25.8">
      <c r="C135" s="33"/>
      <c r="D135" s="33" t="s">
        <v>18</v>
      </c>
      <c r="E135" s="33" t="s">
        <v>4</v>
      </c>
      <c r="F135" s="50"/>
      <c r="G135" s="33"/>
      <c r="H135" s="33"/>
      <c r="I135" s="33"/>
      <c r="J135" s="34"/>
      <c r="L135" s="33"/>
      <c r="M135" s="33"/>
    </row>
    <row r="136" spans="3:13" ht="25.8">
      <c r="C136" s="33"/>
      <c r="D136" s="33" t="s">
        <v>18</v>
      </c>
      <c r="E136" s="33" t="s">
        <v>4</v>
      </c>
      <c r="F136" s="50"/>
      <c r="G136" s="33"/>
      <c r="H136" s="33"/>
      <c r="I136" s="33"/>
      <c r="J136" s="34"/>
      <c r="L136" s="33"/>
      <c r="M136" s="33"/>
    </row>
    <row r="137" spans="3:13" ht="25.8">
      <c r="C137" s="33"/>
      <c r="D137" s="33" t="s">
        <v>18</v>
      </c>
      <c r="E137" s="33" t="s">
        <v>4</v>
      </c>
      <c r="F137" s="50"/>
      <c r="G137" s="33"/>
      <c r="H137" s="33"/>
      <c r="I137" s="33"/>
      <c r="J137" s="34"/>
      <c r="L137" s="33"/>
      <c r="M137" s="33"/>
    </row>
    <row r="138" spans="3:13" ht="25.8">
      <c r="C138" s="33"/>
      <c r="D138" s="33" t="s">
        <v>18</v>
      </c>
      <c r="E138" s="33" t="s">
        <v>4</v>
      </c>
      <c r="F138" s="50"/>
      <c r="G138" s="33"/>
      <c r="H138" s="33"/>
      <c r="I138" s="33"/>
      <c r="J138" s="34"/>
      <c r="L138" s="33"/>
      <c r="M138" s="33"/>
    </row>
    <row r="139" spans="3:13" ht="25.8">
      <c r="C139" s="33"/>
      <c r="D139" s="33" t="s">
        <v>18</v>
      </c>
      <c r="E139" s="33" t="s">
        <v>4</v>
      </c>
      <c r="F139" s="50"/>
      <c r="G139" s="33"/>
      <c r="H139" s="33"/>
      <c r="I139" s="33"/>
      <c r="J139" s="34"/>
      <c r="L139" s="33"/>
      <c r="M139" s="33"/>
    </row>
    <row r="140" spans="3:13" ht="25.8">
      <c r="C140" s="33"/>
      <c r="D140" s="33" t="s">
        <v>18</v>
      </c>
      <c r="E140" s="33" t="s">
        <v>4</v>
      </c>
      <c r="F140" s="50"/>
      <c r="G140" s="33"/>
      <c r="H140" s="33"/>
      <c r="I140" s="33"/>
      <c r="J140" s="34"/>
      <c r="L140" s="33"/>
      <c r="M140" s="33"/>
    </row>
    <row r="141" spans="3:13" ht="25.8">
      <c r="C141" s="33"/>
      <c r="D141" s="33" t="s">
        <v>18</v>
      </c>
      <c r="E141" s="33" t="s">
        <v>4</v>
      </c>
      <c r="F141" s="50"/>
      <c r="G141" s="33"/>
      <c r="H141" s="33"/>
      <c r="I141" s="33"/>
      <c r="J141" s="34"/>
      <c r="L141" s="33"/>
      <c r="M141" s="33"/>
    </row>
    <row r="142" spans="3:13" ht="25.8">
      <c r="C142" s="33"/>
      <c r="D142" s="33" t="s">
        <v>18</v>
      </c>
      <c r="E142" s="33" t="s">
        <v>4</v>
      </c>
      <c r="F142" s="50"/>
      <c r="G142" s="33"/>
      <c r="H142" s="33"/>
      <c r="I142" s="33"/>
      <c r="J142" s="34"/>
      <c r="L142" s="33"/>
      <c r="M142" s="33"/>
    </row>
    <row r="143" spans="3:13" ht="25.8">
      <c r="C143" s="33"/>
      <c r="D143" s="33" t="s">
        <v>18</v>
      </c>
      <c r="E143" s="33" t="s">
        <v>4</v>
      </c>
      <c r="F143" s="50"/>
      <c r="G143" s="33"/>
      <c r="H143" s="33"/>
      <c r="I143" s="33"/>
      <c r="J143" s="34"/>
      <c r="L143" s="33"/>
      <c r="M143" s="33"/>
    </row>
    <row r="144" spans="3:13" ht="25.8">
      <c r="C144" s="33"/>
      <c r="D144" s="33" t="s">
        <v>18</v>
      </c>
      <c r="E144" s="33" t="s">
        <v>4</v>
      </c>
      <c r="F144" s="50"/>
      <c r="G144" s="33"/>
      <c r="H144" s="33"/>
      <c r="I144" s="33"/>
      <c r="J144" s="34"/>
      <c r="L144" s="33"/>
      <c r="M144" s="33"/>
    </row>
    <row r="145" spans="3:13" ht="25.8">
      <c r="C145" s="33"/>
      <c r="D145" s="33" t="s">
        <v>18</v>
      </c>
      <c r="E145" s="33" t="s">
        <v>4</v>
      </c>
      <c r="F145" s="50"/>
      <c r="G145" s="33"/>
      <c r="H145" s="33"/>
      <c r="I145" s="33"/>
      <c r="J145" s="34"/>
      <c r="L145" s="33"/>
      <c r="M145" s="33"/>
    </row>
    <row r="146" spans="3:13" ht="25.8">
      <c r="C146" s="33"/>
      <c r="D146" s="33" t="s">
        <v>18</v>
      </c>
      <c r="E146" s="33" t="s">
        <v>4</v>
      </c>
      <c r="F146" s="50"/>
      <c r="G146" s="33"/>
      <c r="H146" s="33"/>
      <c r="I146" s="33"/>
      <c r="J146" s="34"/>
      <c r="L146" s="33"/>
      <c r="M146" s="33"/>
    </row>
    <row r="147" spans="3:13" ht="25.8">
      <c r="C147" s="33"/>
      <c r="D147" s="33" t="s">
        <v>18</v>
      </c>
      <c r="E147" s="33" t="s">
        <v>4</v>
      </c>
      <c r="F147" s="50"/>
      <c r="G147" s="33"/>
      <c r="H147" s="33"/>
      <c r="I147" s="33"/>
      <c r="J147" s="34"/>
      <c r="L147" s="33"/>
      <c r="M147" s="33"/>
    </row>
    <row r="148" spans="3:13" ht="25.8">
      <c r="C148" s="33"/>
      <c r="D148" s="33" t="s">
        <v>18</v>
      </c>
      <c r="E148" s="33" t="s">
        <v>4</v>
      </c>
      <c r="F148" s="50"/>
      <c r="G148" s="33"/>
      <c r="H148" s="33"/>
      <c r="I148" s="33"/>
      <c r="J148" s="34"/>
      <c r="L148" s="33"/>
      <c r="M148" s="33"/>
    </row>
    <row r="149" spans="3:13" ht="25.8">
      <c r="C149" s="33"/>
      <c r="D149" s="33" t="s">
        <v>18</v>
      </c>
      <c r="E149" s="33" t="s">
        <v>4</v>
      </c>
      <c r="F149" s="50"/>
      <c r="G149" s="33"/>
      <c r="H149" s="33"/>
      <c r="I149" s="33"/>
      <c r="J149" s="34"/>
      <c r="L149" s="33"/>
      <c r="M149" s="33"/>
    </row>
    <row r="150" spans="3:13" ht="25.8">
      <c r="C150" s="33"/>
      <c r="D150" s="33" t="s">
        <v>18</v>
      </c>
      <c r="E150" s="33" t="s">
        <v>4</v>
      </c>
      <c r="F150" s="50"/>
      <c r="G150" s="33"/>
      <c r="H150" s="33"/>
      <c r="I150" s="33"/>
      <c r="J150" s="34"/>
      <c r="L150" s="33"/>
      <c r="M150" s="33"/>
    </row>
    <row r="151" spans="3:13" ht="25.8">
      <c r="C151" s="33"/>
      <c r="D151" s="33" t="s">
        <v>18</v>
      </c>
      <c r="E151" s="33" t="s">
        <v>4</v>
      </c>
      <c r="F151" s="50"/>
      <c r="G151" s="33"/>
      <c r="H151" s="33"/>
      <c r="I151" s="33"/>
      <c r="J151" s="34"/>
      <c r="L151" s="33"/>
      <c r="M151" s="33"/>
    </row>
    <row r="152" spans="3:13" ht="25.8">
      <c r="C152" s="33"/>
      <c r="D152" s="33" t="s">
        <v>18</v>
      </c>
      <c r="E152" s="33" t="s">
        <v>4</v>
      </c>
      <c r="F152" s="50"/>
      <c r="G152" s="33"/>
      <c r="H152" s="33"/>
      <c r="I152" s="33"/>
      <c r="J152" s="34"/>
      <c r="L152" s="33"/>
      <c r="M152" s="33"/>
    </row>
    <row r="153" spans="3:13" ht="25.8">
      <c r="C153" s="33"/>
      <c r="D153" s="33" t="s">
        <v>18</v>
      </c>
      <c r="E153" s="33" t="s">
        <v>4</v>
      </c>
      <c r="F153" s="50"/>
      <c r="G153" s="33"/>
      <c r="H153" s="33"/>
      <c r="I153" s="33"/>
      <c r="J153" s="34"/>
      <c r="L153" s="33"/>
      <c r="M153" s="33"/>
    </row>
    <row r="154" spans="3:13" ht="25.8">
      <c r="C154" s="33"/>
      <c r="D154" s="33" t="s">
        <v>18</v>
      </c>
      <c r="E154" s="33" t="s">
        <v>4</v>
      </c>
      <c r="F154" s="50"/>
      <c r="G154" s="33"/>
      <c r="H154" s="33"/>
      <c r="I154" s="33"/>
      <c r="J154" s="34"/>
      <c r="L154" s="33"/>
      <c r="M154" s="33"/>
    </row>
    <row r="155" spans="3:13" ht="25.8">
      <c r="C155" s="33"/>
      <c r="D155" s="33" t="s">
        <v>18</v>
      </c>
      <c r="E155" s="33" t="s">
        <v>4</v>
      </c>
      <c r="F155" s="50"/>
      <c r="G155" s="33"/>
      <c r="H155" s="33"/>
      <c r="I155" s="33"/>
      <c r="J155" s="34"/>
      <c r="L155" s="33"/>
      <c r="M155" s="33"/>
    </row>
    <row r="156" spans="3:13" ht="25.8">
      <c r="C156" s="33"/>
      <c r="D156" s="33" t="s">
        <v>18</v>
      </c>
      <c r="E156" s="33" t="s">
        <v>4</v>
      </c>
      <c r="F156" s="50"/>
      <c r="G156" s="33"/>
      <c r="H156" s="33"/>
      <c r="I156" s="33"/>
      <c r="J156" s="34"/>
      <c r="L156" s="33"/>
      <c r="M156" s="33"/>
    </row>
    <row r="157" spans="3:13" ht="25.8">
      <c r="C157" s="33"/>
      <c r="D157" s="33" t="s">
        <v>18</v>
      </c>
      <c r="E157" s="33" t="s">
        <v>4</v>
      </c>
      <c r="F157" s="50"/>
      <c r="G157" s="33"/>
      <c r="H157" s="33"/>
      <c r="I157" s="33"/>
      <c r="J157" s="34"/>
      <c r="L157" s="33"/>
      <c r="M157" s="33"/>
    </row>
    <row r="158" spans="3:13" ht="25.8">
      <c r="C158" s="33"/>
      <c r="D158" s="33" t="s">
        <v>18</v>
      </c>
      <c r="E158" s="33" t="s">
        <v>4</v>
      </c>
      <c r="F158" s="50"/>
      <c r="G158" s="33"/>
      <c r="H158" s="33"/>
      <c r="I158" s="33"/>
      <c r="J158" s="34"/>
      <c r="L158" s="33"/>
      <c r="M158" s="33"/>
    </row>
    <row r="159" spans="3:13" ht="25.8">
      <c r="C159" s="33"/>
      <c r="D159" s="33" t="s">
        <v>18</v>
      </c>
      <c r="E159" s="33" t="s">
        <v>4</v>
      </c>
      <c r="F159" s="50"/>
      <c r="G159" s="33"/>
      <c r="H159" s="33"/>
      <c r="I159" s="33"/>
      <c r="J159" s="34"/>
      <c r="L159" s="33"/>
      <c r="M159" s="33"/>
    </row>
    <row r="160" spans="3:13" ht="25.8">
      <c r="C160" s="33"/>
      <c r="D160" s="33" t="s">
        <v>18</v>
      </c>
      <c r="E160" s="33" t="s">
        <v>4</v>
      </c>
      <c r="F160" s="50"/>
      <c r="G160" s="33"/>
      <c r="H160" s="33"/>
      <c r="I160" s="33"/>
      <c r="J160" s="34"/>
      <c r="L160" s="33"/>
      <c r="M160" s="33"/>
    </row>
    <row r="161" spans="3:13" ht="25.8">
      <c r="C161" s="33"/>
      <c r="D161" s="33" t="s">
        <v>18</v>
      </c>
      <c r="E161" s="33" t="s">
        <v>4</v>
      </c>
      <c r="F161" s="50"/>
      <c r="G161" s="33"/>
      <c r="H161" s="33"/>
      <c r="I161" s="33"/>
      <c r="J161" s="34"/>
      <c r="L161" s="33"/>
      <c r="M161" s="33"/>
    </row>
    <row r="162" spans="3:13" ht="25.8">
      <c r="C162" s="33"/>
      <c r="D162" s="33" t="s">
        <v>18</v>
      </c>
      <c r="E162" s="33" t="s">
        <v>4</v>
      </c>
      <c r="F162" s="50"/>
      <c r="G162" s="33"/>
      <c r="H162" s="33"/>
      <c r="I162" s="33"/>
      <c r="J162" s="34"/>
      <c r="L162" s="33"/>
      <c r="M162" s="33"/>
    </row>
    <row r="163" spans="3:13" ht="25.8">
      <c r="C163" s="33"/>
      <c r="D163" s="33" t="s">
        <v>18</v>
      </c>
      <c r="E163" s="33" t="s">
        <v>4</v>
      </c>
      <c r="F163" s="50"/>
      <c r="G163" s="33"/>
      <c r="H163" s="33"/>
      <c r="I163" s="33"/>
      <c r="J163" s="34"/>
      <c r="L163" s="33"/>
      <c r="M163" s="33"/>
    </row>
    <row r="164" spans="3:13" ht="25.8">
      <c r="C164" s="33"/>
      <c r="D164" s="33" t="s">
        <v>18</v>
      </c>
      <c r="E164" s="33" t="s">
        <v>4</v>
      </c>
      <c r="F164" s="50"/>
      <c r="G164" s="33"/>
      <c r="H164" s="33"/>
      <c r="I164" s="33"/>
      <c r="J164" s="34"/>
      <c r="L164" s="33"/>
      <c r="M164" s="33"/>
    </row>
    <row r="165" spans="3:13" ht="25.8">
      <c r="C165" s="33"/>
      <c r="D165" s="33" t="s">
        <v>18</v>
      </c>
      <c r="E165" s="33" t="s">
        <v>4</v>
      </c>
      <c r="F165" s="50"/>
      <c r="G165" s="33"/>
      <c r="H165" s="33"/>
      <c r="I165" s="33"/>
      <c r="J165" s="34"/>
      <c r="L165" s="33"/>
      <c r="M165" s="33"/>
    </row>
    <row r="166" spans="3:13" ht="25.8">
      <c r="C166" s="33"/>
      <c r="D166" s="33" t="s">
        <v>18</v>
      </c>
      <c r="E166" s="33" t="s">
        <v>4</v>
      </c>
      <c r="F166" s="50"/>
      <c r="G166" s="33"/>
      <c r="H166" s="33"/>
      <c r="I166" s="33"/>
      <c r="J166" s="34"/>
      <c r="L166" s="33"/>
      <c r="M166" s="33"/>
    </row>
    <row r="167" spans="3:13" ht="25.8">
      <c r="C167" s="33"/>
      <c r="D167" s="33" t="s">
        <v>18</v>
      </c>
      <c r="E167" s="33" t="s">
        <v>4</v>
      </c>
      <c r="F167" s="50"/>
      <c r="G167" s="33"/>
      <c r="H167" s="33"/>
      <c r="I167" s="33"/>
      <c r="J167" s="34"/>
      <c r="L167" s="33"/>
      <c r="M167" s="33"/>
    </row>
    <row r="168" spans="3:13" ht="25.8">
      <c r="C168" s="33"/>
      <c r="D168" s="33" t="s">
        <v>18</v>
      </c>
      <c r="E168" s="33" t="s">
        <v>4</v>
      </c>
      <c r="F168" s="50"/>
      <c r="G168" s="33"/>
      <c r="H168" s="33"/>
      <c r="I168" s="33"/>
      <c r="J168" s="34"/>
      <c r="L168" s="33"/>
      <c r="M168" s="33"/>
    </row>
    <row r="169" spans="3:13" ht="25.8">
      <c r="C169" s="33"/>
      <c r="D169" s="33" t="s">
        <v>18</v>
      </c>
      <c r="E169" s="33" t="s">
        <v>4</v>
      </c>
      <c r="F169" s="50"/>
      <c r="G169" s="33"/>
      <c r="H169" s="33"/>
      <c r="I169" s="33"/>
      <c r="J169" s="34"/>
      <c r="L169" s="33"/>
      <c r="M169" s="33"/>
    </row>
    <row r="170" spans="3:13" ht="25.8">
      <c r="C170" s="33"/>
      <c r="D170" s="33" t="s">
        <v>18</v>
      </c>
      <c r="E170" s="33" t="s">
        <v>4</v>
      </c>
      <c r="F170" s="50"/>
      <c r="G170" s="33"/>
      <c r="H170" s="33"/>
      <c r="I170" s="33"/>
      <c r="J170" s="34"/>
      <c r="L170" s="33"/>
      <c r="M170" s="33"/>
    </row>
    <row r="171" spans="3:13" ht="25.8">
      <c r="C171" s="33"/>
      <c r="D171" s="33" t="s">
        <v>18</v>
      </c>
      <c r="E171" s="33" t="s">
        <v>4</v>
      </c>
      <c r="F171" s="50"/>
      <c r="G171" s="33"/>
      <c r="H171" s="33"/>
      <c r="I171" s="33"/>
      <c r="J171" s="34"/>
      <c r="L171" s="33"/>
      <c r="M171" s="33"/>
    </row>
    <row r="172" spans="3:13" ht="25.8">
      <c r="C172" s="33"/>
      <c r="D172" s="33" t="s">
        <v>18</v>
      </c>
      <c r="E172" s="33" t="s">
        <v>4</v>
      </c>
      <c r="F172" s="50"/>
      <c r="G172" s="33"/>
      <c r="H172" s="33"/>
      <c r="I172" s="33"/>
      <c r="J172" s="34"/>
      <c r="L172" s="33"/>
      <c r="M172" s="33"/>
    </row>
    <row r="173" spans="3:13" ht="25.8">
      <c r="C173" s="33"/>
      <c r="D173" s="33" t="s">
        <v>18</v>
      </c>
      <c r="E173" s="33" t="s">
        <v>4</v>
      </c>
      <c r="F173" s="50"/>
      <c r="G173" s="33"/>
      <c r="H173" s="33"/>
      <c r="I173" s="33"/>
      <c r="J173" s="34"/>
      <c r="L173" s="33"/>
      <c r="M173" s="33"/>
    </row>
    <row r="174" spans="3:13" ht="25.8">
      <c r="C174" s="33"/>
      <c r="D174" s="33" t="s">
        <v>18</v>
      </c>
      <c r="E174" s="33" t="s">
        <v>4</v>
      </c>
      <c r="F174" s="50"/>
      <c r="G174" s="33"/>
      <c r="H174" s="33"/>
      <c r="I174" s="33"/>
      <c r="J174" s="34"/>
      <c r="L174" s="33"/>
      <c r="M174" s="33"/>
    </row>
    <row r="175" spans="3:13" ht="25.8">
      <c r="C175" s="33"/>
      <c r="D175" s="33" t="s">
        <v>18</v>
      </c>
      <c r="E175" s="33" t="s">
        <v>4</v>
      </c>
      <c r="F175" s="50"/>
      <c r="G175" s="33"/>
      <c r="H175" s="33"/>
      <c r="I175" s="33"/>
      <c r="J175" s="34"/>
      <c r="L175" s="33"/>
      <c r="M175" s="33"/>
    </row>
    <row r="176" spans="3:13" ht="25.8">
      <c r="C176" s="33"/>
      <c r="D176" s="33" t="s">
        <v>18</v>
      </c>
      <c r="E176" s="33" t="s">
        <v>4</v>
      </c>
      <c r="F176" s="50"/>
      <c r="G176" s="33"/>
      <c r="H176" s="33"/>
      <c r="I176" s="33"/>
      <c r="J176" s="34"/>
      <c r="L176" s="33"/>
      <c r="M176" s="33"/>
    </row>
    <row r="177" spans="3:13" ht="25.8">
      <c r="C177" s="33"/>
      <c r="D177" s="33" t="s">
        <v>18</v>
      </c>
      <c r="E177" s="33" t="s">
        <v>4</v>
      </c>
      <c r="F177" s="50"/>
      <c r="G177" s="33"/>
      <c r="H177" s="33"/>
      <c r="I177" s="33"/>
      <c r="J177" s="34"/>
      <c r="L177" s="33"/>
      <c r="M177" s="33"/>
    </row>
    <row r="178" spans="3:13" ht="25.8">
      <c r="C178" s="33"/>
      <c r="D178" s="33" t="s">
        <v>18</v>
      </c>
      <c r="E178" s="33" t="s">
        <v>4</v>
      </c>
      <c r="F178" s="50"/>
      <c r="G178" s="33"/>
      <c r="H178" s="33"/>
      <c r="I178" s="33"/>
      <c r="J178" s="34"/>
      <c r="L178" s="33"/>
      <c r="M178" s="33"/>
    </row>
    <row r="179" spans="3:13" ht="25.8">
      <c r="C179" s="33"/>
      <c r="D179" s="33" t="s">
        <v>18</v>
      </c>
      <c r="E179" s="33" t="s">
        <v>4</v>
      </c>
      <c r="F179" s="50"/>
      <c r="G179" s="33"/>
      <c r="H179" s="33"/>
      <c r="I179" s="33"/>
      <c r="J179" s="34"/>
      <c r="L179" s="33"/>
      <c r="M179" s="33"/>
    </row>
    <row r="180" spans="3:13" ht="25.8">
      <c r="C180" s="33"/>
      <c r="D180" s="33" t="s">
        <v>18</v>
      </c>
      <c r="E180" s="33" t="s">
        <v>4</v>
      </c>
      <c r="F180" s="50"/>
      <c r="G180" s="33"/>
      <c r="H180" s="33"/>
      <c r="I180" s="33"/>
      <c r="J180" s="34"/>
      <c r="L180" s="33"/>
      <c r="M180" s="33"/>
    </row>
    <row r="181" spans="3:13" ht="25.8">
      <c r="C181" s="33"/>
      <c r="D181" s="33" t="s">
        <v>18</v>
      </c>
      <c r="E181" s="33" t="s">
        <v>4</v>
      </c>
      <c r="F181" s="50"/>
      <c r="G181" s="33"/>
      <c r="H181" s="33"/>
      <c r="I181" s="33"/>
      <c r="J181" s="34"/>
      <c r="L181" s="33"/>
      <c r="M181" s="33"/>
    </row>
    <row r="182" spans="3:13" ht="25.8">
      <c r="C182" s="33"/>
      <c r="D182" s="33" t="s">
        <v>18</v>
      </c>
      <c r="E182" s="33" t="s">
        <v>4</v>
      </c>
      <c r="F182" s="50"/>
      <c r="G182" s="33"/>
      <c r="H182" s="33"/>
      <c r="I182" s="33"/>
      <c r="J182" s="34"/>
      <c r="L182" s="33"/>
      <c r="M182" s="33"/>
    </row>
    <row r="183" spans="3:13" ht="25.8">
      <c r="C183" s="33"/>
      <c r="D183" s="33" t="s">
        <v>18</v>
      </c>
      <c r="E183" s="33" t="s">
        <v>4</v>
      </c>
      <c r="F183" s="50"/>
      <c r="G183" s="33"/>
      <c r="H183" s="33"/>
      <c r="I183" s="33"/>
      <c r="J183" s="34"/>
      <c r="L183" s="33"/>
      <c r="M183" s="33"/>
    </row>
    <row r="184" spans="3:13" ht="25.8">
      <c r="C184" s="33"/>
      <c r="D184" s="33" t="s">
        <v>18</v>
      </c>
      <c r="E184" s="33" t="s">
        <v>4</v>
      </c>
      <c r="F184" s="50"/>
      <c r="G184" s="33"/>
      <c r="H184" s="33"/>
      <c r="I184" s="33"/>
      <c r="J184" s="34"/>
      <c r="L184" s="33"/>
      <c r="M184" s="33"/>
    </row>
    <row r="185" spans="3:13" ht="25.8">
      <c r="C185" s="33"/>
      <c r="D185" s="33" t="s">
        <v>18</v>
      </c>
      <c r="E185" s="33" t="s">
        <v>4</v>
      </c>
      <c r="F185" s="50"/>
      <c r="G185" s="33"/>
      <c r="H185" s="33"/>
      <c r="I185" s="33"/>
      <c r="J185" s="34"/>
      <c r="L185" s="33"/>
      <c r="M185" s="33"/>
    </row>
    <row r="186" spans="3:13" ht="25.8">
      <c r="C186" s="33"/>
      <c r="D186" s="33" t="s">
        <v>18</v>
      </c>
      <c r="E186" s="33" t="s">
        <v>4</v>
      </c>
      <c r="F186" s="50"/>
      <c r="G186" s="33"/>
      <c r="H186" s="33"/>
      <c r="I186" s="33"/>
      <c r="J186" s="34"/>
      <c r="L186" s="33"/>
      <c r="M186" s="33"/>
    </row>
    <row r="187" spans="3:13" ht="25.8">
      <c r="C187" s="33"/>
      <c r="D187" s="33" t="s">
        <v>18</v>
      </c>
      <c r="E187" s="33" t="s">
        <v>4</v>
      </c>
      <c r="F187" s="50"/>
      <c r="G187" s="33"/>
      <c r="H187" s="33"/>
      <c r="I187" s="33"/>
      <c r="J187" s="34"/>
      <c r="L187" s="33"/>
      <c r="M187" s="33"/>
    </row>
    <row r="188" spans="3:13" ht="25.8">
      <c r="C188" s="33"/>
      <c r="D188" s="33" t="s">
        <v>18</v>
      </c>
      <c r="E188" s="33" t="s">
        <v>4</v>
      </c>
      <c r="F188" s="50"/>
      <c r="G188" s="33"/>
      <c r="H188" s="33"/>
      <c r="I188" s="33"/>
      <c r="J188" s="34"/>
      <c r="L188" s="33"/>
      <c r="M188" s="33"/>
    </row>
    <row r="189" spans="3:13" ht="25.8">
      <c r="C189" s="33"/>
      <c r="D189" s="33" t="s">
        <v>18</v>
      </c>
      <c r="E189" s="33" t="s">
        <v>4</v>
      </c>
      <c r="F189" s="50"/>
      <c r="G189" s="33"/>
      <c r="H189" s="33"/>
      <c r="I189" s="33"/>
      <c r="J189" s="34"/>
      <c r="L189" s="33"/>
      <c r="M189" s="33"/>
    </row>
    <row r="190" spans="3:13" ht="25.8">
      <c r="C190" s="33"/>
      <c r="D190" s="33" t="s">
        <v>18</v>
      </c>
      <c r="E190" s="33" t="s">
        <v>4</v>
      </c>
      <c r="F190" s="50"/>
      <c r="G190" s="33"/>
      <c r="H190" s="33"/>
      <c r="I190" s="33"/>
      <c r="J190" s="34"/>
      <c r="L190" s="33"/>
      <c r="M190" s="33"/>
    </row>
    <row r="191" spans="3:13" ht="25.8">
      <c r="C191" s="33"/>
      <c r="D191" s="33" t="s">
        <v>18</v>
      </c>
      <c r="E191" s="33" t="s">
        <v>4</v>
      </c>
      <c r="F191" s="50"/>
      <c r="G191" s="33"/>
      <c r="H191" s="33"/>
      <c r="I191" s="33"/>
      <c r="J191" s="34"/>
      <c r="L191" s="33"/>
      <c r="M191" s="33"/>
    </row>
    <row r="192" spans="3:13" ht="25.8">
      <c r="C192" s="33"/>
      <c r="D192" s="33" t="s">
        <v>18</v>
      </c>
      <c r="E192" s="33" t="s">
        <v>4</v>
      </c>
      <c r="F192" s="50"/>
      <c r="G192" s="33"/>
      <c r="H192" s="33"/>
      <c r="I192" s="33"/>
      <c r="J192" s="34"/>
      <c r="L192" s="33"/>
      <c r="M192" s="33"/>
    </row>
    <row r="193" spans="3:13" ht="25.8">
      <c r="C193" s="33"/>
      <c r="D193" s="33" t="s">
        <v>18</v>
      </c>
      <c r="E193" s="33" t="s">
        <v>4</v>
      </c>
      <c r="F193" s="50"/>
      <c r="G193" s="33"/>
      <c r="H193" s="33"/>
      <c r="I193" s="33"/>
      <c r="J193" s="34"/>
      <c r="L193" s="33"/>
      <c r="M193" s="33"/>
    </row>
    <row r="194" spans="3:13" ht="25.8">
      <c r="C194" s="33"/>
      <c r="D194" s="33" t="s">
        <v>18</v>
      </c>
      <c r="E194" s="33" t="s">
        <v>4</v>
      </c>
      <c r="F194" s="50"/>
      <c r="G194" s="33"/>
      <c r="H194" s="33"/>
      <c r="I194" s="33"/>
      <c r="J194" s="34"/>
      <c r="L194" s="33"/>
      <c r="M194" s="33"/>
    </row>
    <row r="195" spans="3:13" ht="25.8">
      <c r="C195" s="33"/>
      <c r="D195" s="33" t="s">
        <v>18</v>
      </c>
      <c r="E195" s="33" t="s">
        <v>4</v>
      </c>
      <c r="F195" s="50"/>
      <c r="G195" s="33"/>
      <c r="H195" s="33"/>
      <c r="I195" s="33"/>
      <c r="J195" s="34"/>
      <c r="L195" s="33"/>
      <c r="M195" s="33"/>
    </row>
    <row r="196" spans="3:13" ht="25.8">
      <c r="C196" s="33"/>
      <c r="D196" s="33" t="s">
        <v>18</v>
      </c>
      <c r="E196" s="33" t="s">
        <v>4</v>
      </c>
      <c r="F196" s="50"/>
      <c r="G196" s="33"/>
      <c r="H196" s="33"/>
      <c r="I196" s="33"/>
      <c r="J196" s="34"/>
      <c r="L196" s="33"/>
      <c r="M196" s="33"/>
    </row>
    <row r="197" spans="3:13" ht="25.8">
      <c r="C197" s="33"/>
      <c r="D197" s="33" t="s">
        <v>18</v>
      </c>
      <c r="E197" s="33" t="s">
        <v>4</v>
      </c>
      <c r="F197" s="50"/>
      <c r="G197" s="33"/>
      <c r="H197" s="33"/>
      <c r="I197" s="33"/>
      <c r="J197" s="34"/>
      <c r="L197" s="33"/>
      <c r="M197" s="33"/>
    </row>
    <row r="198" spans="3:13" ht="25.8">
      <c r="C198" s="33"/>
      <c r="D198" s="33" t="s">
        <v>18</v>
      </c>
      <c r="E198" s="33" t="s">
        <v>4</v>
      </c>
      <c r="F198" s="50"/>
      <c r="G198" s="33"/>
      <c r="H198" s="33"/>
      <c r="I198" s="33"/>
      <c r="J198" s="34"/>
      <c r="L198" s="33"/>
      <c r="M198" s="33"/>
    </row>
    <row r="199" spans="3:13" ht="25.8">
      <c r="C199" s="33"/>
      <c r="D199" s="33" t="s">
        <v>18</v>
      </c>
      <c r="E199" s="33" t="s">
        <v>4</v>
      </c>
      <c r="F199" s="50"/>
      <c r="G199" s="33"/>
      <c r="H199" s="33"/>
      <c r="I199" s="33"/>
      <c r="J199" s="34"/>
      <c r="L199" s="33"/>
      <c r="M199" s="33"/>
    </row>
    <row r="200" spans="3:13" ht="25.8">
      <c r="C200" s="33"/>
      <c r="D200" s="33" t="s">
        <v>18</v>
      </c>
      <c r="E200" s="33" t="s">
        <v>4</v>
      </c>
      <c r="F200" s="50"/>
      <c r="G200" s="33"/>
      <c r="H200" s="33"/>
      <c r="I200" s="33"/>
      <c r="J200" s="34"/>
      <c r="L200" s="33"/>
      <c r="M200" s="33"/>
    </row>
    <row r="201" spans="3:13" ht="25.8">
      <c r="C201" s="33"/>
      <c r="D201" s="33" t="s">
        <v>18</v>
      </c>
      <c r="E201" s="33" t="s">
        <v>4</v>
      </c>
      <c r="F201" s="50"/>
      <c r="G201" s="33"/>
      <c r="H201" s="33"/>
      <c r="I201" s="33"/>
      <c r="J201" s="34"/>
      <c r="L201" s="33"/>
      <c r="M201" s="33"/>
    </row>
    <row r="202" spans="3:13" ht="25.8">
      <c r="C202" s="33"/>
      <c r="D202" s="33" t="s">
        <v>18</v>
      </c>
      <c r="E202" s="33" t="s">
        <v>4</v>
      </c>
      <c r="F202" s="50"/>
      <c r="G202" s="33"/>
      <c r="H202" s="33"/>
      <c r="I202" s="33"/>
      <c r="J202" s="34"/>
      <c r="L202" s="33"/>
      <c r="M202" s="33"/>
    </row>
    <row r="203" spans="3:13" ht="25.8">
      <c r="C203" s="33"/>
      <c r="D203" s="33" t="s">
        <v>18</v>
      </c>
      <c r="E203" s="33" t="s">
        <v>4</v>
      </c>
      <c r="F203" s="50"/>
      <c r="G203" s="33"/>
      <c r="H203" s="33"/>
      <c r="I203" s="33"/>
      <c r="J203" s="34"/>
      <c r="L203" s="33"/>
      <c r="M203" s="33"/>
    </row>
    <row r="204" spans="3:13" ht="25.8">
      <c r="C204" s="33"/>
      <c r="D204" s="33" t="s">
        <v>18</v>
      </c>
      <c r="E204" s="33" t="s">
        <v>4</v>
      </c>
      <c r="F204" s="50"/>
      <c r="G204" s="33"/>
      <c r="H204" s="33"/>
      <c r="I204" s="33"/>
      <c r="J204" s="34"/>
      <c r="L204" s="33"/>
      <c r="M204" s="33"/>
    </row>
    <row r="205" spans="3:13" ht="25.8">
      <c r="C205" s="33"/>
      <c r="D205" s="33" t="s">
        <v>18</v>
      </c>
      <c r="E205" s="33" t="s">
        <v>4</v>
      </c>
      <c r="F205" s="50"/>
      <c r="G205" s="33"/>
      <c r="H205" s="33"/>
      <c r="I205" s="33"/>
      <c r="J205" s="34"/>
      <c r="L205" s="33"/>
      <c r="M205" s="33"/>
    </row>
    <row r="206" spans="3:13" ht="25.8">
      <c r="C206" s="33"/>
      <c r="D206" s="33" t="s">
        <v>18</v>
      </c>
      <c r="E206" s="33" t="s">
        <v>4</v>
      </c>
      <c r="F206" s="50"/>
      <c r="G206" s="33"/>
      <c r="H206" s="33"/>
      <c r="I206" s="33"/>
      <c r="J206" s="34"/>
      <c r="L206" s="33"/>
      <c r="M206" s="33"/>
    </row>
    <row r="207" spans="3:13" ht="25.8">
      <c r="C207" s="33"/>
      <c r="D207" s="33" t="s">
        <v>18</v>
      </c>
      <c r="E207" s="33" t="s">
        <v>4</v>
      </c>
      <c r="F207" s="50"/>
      <c r="G207" s="33"/>
      <c r="H207" s="33"/>
      <c r="I207" s="33"/>
      <c r="J207" s="34"/>
      <c r="L207" s="33"/>
      <c r="M207" s="33"/>
    </row>
    <row r="208" spans="3:13" ht="25.8">
      <c r="C208" s="33"/>
      <c r="D208" s="33" t="s">
        <v>18</v>
      </c>
      <c r="E208" s="33" t="s">
        <v>4</v>
      </c>
      <c r="F208" s="50"/>
      <c r="G208" s="33"/>
      <c r="H208" s="33"/>
      <c r="I208" s="33"/>
      <c r="J208" s="34"/>
      <c r="L208" s="33"/>
      <c r="M208" s="33"/>
    </row>
    <row r="209" spans="3:13" ht="25.8">
      <c r="C209" s="33"/>
      <c r="D209" s="33" t="s">
        <v>18</v>
      </c>
      <c r="E209" s="33" t="s">
        <v>4</v>
      </c>
      <c r="F209" s="50"/>
      <c r="G209" s="33"/>
      <c r="H209" s="33"/>
      <c r="I209" s="33"/>
      <c r="J209" s="34"/>
      <c r="L209" s="33"/>
      <c r="M209" s="33"/>
    </row>
    <row r="210" spans="3:13" ht="25.8">
      <c r="C210" s="33"/>
      <c r="D210" s="33" t="s">
        <v>18</v>
      </c>
      <c r="E210" s="33" t="s">
        <v>4</v>
      </c>
      <c r="F210" s="50"/>
      <c r="G210" s="33"/>
      <c r="H210" s="33"/>
      <c r="I210" s="33"/>
      <c r="J210" s="34"/>
      <c r="L210" s="33"/>
      <c r="M210" s="33"/>
    </row>
    <row r="211" spans="3:13" ht="25.8">
      <c r="C211" s="33"/>
      <c r="D211" s="33" t="s">
        <v>18</v>
      </c>
      <c r="E211" s="33" t="s">
        <v>4</v>
      </c>
      <c r="F211" s="50"/>
      <c r="G211" s="33"/>
      <c r="H211" s="33"/>
      <c r="I211" s="33"/>
      <c r="J211" s="34"/>
      <c r="L211" s="33"/>
      <c r="M211" s="33"/>
    </row>
    <row r="212" spans="3:13" ht="25.8">
      <c r="C212" s="33"/>
      <c r="D212" s="33" t="s">
        <v>18</v>
      </c>
      <c r="E212" s="33" t="s">
        <v>4</v>
      </c>
      <c r="F212" s="50"/>
      <c r="G212" s="33"/>
      <c r="H212" s="33"/>
      <c r="I212" s="33"/>
      <c r="J212" s="34"/>
      <c r="L212" s="33"/>
      <c r="M212" s="33"/>
    </row>
    <row r="213" spans="3:13" ht="25.8">
      <c r="C213" s="33"/>
      <c r="D213" s="33" t="s">
        <v>18</v>
      </c>
      <c r="E213" s="33" t="s">
        <v>4</v>
      </c>
      <c r="F213" s="50"/>
      <c r="G213" s="33"/>
      <c r="H213" s="33"/>
      <c r="I213" s="33"/>
      <c r="J213" s="34"/>
      <c r="L213" s="33"/>
      <c r="M213" s="33"/>
    </row>
    <row r="214" spans="3:13" ht="25.8">
      <c r="C214" s="33"/>
      <c r="D214" s="33" t="s">
        <v>18</v>
      </c>
      <c r="E214" s="33" t="s">
        <v>4</v>
      </c>
      <c r="F214" s="50"/>
      <c r="G214" s="33"/>
      <c r="H214" s="33"/>
      <c r="I214" s="33"/>
      <c r="J214" s="34"/>
      <c r="L214" s="33"/>
      <c r="M214" s="33"/>
    </row>
    <row r="215" spans="3:13" ht="25.8">
      <c r="C215" s="33"/>
      <c r="D215" s="33" t="s">
        <v>18</v>
      </c>
      <c r="E215" s="33" t="s">
        <v>4</v>
      </c>
      <c r="F215" s="50"/>
      <c r="G215" s="33"/>
      <c r="H215" s="33"/>
      <c r="I215" s="33"/>
      <c r="J215" s="34"/>
      <c r="L215" s="33"/>
      <c r="M215" s="33"/>
    </row>
    <row r="216" spans="3:13" ht="25.8">
      <c r="C216" s="33"/>
      <c r="D216" s="33" t="s">
        <v>18</v>
      </c>
      <c r="E216" s="33" t="s">
        <v>4</v>
      </c>
      <c r="F216" s="50"/>
      <c r="G216" s="33"/>
      <c r="H216" s="33"/>
      <c r="I216" s="33"/>
      <c r="J216" s="34"/>
      <c r="L216" s="33"/>
      <c r="M216" s="33"/>
    </row>
    <row r="217" spans="3:13" ht="25.8">
      <c r="C217" s="33"/>
      <c r="D217" s="33" t="s">
        <v>18</v>
      </c>
      <c r="E217" s="33" t="s">
        <v>4</v>
      </c>
      <c r="F217" s="50"/>
      <c r="G217" s="33"/>
      <c r="H217" s="33"/>
      <c r="I217" s="33"/>
      <c r="J217" s="34"/>
      <c r="L217" s="33"/>
      <c r="M217" s="33"/>
    </row>
    <row r="218" spans="3:13" ht="25.8">
      <c r="C218" s="33"/>
      <c r="D218" s="33" t="s">
        <v>18</v>
      </c>
      <c r="E218" s="33" t="s">
        <v>4</v>
      </c>
      <c r="F218" s="50"/>
      <c r="G218" s="33"/>
      <c r="H218" s="33"/>
      <c r="I218" s="33"/>
      <c r="J218" s="34"/>
      <c r="L218" s="33"/>
      <c r="M218" s="33"/>
    </row>
    <row r="219" spans="3:13" ht="25.8">
      <c r="C219" s="33"/>
      <c r="D219" s="33" t="s">
        <v>18</v>
      </c>
      <c r="E219" s="33" t="s">
        <v>4</v>
      </c>
      <c r="F219" s="50"/>
      <c r="G219" s="33"/>
      <c r="H219" s="33"/>
      <c r="I219" s="33"/>
      <c r="J219" s="34"/>
      <c r="L219" s="33"/>
      <c r="M219" s="33"/>
    </row>
    <row r="220" spans="3:13" ht="25.8">
      <c r="C220" s="33"/>
      <c r="D220" s="33" t="s">
        <v>18</v>
      </c>
      <c r="E220" s="33" t="s">
        <v>4</v>
      </c>
      <c r="F220" s="50"/>
      <c r="G220" s="33"/>
      <c r="H220" s="33"/>
      <c r="I220" s="33"/>
      <c r="J220" s="34"/>
      <c r="L220" s="33"/>
      <c r="M220" s="33"/>
    </row>
    <row r="221" spans="3:13" ht="25.8">
      <c r="C221" s="33"/>
      <c r="D221" s="33" t="s">
        <v>18</v>
      </c>
      <c r="E221" s="33" t="s">
        <v>4</v>
      </c>
      <c r="F221" s="50"/>
      <c r="G221" s="33"/>
      <c r="H221" s="33"/>
      <c r="I221" s="33"/>
      <c r="J221" s="34"/>
      <c r="L221" s="33"/>
      <c r="M221" s="33"/>
    </row>
    <row r="222" spans="3:13" ht="25.8">
      <c r="C222" s="33"/>
      <c r="D222" s="33" t="s">
        <v>18</v>
      </c>
      <c r="E222" s="33" t="s">
        <v>4</v>
      </c>
      <c r="F222" s="50"/>
      <c r="G222" s="33"/>
      <c r="H222" s="33"/>
      <c r="I222" s="33"/>
      <c r="J222" s="34"/>
      <c r="L222" s="33"/>
      <c r="M222" s="33"/>
    </row>
    <row r="223" spans="3:13" ht="25.8">
      <c r="C223" s="33"/>
      <c r="D223" s="33" t="s">
        <v>18</v>
      </c>
      <c r="E223" s="33" t="s">
        <v>4</v>
      </c>
      <c r="F223" s="50"/>
      <c r="G223" s="33"/>
      <c r="H223" s="33"/>
      <c r="I223" s="33"/>
      <c r="J223" s="34"/>
      <c r="L223" s="33"/>
      <c r="M223" s="33"/>
    </row>
    <row r="224" spans="3:13" ht="25.8">
      <c r="C224" s="33"/>
      <c r="D224" s="33" t="s">
        <v>18</v>
      </c>
      <c r="E224" s="33" t="s">
        <v>4</v>
      </c>
      <c r="F224" s="50"/>
      <c r="G224" s="33"/>
      <c r="H224" s="33"/>
      <c r="I224" s="33"/>
      <c r="J224" s="34"/>
      <c r="L224" s="33"/>
      <c r="M224" s="33"/>
    </row>
    <row r="225" spans="3:13" ht="25.8">
      <c r="C225" s="33"/>
      <c r="D225" s="33" t="s">
        <v>18</v>
      </c>
      <c r="E225" s="33" t="s">
        <v>4</v>
      </c>
      <c r="F225" s="50"/>
      <c r="G225" s="33"/>
      <c r="H225" s="33"/>
      <c r="I225" s="33"/>
      <c r="J225" s="34"/>
      <c r="L225" s="33"/>
      <c r="M225" s="33"/>
    </row>
    <row r="226" spans="3:13" ht="25.8">
      <c r="C226" s="33"/>
      <c r="D226" s="33" t="s">
        <v>18</v>
      </c>
      <c r="E226" s="33" t="s">
        <v>4</v>
      </c>
      <c r="F226" s="50"/>
      <c r="G226" s="33"/>
      <c r="H226" s="33"/>
      <c r="I226" s="33"/>
      <c r="J226" s="34"/>
      <c r="L226" s="33"/>
      <c r="M226" s="33"/>
    </row>
    <row r="227" spans="3:13" ht="25.8">
      <c r="C227" s="33"/>
      <c r="D227" s="33" t="s">
        <v>18</v>
      </c>
      <c r="E227" s="33" t="s">
        <v>4</v>
      </c>
      <c r="F227" s="50"/>
      <c r="G227" s="33"/>
      <c r="H227" s="33"/>
      <c r="I227" s="33"/>
      <c r="J227" s="34"/>
      <c r="L227" s="33"/>
      <c r="M227" s="33"/>
    </row>
    <row r="228" spans="3:13" ht="25.8">
      <c r="C228" s="33"/>
      <c r="D228" s="33" t="s">
        <v>18</v>
      </c>
      <c r="E228" s="33" t="s">
        <v>4</v>
      </c>
      <c r="F228" s="50"/>
      <c r="G228" s="33"/>
      <c r="H228" s="33"/>
      <c r="I228" s="33"/>
      <c r="J228" s="34"/>
      <c r="L228" s="33"/>
      <c r="M228" s="33"/>
    </row>
    <row r="229" spans="3:13" ht="25.8">
      <c r="C229" s="33"/>
      <c r="D229" s="33" t="s">
        <v>18</v>
      </c>
      <c r="E229" s="33" t="s">
        <v>4</v>
      </c>
      <c r="F229" s="50"/>
      <c r="G229" s="33"/>
      <c r="H229" s="33"/>
      <c r="I229" s="33"/>
      <c r="J229" s="34"/>
      <c r="L229" s="33"/>
      <c r="M229" s="33"/>
    </row>
    <row r="230" spans="3:13" ht="25.8">
      <c r="C230" s="33"/>
      <c r="D230" s="33" t="s">
        <v>18</v>
      </c>
      <c r="E230" s="33" t="s">
        <v>4</v>
      </c>
      <c r="F230" s="50"/>
      <c r="G230" s="33"/>
      <c r="H230" s="33"/>
      <c r="I230" s="33"/>
      <c r="J230" s="34"/>
      <c r="L230" s="33"/>
      <c r="M230" s="33"/>
    </row>
    <row r="231" spans="3:13" ht="25.8">
      <c r="C231" s="33"/>
      <c r="D231" s="33" t="s">
        <v>18</v>
      </c>
      <c r="E231" s="33" t="s">
        <v>4</v>
      </c>
      <c r="F231" s="50"/>
      <c r="G231" s="33"/>
      <c r="H231" s="33"/>
      <c r="I231" s="33"/>
      <c r="J231" s="34"/>
      <c r="L231" s="33"/>
      <c r="M231" s="33"/>
    </row>
    <row r="232" spans="3:13" ht="25.8">
      <c r="C232" s="33"/>
      <c r="D232" s="33" t="s">
        <v>18</v>
      </c>
      <c r="E232" s="33" t="s">
        <v>4</v>
      </c>
      <c r="F232" s="50"/>
      <c r="G232" s="33"/>
      <c r="H232" s="33"/>
      <c r="I232" s="33"/>
      <c r="J232" s="34"/>
      <c r="L232" s="33"/>
      <c r="M232" s="33"/>
    </row>
    <row r="233" spans="3:13" ht="25.8">
      <c r="C233" s="33"/>
      <c r="D233" s="33" t="s">
        <v>18</v>
      </c>
      <c r="E233" s="33" t="s">
        <v>4</v>
      </c>
      <c r="F233" s="50"/>
      <c r="G233" s="33"/>
      <c r="H233" s="33"/>
      <c r="I233" s="33"/>
      <c r="J233" s="34"/>
      <c r="L233" s="33"/>
      <c r="M233" s="33"/>
    </row>
    <row r="234" spans="3:13" ht="25.8">
      <c r="C234" s="33"/>
      <c r="D234" s="33" t="s">
        <v>18</v>
      </c>
      <c r="E234" s="33" t="s">
        <v>4</v>
      </c>
      <c r="F234" s="50"/>
      <c r="G234" s="33"/>
      <c r="H234" s="33"/>
      <c r="I234" s="33"/>
      <c r="J234" s="34"/>
      <c r="L234" s="33"/>
      <c r="M234" s="33"/>
    </row>
    <row r="235" spans="3:13" ht="25.8">
      <c r="C235" s="33"/>
      <c r="D235" s="33" t="s">
        <v>18</v>
      </c>
      <c r="E235" s="33" t="s">
        <v>4</v>
      </c>
      <c r="F235" s="50"/>
      <c r="G235" s="33"/>
      <c r="H235" s="33"/>
      <c r="I235" s="33"/>
      <c r="J235" s="34"/>
      <c r="L235" s="33"/>
      <c r="M235" s="33"/>
    </row>
    <row r="236" spans="3:13" ht="25.8">
      <c r="C236" s="33"/>
      <c r="D236" s="33" t="s">
        <v>18</v>
      </c>
      <c r="E236" s="33" t="s">
        <v>4</v>
      </c>
      <c r="F236" s="50"/>
      <c r="G236" s="33"/>
      <c r="H236" s="33"/>
      <c r="I236" s="33"/>
      <c r="J236" s="34"/>
      <c r="L236" s="33"/>
      <c r="M236" s="33"/>
    </row>
    <row r="237" spans="3:13" ht="25.8">
      <c r="C237" s="33"/>
      <c r="D237" s="33" t="s">
        <v>18</v>
      </c>
      <c r="E237" s="33" t="s">
        <v>4</v>
      </c>
      <c r="F237" s="50"/>
      <c r="G237" s="33"/>
      <c r="H237" s="33"/>
      <c r="I237" s="33"/>
      <c r="J237" s="34"/>
      <c r="L237" s="33"/>
      <c r="M237" s="33"/>
    </row>
    <row r="238" spans="3:13" ht="25.8">
      <c r="C238" s="33"/>
      <c r="D238" s="33" t="s">
        <v>18</v>
      </c>
      <c r="E238" s="33" t="s">
        <v>4</v>
      </c>
      <c r="F238" s="50"/>
      <c r="G238" s="33"/>
      <c r="H238" s="33"/>
      <c r="I238" s="33"/>
      <c r="J238" s="34"/>
      <c r="L238" s="33"/>
      <c r="M238" s="33"/>
    </row>
    <row r="239" spans="3:13" ht="25.8">
      <c r="C239" s="33"/>
      <c r="D239" s="33" t="s">
        <v>18</v>
      </c>
      <c r="E239" s="33" t="s">
        <v>4</v>
      </c>
      <c r="F239" s="50"/>
      <c r="G239" s="33"/>
      <c r="H239" s="33"/>
      <c r="I239" s="33"/>
      <c r="J239" s="34"/>
      <c r="L239" s="33"/>
      <c r="M239" s="33"/>
    </row>
    <row r="240" spans="3:13" ht="25.8">
      <c r="C240" s="33"/>
      <c r="D240" s="33" t="s">
        <v>18</v>
      </c>
      <c r="E240" s="33" t="s">
        <v>4</v>
      </c>
      <c r="F240" s="50"/>
      <c r="G240" s="33"/>
      <c r="H240" s="33"/>
      <c r="I240" s="33"/>
      <c r="J240" s="34"/>
      <c r="L240" s="33"/>
      <c r="M240" s="33"/>
    </row>
    <row r="241" spans="3:13" ht="25.8">
      <c r="C241" s="33"/>
      <c r="D241" s="33" t="s">
        <v>18</v>
      </c>
      <c r="E241" s="33" t="s">
        <v>4</v>
      </c>
      <c r="F241" s="50"/>
      <c r="G241" s="33"/>
      <c r="H241" s="33"/>
      <c r="I241" s="33"/>
      <c r="J241" s="34"/>
      <c r="L241" s="33"/>
      <c r="M241" s="33"/>
    </row>
    <row r="242" spans="3:13" ht="25.8">
      <c r="C242" s="33"/>
      <c r="D242" s="33" t="s">
        <v>18</v>
      </c>
      <c r="E242" s="33" t="s">
        <v>4</v>
      </c>
      <c r="F242" s="50"/>
      <c r="G242" s="33"/>
      <c r="H242" s="33"/>
      <c r="I242" s="33"/>
      <c r="J242" s="34"/>
      <c r="L242" s="33"/>
      <c r="M242" s="33"/>
    </row>
    <row r="243" spans="3:13" ht="25.8">
      <c r="C243" s="33"/>
      <c r="D243" s="33" t="s">
        <v>18</v>
      </c>
      <c r="E243" s="33" t="s">
        <v>4</v>
      </c>
      <c r="F243" s="50"/>
      <c r="G243" s="33"/>
      <c r="H243" s="33"/>
      <c r="I243" s="33"/>
      <c r="J243" s="34"/>
      <c r="L243" s="33"/>
      <c r="M243" s="33"/>
    </row>
    <row r="244" spans="3:13" ht="25.8">
      <c r="C244" s="33"/>
      <c r="D244" s="33" t="s">
        <v>18</v>
      </c>
      <c r="E244" s="33" t="s">
        <v>4</v>
      </c>
      <c r="F244" s="50"/>
      <c r="G244" s="33"/>
      <c r="H244" s="33"/>
      <c r="I244" s="33"/>
      <c r="J244" s="34"/>
      <c r="L244" s="33"/>
      <c r="M244" s="33"/>
    </row>
    <row r="245" spans="3:13" ht="25.8">
      <c r="C245" s="33"/>
      <c r="D245" s="33" t="s">
        <v>18</v>
      </c>
      <c r="E245" s="33" t="s">
        <v>4</v>
      </c>
      <c r="F245" s="50"/>
      <c r="G245" s="33"/>
      <c r="H245" s="33"/>
      <c r="I245" s="33"/>
      <c r="J245" s="34"/>
      <c r="L245" s="33"/>
      <c r="M245" s="33"/>
    </row>
    <row r="246" spans="3:13" ht="25.8">
      <c r="C246" s="33"/>
      <c r="D246" s="33" t="s">
        <v>18</v>
      </c>
      <c r="E246" s="33" t="s">
        <v>4</v>
      </c>
      <c r="F246" s="50"/>
      <c r="G246" s="33"/>
      <c r="H246" s="33"/>
      <c r="I246" s="33"/>
      <c r="J246" s="34"/>
      <c r="L246" s="33"/>
      <c r="M246" s="33"/>
    </row>
    <row r="247" spans="3:13" ht="25.8">
      <c r="C247" s="33"/>
      <c r="D247" s="33" t="s">
        <v>18</v>
      </c>
      <c r="E247" s="33" t="s">
        <v>4</v>
      </c>
      <c r="F247" s="50"/>
      <c r="G247" s="33"/>
      <c r="H247" s="33"/>
      <c r="I247" s="33"/>
      <c r="J247" s="34"/>
      <c r="L247" s="33"/>
      <c r="M247" s="33"/>
    </row>
    <row r="248" spans="3:13" ht="25.8">
      <c r="C248" s="33"/>
      <c r="D248" s="33" t="s">
        <v>18</v>
      </c>
      <c r="E248" s="33" t="s">
        <v>4</v>
      </c>
      <c r="F248" s="50"/>
      <c r="G248" s="33"/>
      <c r="H248" s="33"/>
      <c r="I248" s="33"/>
      <c r="J248" s="34"/>
      <c r="L248" s="33"/>
      <c r="M248" s="33"/>
    </row>
    <row r="249" spans="3:13" ht="25.8">
      <c r="C249" s="33"/>
      <c r="D249" s="33" t="s">
        <v>18</v>
      </c>
      <c r="E249" s="33" t="s">
        <v>4</v>
      </c>
      <c r="F249" s="50"/>
      <c r="G249" s="33"/>
      <c r="H249" s="33"/>
      <c r="I249" s="33"/>
      <c r="J249" s="34"/>
      <c r="L249" s="33"/>
      <c r="M249" s="33"/>
    </row>
    <row r="250" spans="3:13" ht="25.8">
      <c r="C250" s="33"/>
      <c r="D250" s="33" t="s">
        <v>18</v>
      </c>
      <c r="E250" s="33" t="s">
        <v>4</v>
      </c>
      <c r="F250" s="50"/>
      <c r="G250" s="33"/>
      <c r="H250" s="33"/>
      <c r="I250" s="33"/>
      <c r="J250" s="34"/>
      <c r="L250" s="33"/>
      <c r="M250" s="33"/>
    </row>
    <row r="251" spans="3:13" ht="25.8">
      <c r="C251" s="33"/>
      <c r="D251" s="33" t="s">
        <v>18</v>
      </c>
      <c r="E251" s="33" t="s">
        <v>4</v>
      </c>
      <c r="F251" s="50"/>
      <c r="G251" s="33"/>
      <c r="H251" s="33"/>
      <c r="I251" s="33"/>
      <c r="J251" s="34"/>
      <c r="L251" s="33"/>
      <c r="M251" s="33"/>
    </row>
    <row r="252" spans="3:13" ht="25.8">
      <c r="C252" s="33"/>
      <c r="D252" s="33" t="s">
        <v>18</v>
      </c>
      <c r="E252" s="33" t="s">
        <v>4</v>
      </c>
      <c r="F252" s="50"/>
      <c r="G252" s="33"/>
      <c r="H252" s="33"/>
      <c r="I252" s="33"/>
      <c r="J252" s="34"/>
      <c r="L252" s="33"/>
      <c r="M252" s="33"/>
    </row>
    <row r="253" spans="3:13" ht="25.8">
      <c r="C253" s="33"/>
      <c r="D253" s="33" t="s">
        <v>18</v>
      </c>
      <c r="E253" s="33" t="s">
        <v>4</v>
      </c>
      <c r="F253" s="50"/>
      <c r="G253" s="33"/>
      <c r="H253" s="33"/>
      <c r="I253" s="33"/>
      <c r="J253" s="34"/>
      <c r="L253" s="33"/>
      <c r="M253" s="33"/>
    </row>
    <row r="254" spans="3:13" ht="25.8">
      <c r="C254" s="33"/>
      <c r="D254" s="33" t="s">
        <v>18</v>
      </c>
      <c r="E254" s="33" t="s">
        <v>4</v>
      </c>
      <c r="F254" s="50"/>
      <c r="G254" s="33"/>
      <c r="H254" s="33"/>
      <c r="I254" s="33"/>
      <c r="J254" s="34"/>
      <c r="L254" s="33"/>
      <c r="M254" s="33"/>
    </row>
    <row r="255" spans="3:13" ht="25.8">
      <c r="C255" s="33"/>
      <c r="D255" s="33" t="s">
        <v>18</v>
      </c>
      <c r="E255" s="33" t="s">
        <v>4</v>
      </c>
      <c r="F255" s="50"/>
      <c r="G255" s="33"/>
      <c r="H255" s="33"/>
      <c r="I255" s="33"/>
      <c r="J255" s="34"/>
      <c r="L255" s="33"/>
      <c r="M255" s="33"/>
    </row>
    <row r="256" spans="3:13" ht="25.8">
      <c r="C256" s="33"/>
      <c r="D256" s="33" t="s">
        <v>18</v>
      </c>
      <c r="E256" s="33" t="s">
        <v>4</v>
      </c>
      <c r="F256" s="50"/>
      <c r="G256" s="33"/>
      <c r="H256" s="33"/>
      <c r="I256" s="33"/>
      <c r="J256" s="34"/>
      <c r="L256" s="33"/>
      <c r="M256" s="33"/>
    </row>
    <row r="257" spans="3:13" ht="25.8">
      <c r="C257" s="33"/>
      <c r="D257" s="33" t="s">
        <v>18</v>
      </c>
      <c r="E257" s="33" t="s">
        <v>4</v>
      </c>
      <c r="F257" s="50"/>
      <c r="G257" s="33"/>
      <c r="H257" s="33"/>
      <c r="I257" s="33"/>
      <c r="J257" s="34"/>
      <c r="L257" s="33"/>
      <c r="M257" s="33"/>
    </row>
    <row r="258" spans="3:13" ht="25.8">
      <c r="C258" s="33"/>
      <c r="D258" s="33" t="s">
        <v>18</v>
      </c>
      <c r="E258" s="33" t="s">
        <v>4</v>
      </c>
      <c r="F258" s="50"/>
      <c r="G258" s="33"/>
      <c r="H258" s="33"/>
      <c r="I258" s="33"/>
      <c r="J258" s="34"/>
      <c r="L258" s="33"/>
      <c r="M258" s="33"/>
    </row>
    <row r="259" spans="3:13" ht="25.8">
      <c r="C259" s="33"/>
      <c r="D259" s="33" t="s">
        <v>18</v>
      </c>
      <c r="E259" s="33" t="s">
        <v>4</v>
      </c>
      <c r="F259" s="50"/>
      <c r="G259" s="33"/>
      <c r="H259" s="33"/>
      <c r="I259" s="33"/>
      <c r="J259" s="34"/>
      <c r="L259" s="33"/>
      <c r="M259" s="33"/>
    </row>
    <row r="260" spans="3:13" ht="25.8">
      <c r="C260" s="33"/>
      <c r="D260" s="33" t="s">
        <v>18</v>
      </c>
      <c r="E260" s="33" t="s">
        <v>4</v>
      </c>
      <c r="F260" s="50"/>
      <c r="G260" s="33"/>
      <c r="H260" s="33"/>
      <c r="I260" s="33"/>
      <c r="J260" s="34"/>
      <c r="L260" s="33"/>
      <c r="M260" s="33"/>
    </row>
    <row r="261" spans="3:13" ht="25.8">
      <c r="C261" s="33"/>
      <c r="D261" s="33" t="s">
        <v>18</v>
      </c>
      <c r="E261" s="33" t="s">
        <v>4</v>
      </c>
      <c r="F261" s="50"/>
      <c r="G261" s="33"/>
      <c r="H261" s="33"/>
      <c r="I261" s="33"/>
      <c r="J261" s="34"/>
      <c r="L261" s="33"/>
      <c r="M261" s="33"/>
    </row>
    <row r="262" spans="3:13" ht="25.8">
      <c r="C262" s="33"/>
      <c r="D262" s="33" t="s">
        <v>18</v>
      </c>
      <c r="E262" s="33" t="s">
        <v>4</v>
      </c>
      <c r="F262" s="50"/>
      <c r="G262" s="33"/>
      <c r="H262" s="33"/>
      <c r="I262" s="33"/>
      <c r="J262" s="34"/>
      <c r="L262" s="33"/>
      <c r="M262" s="33"/>
    </row>
    <row r="263" spans="3:13" ht="25.8">
      <c r="C263" s="33"/>
      <c r="D263" s="33" t="s">
        <v>18</v>
      </c>
      <c r="E263" s="33" t="s">
        <v>4</v>
      </c>
      <c r="F263" s="50"/>
      <c r="G263" s="33"/>
      <c r="H263" s="33"/>
      <c r="I263" s="33"/>
      <c r="J263" s="34"/>
      <c r="L263" s="33"/>
      <c r="M263" s="33"/>
    </row>
    <row r="264" spans="3:13" ht="25.8">
      <c r="C264" s="33"/>
      <c r="D264" s="33" t="s">
        <v>18</v>
      </c>
      <c r="E264" s="33" t="s">
        <v>4</v>
      </c>
      <c r="F264" s="50"/>
      <c r="G264" s="33"/>
      <c r="H264" s="33"/>
      <c r="I264" s="33"/>
      <c r="J264" s="34"/>
      <c r="L264" s="33"/>
      <c r="M264" s="33"/>
    </row>
    <row r="265" spans="3:13" ht="25.8">
      <c r="C265" s="33"/>
      <c r="D265" s="33" t="s">
        <v>18</v>
      </c>
      <c r="E265" s="33" t="s">
        <v>4</v>
      </c>
      <c r="F265" s="50"/>
      <c r="G265" s="33"/>
      <c r="H265" s="33"/>
      <c r="I265" s="33"/>
      <c r="J265" s="34"/>
      <c r="L265" s="33"/>
      <c r="M265" s="33"/>
    </row>
    <row r="266" spans="3:13" ht="25.8">
      <c r="C266" s="33"/>
      <c r="D266" s="33" t="s">
        <v>18</v>
      </c>
      <c r="E266" s="33" t="s">
        <v>4</v>
      </c>
      <c r="F266" s="50"/>
      <c r="G266" s="33"/>
      <c r="H266" s="33"/>
      <c r="I266" s="33"/>
      <c r="J266" s="34"/>
      <c r="L266" s="33"/>
      <c r="M266" s="33"/>
    </row>
    <row r="267" spans="3:13" ht="25.8">
      <c r="C267" s="33"/>
      <c r="D267" s="33" t="s">
        <v>18</v>
      </c>
      <c r="E267" s="33" t="s">
        <v>4</v>
      </c>
      <c r="F267" s="50"/>
      <c r="G267" s="33"/>
      <c r="H267" s="33"/>
      <c r="I267" s="33"/>
      <c r="J267" s="34"/>
      <c r="L267" s="33"/>
      <c r="M267" s="33"/>
    </row>
    <row r="268" spans="3:13" ht="25.8">
      <c r="C268" s="33"/>
      <c r="D268" s="33" t="s">
        <v>18</v>
      </c>
      <c r="E268" s="33" t="s">
        <v>4</v>
      </c>
      <c r="F268" s="50"/>
      <c r="G268" s="33"/>
      <c r="H268" s="33"/>
      <c r="I268" s="33"/>
      <c r="J268" s="34"/>
      <c r="L268" s="33"/>
      <c r="M268" s="33"/>
    </row>
    <row r="269" spans="3:13" ht="25.8">
      <c r="C269" s="33"/>
      <c r="D269" s="33" t="s">
        <v>18</v>
      </c>
      <c r="E269" s="33" t="s">
        <v>4</v>
      </c>
      <c r="F269" s="50"/>
      <c r="G269" s="33"/>
      <c r="H269" s="33"/>
      <c r="I269" s="33"/>
      <c r="J269" s="34"/>
      <c r="L269" s="33"/>
      <c r="M269" s="33"/>
    </row>
    <row r="270" spans="3:13" ht="25.8">
      <c r="C270" s="33"/>
      <c r="D270" s="33" t="s">
        <v>18</v>
      </c>
      <c r="E270" s="33" t="s">
        <v>4</v>
      </c>
      <c r="F270" s="50"/>
      <c r="G270" s="33"/>
      <c r="H270" s="33"/>
      <c r="I270" s="33"/>
      <c r="J270" s="34"/>
      <c r="L270" s="33"/>
      <c r="M270" s="33"/>
    </row>
    <row r="271" spans="3:13" ht="25.8">
      <c r="C271" s="33"/>
      <c r="D271" s="33" t="s">
        <v>18</v>
      </c>
      <c r="E271" s="33" t="s">
        <v>4</v>
      </c>
      <c r="F271" s="50"/>
      <c r="G271" s="33"/>
      <c r="H271" s="33"/>
      <c r="I271" s="33"/>
      <c r="J271" s="34"/>
      <c r="L271" s="33"/>
      <c r="M271" s="33"/>
    </row>
    <row r="272" spans="3:13" ht="25.8">
      <c r="C272" s="33"/>
      <c r="D272" s="33" t="s">
        <v>18</v>
      </c>
      <c r="E272" s="33" t="s">
        <v>4</v>
      </c>
      <c r="F272" s="50"/>
      <c r="G272" s="33"/>
      <c r="H272" s="33"/>
      <c r="I272" s="33"/>
      <c r="J272" s="34"/>
      <c r="L272" s="33"/>
      <c r="M272" s="33"/>
    </row>
    <row r="273" spans="3:13" ht="25.8">
      <c r="C273" s="33"/>
      <c r="D273" s="33" t="s">
        <v>18</v>
      </c>
      <c r="E273" s="33" t="s">
        <v>4</v>
      </c>
      <c r="F273" s="50"/>
      <c r="G273" s="33"/>
      <c r="H273" s="33"/>
      <c r="I273" s="33"/>
      <c r="J273" s="34"/>
      <c r="L273" s="33"/>
      <c r="M273" s="33"/>
    </row>
    <row r="274" spans="3:13" ht="25.8">
      <c r="C274" s="33"/>
      <c r="D274" s="33" t="s">
        <v>18</v>
      </c>
      <c r="E274" s="33" t="s">
        <v>4</v>
      </c>
      <c r="F274" s="50"/>
      <c r="G274" s="33"/>
      <c r="H274" s="33"/>
      <c r="I274" s="33"/>
      <c r="J274" s="34"/>
      <c r="L274" s="33"/>
      <c r="M274" s="33"/>
    </row>
    <row r="275" spans="3:13" ht="25.8">
      <c r="C275" s="33"/>
      <c r="D275" s="33" t="s">
        <v>18</v>
      </c>
      <c r="E275" s="33" t="s">
        <v>4</v>
      </c>
      <c r="F275" s="50"/>
      <c r="G275" s="33"/>
      <c r="H275" s="33"/>
      <c r="I275" s="33"/>
      <c r="J275" s="34"/>
      <c r="L275" s="33"/>
      <c r="M275" s="33"/>
    </row>
    <row r="276" spans="3:13" ht="25.8">
      <c r="C276" s="33"/>
      <c r="D276" s="33" t="s">
        <v>18</v>
      </c>
      <c r="E276" s="33" t="s">
        <v>4</v>
      </c>
      <c r="F276" s="50"/>
      <c r="G276" s="33"/>
      <c r="H276" s="33"/>
      <c r="I276" s="33"/>
      <c r="J276" s="34"/>
      <c r="L276" s="33"/>
      <c r="M276" s="33"/>
    </row>
    <row r="277" spans="3:13" ht="25.8">
      <c r="C277" s="33"/>
      <c r="D277" s="33" t="s">
        <v>18</v>
      </c>
      <c r="E277" s="33" t="s">
        <v>4</v>
      </c>
      <c r="F277" s="50"/>
      <c r="G277" s="33"/>
      <c r="H277" s="33"/>
      <c r="I277" s="33"/>
      <c r="J277" s="34"/>
      <c r="L277" s="33"/>
      <c r="M277" s="33"/>
    </row>
    <row r="278" spans="3:13" ht="25.8">
      <c r="C278" s="33"/>
      <c r="D278" s="33" t="s">
        <v>18</v>
      </c>
      <c r="E278" s="33" t="s">
        <v>4</v>
      </c>
      <c r="F278" s="50"/>
      <c r="G278" s="33"/>
      <c r="H278" s="33"/>
      <c r="I278" s="33"/>
      <c r="J278" s="34"/>
      <c r="L278" s="33"/>
      <c r="M278" s="33"/>
    </row>
    <row r="279" spans="3:13" ht="25.8">
      <c r="C279" s="33"/>
      <c r="D279" s="33" t="s">
        <v>18</v>
      </c>
      <c r="E279" s="33" t="s">
        <v>4</v>
      </c>
      <c r="F279" s="50"/>
      <c r="G279" s="33"/>
      <c r="H279" s="33"/>
      <c r="I279" s="33"/>
      <c r="J279" s="34"/>
      <c r="L279" s="33"/>
      <c r="M279" s="33"/>
    </row>
    <row r="280" spans="3:13" ht="25.8">
      <c r="C280" s="33"/>
      <c r="D280" s="33" t="s">
        <v>18</v>
      </c>
      <c r="E280" s="33" t="s">
        <v>4</v>
      </c>
      <c r="F280" s="50"/>
      <c r="G280" s="33"/>
      <c r="H280" s="33"/>
      <c r="I280" s="33"/>
      <c r="J280" s="34"/>
      <c r="L280" s="33"/>
      <c r="M280" s="33"/>
    </row>
    <row r="281" spans="3:13" ht="25.8">
      <c r="C281" s="33"/>
      <c r="D281" s="33" t="s">
        <v>18</v>
      </c>
      <c r="E281" s="33" t="s">
        <v>4</v>
      </c>
      <c r="F281" s="50"/>
      <c r="G281" s="33"/>
      <c r="H281" s="33"/>
      <c r="I281" s="33"/>
      <c r="J281" s="34"/>
      <c r="L281" s="33"/>
      <c r="M281" s="33"/>
    </row>
    <row r="282" spans="3:13" ht="25.8">
      <c r="C282" s="33"/>
      <c r="D282" s="33" t="s">
        <v>18</v>
      </c>
      <c r="E282" s="33" t="s">
        <v>4</v>
      </c>
      <c r="F282" s="50"/>
      <c r="G282" s="33"/>
      <c r="H282" s="33"/>
      <c r="I282" s="33"/>
      <c r="J282" s="34"/>
      <c r="L282" s="33"/>
      <c r="M282" s="33"/>
    </row>
    <row r="283" spans="3:13" ht="25.8">
      <c r="C283" s="33"/>
      <c r="D283" s="33" t="s">
        <v>18</v>
      </c>
      <c r="E283" s="33" t="s">
        <v>4</v>
      </c>
      <c r="F283" s="50"/>
      <c r="G283" s="33"/>
      <c r="H283" s="33"/>
      <c r="I283" s="33"/>
      <c r="J283" s="34"/>
      <c r="L283" s="33"/>
      <c r="M283" s="33"/>
    </row>
    <row r="284" spans="3:13" ht="25.8">
      <c r="C284" s="33"/>
      <c r="D284" s="33" t="s">
        <v>18</v>
      </c>
      <c r="E284" s="33" t="s">
        <v>4</v>
      </c>
      <c r="F284" s="50"/>
      <c r="G284" s="33"/>
      <c r="H284" s="33"/>
      <c r="I284" s="33"/>
      <c r="J284" s="34"/>
      <c r="L284" s="33"/>
      <c r="M284" s="33"/>
    </row>
    <row r="285" spans="3:13" ht="25.8">
      <c r="C285" s="33"/>
      <c r="D285" s="33" t="s">
        <v>18</v>
      </c>
      <c r="E285" s="33" t="s">
        <v>4</v>
      </c>
      <c r="F285" s="50"/>
      <c r="G285" s="33"/>
      <c r="H285" s="33"/>
      <c r="I285" s="33"/>
      <c r="J285" s="34"/>
      <c r="L285" s="33"/>
      <c r="M285" s="33"/>
    </row>
    <row r="286" spans="3:13" ht="25.8">
      <c r="C286" s="33"/>
      <c r="D286" s="33" t="s">
        <v>18</v>
      </c>
      <c r="E286" s="33" t="s">
        <v>4</v>
      </c>
      <c r="F286" s="50"/>
      <c r="G286" s="33"/>
      <c r="H286" s="33"/>
      <c r="I286" s="33"/>
      <c r="J286" s="34"/>
      <c r="L286" s="33"/>
      <c r="M286" s="33"/>
    </row>
    <row r="287" spans="3:13" ht="25.8">
      <c r="C287" s="33"/>
      <c r="D287" s="33" t="s">
        <v>18</v>
      </c>
      <c r="E287" s="33" t="s">
        <v>4</v>
      </c>
      <c r="F287" s="50"/>
      <c r="G287" s="33"/>
      <c r="H287" s="33"/>
      <c r="I287" s="33"/>
      <c r="J287" s="34"/>
      <c r="L287" s="33"/>
      <c r="M287" s="33"/>
    </row>
    <row r="288" spans="3:13" ht="25.8">
      <c r="C288" s="33"/>
      <c r="D288" s="33" t="s">
        <v>18</v>
      </c>
      <c r="E288" s="33" t="s">
        <v>4</v>
      </c>
      <c r="F288" s="50"/>
      <c r="G288" s="33"/>
      <c r="H288" s="33"/>
      <c r="I288" s="33"/>
      <c r="J288" s="34"/>
      <c r="L288" s="33"/>
      <c r="M288" s="33"/>
    </row>
    <row r="289" spans="3:13" ht="25.8">
      <c r="C289" s="33"/>
      <c r="D289" s="33" t="s">
        <v>18</v>
      </c>
      <c r="E289" s="33" t="s">
        <v>4</v>
      </c>
      <c r="F289" s="50"/>
      <c r="G289" s="33"/>
      <c r="H289" s="33"/>
      <c r="I289" s="33"/>
      <c r="J289" s="34"/>
      <c r="L289" s="33"/>
      <c r="M289" s="33"/>
    </row>
    <row r="290" spans="3:13" ht="25.8">
      <c r="C290" s="33"/>
      <c r="D290" s="33" t="s">
        <v>18</v>
      </c>
      <c r="E290" s="33" t="s">
        <v>4</v>
      </c>
      <c r="F290" s="50"/>
      <c r="G290" s="33"/>
      <c r="H290" s="33"/>
      <c r="I290" s="33"/>
      <c r="J290" s="34"/>
      <c r="L290" s="33"/>
      <c r="M290" s="33"/>
    </row>
    <row r="291" spans="3:13" ht="25.8">
      <c r="C291" s="33"/>
      <c r="D291" s="33" t="s">
        <v>18</v>
      </c>
      <c r="E291" s="33" t="s">
        <v>4</v>
      </c>
      <c r="F291" s="50"/>
      <c r="G291" s="33"/>
      <c r="H291" s="33"/>
      <c r="I291" s="33"/>
      <c r="J291" s="34"/>
      <c r="L291" s="33"/>
      <c r="M291" s="33"/>
    </row>
    <row r="292" spans="3:13" ht="25.8">
      <c r="C292" s="33"/>
      <c r="D292" s="33" t="s">
        <v>18</v>
      </c>
      <c r="E292" s="33" t="s">
        <v>4</v>
      </c>
      <c r="F292" s="50"/>
      <c r="G292" s="33"/>
      <c r="H292" s="33"/>
      <c r="I292" s="33"/>
      <c r="J292" s="34"/>
      <c r="L292" s="33"/>
      <c r="M292" s="33"/>
    </row>
    <row r="293" spans="3:13" ht="25.8">
      <c r="C293" s="33"/>
      <c r="D293" s="33" t="s">
        <v>18</v>
      </c>
      <c r="E293" s="33" t="s">
        <v>4</v>
      </c>
      <c r="F293" s="50"/>
      <c r="G293" s="33"/>
      <c r="H293" s="33"/>
      <c r="I293" s="33"/>
      <c r="J293" s="34"/>
      <c r="L293" s="33"/>
      <c r="M293" s="33"/>
    </row>
    <row r="294" spans="3:13" ht="25.8">
      <c r="C294" s="33"/>
      <c r="D294" s="33" t="s">
        <v>18</v>
      </c>
      <c r="E294" s="33" t="s">
        <v>4</v>
      </c>
      <c r="F294" s="50"/>
      <c r="G294" s="33"/>
      <c r="H294" s="33"/>
      <c r="I294" s="33"/>
      <c r="J294" s="34"/>
      <c r="L294" s="33"/>
      <c r="M294" s="33"/>
    </row>
    <row r="295" spans="3:13" ht="25.8">
      <c r="C295" s="33"/>
      <c r="D295" s="33" t="s">
        <v>18</v>
      </c>
      <c r="E295" s="33" t="s">
        <v>4</v>
      </c>
      <c r="F295" s="50"/>
      <c r="G295" s="33"/>
      <c r="H295" s="33"/>
      <c r="I295" s="33"/>
      <c r="J295" s="34"/>
      <c r="L295" s="33"/>
      <c r="M295" s="33"/>
    </row>
    <row r="296" spans="3:13" ht="25.8">
      <c r="C296" s="33"/>
      <c r="D296" s="33" t="s">
        <v>18</v>
      </c>
      <c r="E296" s="33" t="s">
        <v>4</v>
      </c>
      <c r="F296" s="50"/>
      <c r="G296" s="33"/>
      <c r="H296" s="33"/>
      <c r="I296" s="33"/>
      <c r="J296" s="34"/>
      <c r="L296" s="33"/>
      <c r="M296" s="33"/>
    </row>
    <row r="297" spans="3:13" ht="25.8">
      <c r="C297" s="33"/>
      <c r="D297" s="33" t="s">
        <v>18</v>
      </c>
      <c r="E297" s="33" t="s">
        <v>4</v>
      </c>
      <c r="F297" s="50"/>
      <c r="G297" s="33"/>
      <c r="H297" s="33"/>
      <c r="I297" s="33"/>
      <c r="J297" s="34"/>
      <c r="L297" s="33"/>
      <c r="M297" s="33"/>
    </row>
    <row r="298" spans="3:13" ht="25.8">
      <c r="C298" s="33"/>
      <c r="D298" s="33" t="s">
        <v>18</v>
      </c>
      <c r="E298" s="33" t="s">
        <v>4</v>
      </c>
      <c r="F298" s="50"/>
      <c r="G298" s="33"/>
      <c r="H298" s="33"/>
      <c r="I298" s="33"/>
      <c r="J298" s="34"/>
      <c r="L298" s="33"/>
      <c r="M298" s="33"/>
    </row>
    <row r="299" spans="3:13" ht="25.8">
      <c r="C299" s="33"/>
      <c r="D299" s="33" t="s">
        <v>18</v>
      </c>
      <c r="E299" s="33" t="s">
        <v>4</v>
      </c>
      <c r="F299" s="50"/>
      <c r="G299" s="33"/>
      <c r="H299" s="33"/>
      <c r="I299" s="33"/>
      <c r="J299" s="34"/>
      <c r="L299" s="33"/>
      <c r="M299" s="33"/>
    </row>
    <row r="300" spans="3:13" ht="25.8">
      <c r="C300" s="33"/>
      <c r="D300" s="33" t="s">
        <v>18</v>
      </c>
      <c r="E300" s="33" t="s">
        <v>4</v>
      </c>
      <c r="F300" s="50"/>
      <c r="G300" s="33"/>
      <c r="H300" s="33"/>
      <c r="I300" s="33"/>
      <c r="J300" s="34"/>
      <c r="L300" s="33"/>
      <c r="M300" s="33"/>
    </row>
  </sheetData>
  <mergeCells count="3">
    <mergeCell ref="C2:J4"/>
    <mergeCell ref="L3:M4"/>
    <mergeCell ref="C5:J5"/>
  </mergeCells>
  <conditionalFormatting sqref="F1:F1048576">
    <cfRule type="containsText" dxfId="80" priority="3" operator="containsText" text="Red Popp">
      <formula>NOT(ISERROR(SEARCH("Red Popp",F1)))</formula>
    </cfRule>
    <cfRule type="containsText" dxfId="79" priority="4" operator="containsText" text="Purple Popp">
      <formula>NOT(ISERROR(SEARCH("Purple Popp",F1)))</formula>
    </cfRule>
    <cfRule type="containsText" dxfId="78" priority="5" operator="containsText" text="Purple (Fish)">
      <formula>NOT(ISERROR(SEARCH("Purple (Fish)",F1)))</formula>
    </cfRule>
    <cfRule type="containsText" dxfId="77" priority="6" operator="containsText" text="Blue Purple(1C)">
      <formula>NOT(ISERROR(SEARCH("Blue Purple(1C)",F1)))</formula>
    </cfRule>
    <cfRule type="containsText" dxfId="76" priority="7" operator="containsText" text="Purple Dark Blue(1B)">
      <formula>NOT(ISERROR(SEARCH("Purple Dark Blue(1B)",F1)))</formula>
    </cfRule>
    <cfRule type="containsText" dxfId="75" priority="8" operator="containsText" text="Blue Gray(1A)">
      <formula>NOT(ISERROR(SEARCH("Blue Gray(1A)",F1)))</formula>
    </cfRule>
    <cfRule type="containsText" dxfId="74" priority="9" operator="containsText" text="Blue Black(1H)">
      <formula>NOT(ISERROR(SEARCH("Blue Black(1H)",F1)))</formula>
    </cfRule>
    <cfRule type="containsText" dxfId="73" priority="10" operator="containsText" text="Red Dark Blue(1E)">
      <formula>NOT(ISERROR(SEARCH("Red Dark Blue(1E)",F1)))</formula>
    </cfRule>
    <cfRule type="containsText" dxfId="72" priority="11" operator="containsText" text="Blue Green(1J)">
      <formula>NOT(ISERROR(SEARCH("Blue Green(1J)",F1)))</formula>
    </cfRule>
    <cfRule type="containsText" dxfId="71" priority="12" operator="containsText" text="Red Black(1i)">
      <formula>NOT(ISERROR(SEARCH("Red Black(1i)",F1)))</formula>
    </cfRule>
    <cfRule type="containsText" dxfId="70" priority="13" operator="containsText" text="Green Black(GB)">
      <formula>NOT(ISERROR(SEARCH("Green Black(GB)",F1)))</formula>
    </cfRule>
  </conditionalFormatting>
  <conditionalFormatting sqref="J1:J1048576">
    <cfRule type="beginsWith" dxfId="69" priority="2" operator="beginsWith" text="0">
      <formula>LEFT(J1,LEN("0"))="0"</formula>
    </cfRule>
  </conditionalFormatting>
  <conditionalFormatting sqref="I1:I1048576">
    <cfRule type="beginsWith" dxfId="68" priority="1" operator="beginsWith" text="0">
      <formula>LEFT(I1,LEN("0"))="0"</formula>
    </cfRule>
  </conditionalFormatting>
  <dataValidations count="4">
    <dataValidation type="list" allowBlank="1" showInputMessage="1" showErrorMessage="1" sqref="G7:G1048576 G2:G5" xr:uid="{00000000-0002-0000-0300-000000000000}">
      <formula1>"(75*9),(75*13),(70*45)"</formula1>
    </dataValidation>
    <dataValidation type="list" allowBlank="1" showInputMessage="1" showErrorMessage="1" sqref="E7:E300" xr:uid="{00000000-0002-0000-0300-000001000000}">
      <formula1>"Koptimix"</formula1>
    </dataValidation>
    <dataValidation type="list" allowBlank="1" showInputMessage="1" showErrorMessage="1" sqref="F1:F5 F7:F1048576" xr:uid="{00000000-0002-0000-0300-000002000000}">
      <formula1>"Green Black(GB), Red Black(1i), Blue Green(1J), Red Dark Blue(1E), Blue Black(1H), Blue Gray(1A), Purple Dark Blue(1B), Blue Purple(1C), Purple (Fish), Purple Popp, Red Popp"</formula1>
    </dataValidation>
    <dataValidation type="list" allowBlank="1" showInputMessage="1" showErrorMessage="1" sqref="D7:D300" xr:uid="{00000000-0002-0000-0300-000003000000}">
      <formula1>"Sacks"</formula1>
    </dataValidation>
  </dataValidations>
  <pageMargins left="0.75" right="0.75" top="1" bottom="1" header="0.5" footer="0.5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0"/>
  </sheetPr>
  <dimension ref="C1:M300"/>
  <sheetViews>
    <sheetView zoomScale="70" zoomScaleNormal="70" workbookViewId="0">
      <selection activeCell="F21" sqref="F2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style="10" customWidth="1"/>
    <col min="12" max="13" width="16.6640625" customWidth="1"/>
  </cols>
  <sheetData>
    <row r="1" spans="3:13">
      <c r="F1" t="s">
        <v>52</v>
      </c>
    </row>
    <row r="2" spans="3:13" ht="25.8">
      <c r="C2" s="139" t="s">
        <v>85</v>
      </c>
      <c r="D2" s="139"/>
      <c r="E2" s="139"/>
      <c r="F2" s="139"/>
      <c r="G2" s="139"/>
      <c r="H2" s="139"/>
      <c r="I2" s="139"/>
      <c r="J2" s="139"/>
      <c r="K2" s="1"/>
    </row>
    <row r="3" spans="3:13" ht="27.75" customHeight="1">
      <c r="C3" s="139"/>
      <c r="D3" s="139"/>
      <c r="E3" s="139"/>
      <c r="F3" s="139"/>
      <c r="G3" s="139"/>
      <c r="H3" s="139"/>
      <c r="I3" s="139"/>
      <c r="J3" s="139"/>
      <c r="K3" s="1"/>
      <c r="L3" s="134" t="s">
        <v>16</v>
      </c>
      <c r="M3" s="134"/>
    </row>
    <row r="4" spans="3:13" ht="27.75" customHeight="1">
      <c r="C4" s="139"/>
      <c r="D4" s="139"/>
      <c r="E4" s="139"/>
      <c r="F4" s="139"/>
      <c r="G4" s="139"/>
      <c r="H4" s="139"/>
      <c r="I4" s="139"/>
      <c r="J4" s="139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71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18</v>
      </c>
      <c r="E7" s="33" t="s">
        <v>59</v>
      </c>
      <c r="F7" s="50" t="s">
        <v>89</v>
      </c>
      <c r="G7" s="33" t="s">
        <v>97</v>
      </c>
      <c r="H7" s="33" t="s">
        <v>86</v>
      </c>
      <c r="I7" s="69">
        <v>6208</v>
      </c>
      <c r="J7" s="69">
        <v>6208</v>
      </c>
      <c r="K7" s="1"/>
      <c r="L7" s="33"/>
      <c r="M7" s="33"/>
    </row>
    <row r="8" spans="3:13" ht="25.8">
      <c r="C8" s="35">
        <v>46174</v>
      </c>
      <c r="D8" s="33" t="s">
        <v>18</v>
      </c>
      <c r="E8" s="33" t="s">
        <v>59</v>
      </c>
      <c r="F8" s="50" t="s">
        <v>90</v>
      </c>
      <c r="G8" s="33" t="s">
        <v>97</v>
      </c>
      <c r="H8" s="33" t="s">
        <v>86</v>
      </c>
      <c r="I8" s="69">
        <v>7150</v>
      </c>
      <c r="J8" s="69">
        <v>7150</v>
      </c>
      <c r="K8" s="1"/>
      <c r="L8" s="33"/>
      <c r="M8" s="33"/>
    </row>
    <row r="9" spans="3:13" ht="25.8">
      <c r="C9" s="35">
        <v>46174</v>
      </c>
      <c r="D9" s="33" t="s">
        <v>18</v>
      </c>
      <c r="E9" s="33" t="s">
        <v>59</v>
      </c>
      <c r="F9" s="50" t="s">
        <v>91</v>
      </c>
      <c r="G9" s="33" t="s">
        <v>97</v>
      </c>
      <c r="H9" s="33" t="s">
        <v>86</v>
      </c>
      <c r="I9" s="69">
        <v>7092</v>
      </c>
      <c r="J9" s="69">
        <v>7092</v>
      </c>
      <c r="K9" s="1"/>
      <c r="L9" s="33"/>
      <c r="M9" s="33"/>
    </row>
    <row r="10" spans="3:13" ht="25.8">
      <c r="C10" s="35">
        <v>46174</v>
      </c>
      <c r="D10" s="33" t="s">
        <v>18</v>
      </c>
      <c r="E10" s="33" t="s">
        <v>59</v>
      </c>
      <c r="F10" s="50" t="s">
        <v>92</v>
      </c>
      <c r="G10" s="33" t="s">
        <v>97</v>
      </c>
      <c r="H10" s="33" t="s">
        <v>86</v>
      </c>
      <c r="I10" s="69">
        <v>10000</v>
      </c>
      <c r="J10" s="69">
        <v>10000</v>
      </c>
      <c r="K10" s="1"/>
      <c r="L10" s="33"/>
      <c r="M10" s="33"/>
    </row>
    <row r="11" spans="3:13" ht="25.8">
      <c r="C11" s="35">
        <v>46174</v>
      </c>
      <c r="D11" s="33" t="s">
        <v>18</v>
      </c>
      <c r="E11" s="33" t="s">
        <v>59</v>
      </c>
      <c r="F11" s="50" t="s">
        <v>93</v>
      </c>
      <c r="G11" s="33" t="s">
        <v>97</v>
      </c>
      <c r="H11" s="33" t="s">
        <v>86</v>
      </c>
      <c r="I11" s="69">
        <v>10000</v>
      </c>
      <c r="J11" s="69">
        <v>10000</v>
      </c>
      <c r="K11" s="1"/>
      <c r="L11" s="33"/>
      <c r="M11" s="33"/>
    </row>
    <row r="12" spans="3:13" ht="25.8">
      <c r="C12" s="35">
        <v>46174</v>
      </c>
      <c r="D12" s="33" t="s">
        <v>18</v>
      </c>
      <c r="E12" s="33" t="s">
        <v>59</v>
      </c>
      <c r="F12" s="50" t="s">
        <v>94</v>
      </c>
      <c r="G12" s="33" t="s">
        <v>97</v>
      </c>
      <c r="H12" s="33" t="s">
        <v>86</v>
      </c>
      <c r="I12" s="69">
        <v>7710</v>
      </c>
      <c r="J12" s="69">
        <v>7710</v>
      </c>
      <c r="K12" s="1"/>
      <c r="L12" s="33"/>
      <c r="M12" s="33"/>
    </row>
    <row r="13" spans="3:13" ht="25.8">
      <c r="C13" s="35">
        <v>46174</v>
      </c>
      <c r="D13" s="33" t="s">
        <v>18</v>
      </c>
      <c r="E13" s="33" t="s">
        <v>59</v>
      </c>
      <c r="F13" s="50" t="s">
        <v>63</v>
      </c>
      <c r="G13" s="33" t="s">
        <v>97</v>
      </c>
      <c r="H13" s="33" t="s">
        <v>86</v>
      </c>
      <c r="I13" s="69">
        <v>1140</v>
      </c>
      <c r="J13" s="69">
        <v>1140</v>
      </c>
      <c r="K13" s="1"/>
      <c r="L13" s="33"/>
      <c r="M13" s="33"/>
    </row>
    <row r="14" spans="3:13" ht="25.8">
      <c r="C14" s="35">
        <v>46174</v>
      </c>
      <c r="D14" s="33" t="s">
        <v>18</v>
      </c>
      <c r="E14" s="33" t="s">
        <v>59</v>
      </c>
      <c r="F14" s="50" t="s">
        <v>64</v>
      </c>
      <c r="G14" s="33" t="s">
        <v>97</v>
      </c>
      <c r="H14" s="33" t="s">
        <v>86</v>
      </c>
      <c r="I14" s="69">
        <v>2205</v>
      </c>
      <c r="J14" s="69">
        <v>2205</v>
      </c>
      <c r="K14" s="1"/>
      <c r="L14" s="33"/>
      <c r="M14" s="33"/>
    </row>
    <row r="15" spans="3:13" ht="25.8">
      <c r="C15" s="35">
        <v>46174</v>
      </c>
      <c r="D15" s="33" t="s">
        <v>18</v>
      </c>
      <c r="E15" s="33" t="s">
        <v>59</v>
      </c>
      <c r="F15" s="50" t="s">
        <v>95</v>
      </c>
      <c r="G15" s="33" t="s">
        <v>29</v>
      </c>
      <c r="H15" s="33" t="s">
        <v>86</v>
      </c>
      <c r="I15" s="69">
        <v>998</v>
      </c>
      <c r="J15" s="69">
        <v>998</v>
      </c>
      <c r="K15" s="1"/>
      <c r="L15" s="33"/>
      <c r="M15" s="33"/>
    </row>
    <row r="16" spans="3:13" ht="25.8">
      <c r="C16" s="35">
        <v>46174</v>
      </c>
      <c r="D16" s="33" t="s">
        <v>18</v>
      </c>
      <c r="E16" s="33" t="s">
        <v>59</v>
      </c>
      <c r="F16" s="50" t="s">
        <v>96</v>
      </c>
      <c r="G16" s="53" t="s">
        <v>29</v>
      </c>
      <c r="H16" s="33" t="s">
        <v>86</v>
      </c>
      <c r="I16" s="69">
        <v>1614</v>
      </c>
      <c r="J16" s="59">
        <v>1614</v>
      </c>
      <c r="K16" s="1"/>
      <c r="L16" s="33"/>
      <c r="M16" s="33"/>
    </row>
    <row r="17" spans="3:13" ht="25.8">
      <c r="C17" s="35">
        <v>46175</v>
      </c>
      <c r="D17" s="33" t="s">
        <v>18</v>
      </c>
      <c r="E17" s="33" t="s">
        <v>59</v>
      </c>
      <c r="F17" s="50" t="s">
        <v>96</v>
      </c>
      <c r="G17" s="33" t="s">
        <v>29</v>
      </c>
      <c r="H17" s="33" t="s">
        <v>88</v>
      </c>
      <c r="I17" s="69">
        <v>1614</v>
      </c>
      <c r="J17" s="69">
        <v>1614</v>
      </c>
      <c r="K17" s="1"/>
      <c r="L17" s="33"/>
      <c r="M17" s="33"/>
    </row>
    <row r="18" spans="3:13" ht="25.8">
      <c r="C18" s="35">
        <v>46175</v>
      </c>
      <c r="D18" s="33" t="s">
        <v>18</v>
      </c>
      <c r="E18" s="33" t="s">
        <v>59</v>
      </c>
      <c r="F18" s="50" t="s">
        <v>94</v>
      </c>
      <c r="G18" s="33" t="s">
        <v>97</v>
      </c>
      <c r="H18" s="33" t="s">
        <v>88</v>
      </c>
      <c r="I18" s="69">
        <v>7710</v>
      </c>
      <c r="J18" s="69">
        <v>6105</v>
      </c>
      <c r="K18" s="1"/>
      <c r="L18" s="33"/>
      <c r="M18" s="33"/>
    </row>
    <row r="19" spans="3:13" ht="25.8">
      <c r="C19" s="35">
        <v>46175</v>
      </c>
      <c r="D19" s="33" t="s">
        <v>18</v>
      </c>
      <c r="E19" s="33" t="s">
        <v>59</v>
      </c>
      <c r="F19" s="50" t="s">
        <v>91</v>
      </c>
      <c r="G19" s="33" t="s">
        <v>97</v>
      </c>
      <c r="H19" s="33" t="s">
        <v>88</v>
      </c>
      <c r="I19" s="69">
        <v>7092</v>
      </c>
      <c r="J19" s="69">
        <v>6287</v>
      </c>
      <c r="K19" s="1"/>
      <c r="L19" s="33"/>
      <c r="M19" s="33"/>
    </row>
    <row r="20" spans="3:13" ht="25.8">
      <c r="C20" s="35">
        <v>46175</v>
      </c>
      <c r="D20" s="33" t="s">
        <v>18</v>
      </c>
      <c r="E20" s="33" t="s">
        <v>59</v>
      </c>
      <c r="F20" s="50" t="s">
        <v>90</v>
      </c>
      <c r="G20" s="33" t="s">
        <v>97</v>
      </c>
      <c r="H20" s="33" t="s">
        <v>88</v>
      </c>
      <c r="I20" s="69">
        <v>7150</v>
      </c>
      <c r="J20" s="69">
        <v>6345</v>
      </c>
      <c r="K20" s="1"/>
      <c r="L20" s="33"/>
      <c r="M20" s="33"/>
    </row>
    <row r="21" spans="3:13" ht="26.25" customHeight="1">
      <c r="C21" s="35"/>
      <c r="D21" s="33" t="s">
        <v>18</v>
      </c>
      <c r="E21" s="33" t="s">
        <v>59</v>
      </c>
      <c r="F21" s="50"/>
      <c r="G21" s="33"/>
      <c r="H21" s="33"/>
      <c r="I21" s="69"/>
      <c r="J21" s="69"/>
      <c r="K21" s="1"/>
      <c r="L21" s="33"/>
      <c r="M21" s="33"/>
    </row>
    <row r="22" spans="3:13" ht="26.25" customHeight="1">
      <c r="C22" s="57"/>
      <c r="D22" s="33" t="s">
        <v>18</v>
      </c>
      <c r="E22" s="33" t="s">
        <v>59</v>
      </c>
      <c r="F22" s="50"/>
      <c r="G22" s="33"/>
      <c r="H22" s="33"/>
      <c r="I22" s="69"/>
      <c r="J22" s="69"/>
      <c r="K22" s="1"/>
      <c r="L22" s="33"/>
      <c r="M22" s="33"/>
    </row>
    <row r="23" spans="3:13" ht="26.25" customHeight="1">
      <c r="C23" s="35"/>
      <c r="D23" s="33" t="s">
        <v>18</v>
      </c>
      <c r="E23" s="33" t="s">
        <v>59</v>
      </c>
      <c r="F23" s="50"/>
      <c r="G23" s="33"/>
      <c r="H23" s="33"/>
      <c r="I23" s="69"/>
      <c r="J23" s="69"/>
      <c r="K23" s="1"/>
      <c r="L23" s="33"/>
      <c r="M23" s="33"/>
    </row>
    <row r="24" spans="3:13" ht="26.25" customHeight="1">
      <c r="C24" s="35"/>
      <c r="D24" s="33" t="s">
        <v>18</v>
      </c>
      <c r="E24" s="33" t="s">
        <v>59</v>
      </c>
      <c r="F24" s="50"/>
      <c r="G24" s="33"/>
      <c r="H24" s="33"/>
      <c r="I24" s="69"/>
      <c r="J24" s="69"/>
      <c r="K24" s="1"/>
      <c r="L24" s="33"/>
      <c r="M24" s="33"/>
    </row>
    <row r="25" spans="3:13" ht="26.25" customHeight="1">
      <c r="C25" s="35"/>
      <c r="D25" s="33" t="s">
        <v>18</v>
      </c>
      <c r="E25" s="33" t="s">
        <v>59</v>
      </c>
      <c r="F25" s="50"/>
      <c r="G25" s="33"/>
      <c r="H25" s="33"/>
      <c r="I25" s="69"/>
      <c r="J25" s="69"/>
      <c r="K25" s="1"/>
      <c r="L25" s="33"/>
      <c r="M25" s="33"/>
    </row>
    <row r="26" spans="3:13" ht="26.25" customHeight="1">
      <c r="C26" s="35"/>
      <c r="D26" s="33" t="s">
        <v>18</v>
      </c>
      <c r="E26" s="33" t="s">
        <v>59</v>
      </c>
      <c r="F26" s="50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33" t="s">
        <v>18</v>
      </c>
      <c r="E27" s="33" t="s">
        <v>59</v>
      </c>
      <c r="F27" s="50"/>
      <c r="G27" s="33"/>
      <c r="H27" s="33"/>
      <c r="I27" s="69"/>
      <c r="J27" s="69"/>
      <c r="K27" s="1"/>
      <c r="L27" s="33"/>
      <c r="M27" s="33"/>
    </row>
    <row r="28" spans="3:13" ht="26.25" customHeight="1">
      <c r="C28" s="35"/>
      <c r="D28" s="33" t="s">
        <v>18</v>
      </c>
      <c r="E28" s="33" t="s">
        <v>59</v>
      </c>
      <c r="F28" s="50"/>
      <c r="G28" s="33"/>
      <c r="H28" s="33"/>
      <c r="I28" s="69"/>
      <c r="J28" s="69"/>
      <c r="K28" s="1"/>
      <c r="L28" s="33"/>
      <c r="M28" s="33"/>
    </row>
    <row r="29" spans="3:13" ht="26.25" customHeight="1">
      <c r="C29" s="57"/>
      <c r="D29" s="33" t="s">
        <v>18</v>
      </c>
      <c r="E29" s="33" t="s">
        <v>59</v>
      </c>
      <c r="F29" s="50"/>
      <c r="G29" s="33"/>
      <c r="H29" s="33"/>
      <c r="I29" s="69"/>
      <c r="J29" s="69"/>
      <c r="K29" s="1"/>
      <c r="L29" s="33"/>
      <c r="M29" s="33"/>
    </row>
    <row r="30" spans="3:13" ht="26.25" customHeight="1">
      <c r="C30" s="57"/>
      <c r="D30" s="33" t="s">
        <v>18</v>
      </c>
      <c r="E30" s="33" t="s">
        <v>59</v>
      </c>
      <c r="F30" s="50"/>
      <c r="G30" s="33"/>
      <c r="H30" s="33"/>
      <c r="I30" s="69"/>
      <c r="J30" s="69"/>
      <c r="K30" s="1"/>
      <c r="L30" s="33"/>
      <c r="M30" s="33"/>
    </row>
    <row r="31" spans="3:13" ht="26.25" customHeight="1">
      <c r="C31" s="35"/>
      <c r="D31" s="33" t="s">
        <v>18</v>
      </c>
      <c r="E31" s="33" t="s">
        <v>59</v>
      </c>
      <c r="F31" s="50"/>
      <c r="G31" s="33"/>
      <c r="H31" s="69"/>
      <c r="I31" s="69"/>
      <c r="J31" s="69"/>
      <c r="K31" s="1"/>
      <c r="L31" s="33"/>
      <c r="M31" s="33"/>
    </row>
    <row r="32" spans="3:13" ht="26.25" customHeight="1">
      <c r="C32" s="35"/>
      <c r="D32" s="33" t="s">
        <v>18</v>
      </c>
      <c r="E32" s="33" t="s">
        <v>59</v>
      </c>
      <c r="F32" s="50"/>
      <c r="G32" s="33"/>
      <c r="H32" s="69"/>
      <c r="I32" s="69"/>
      <c r="J32" s="69"/>
      <c r="K32" s="1"/>
      <c r="L32" s="33"/>
      <c r="M32" s="33"/>
    </row>
    <row r="33" spans="3:13" ht="26.25" customHeight="1">
      <c r="C33" s="35"/>
      <c r="D33" s="33" t="s">
        <v>18</v>
      </c>
      <c r="E33" s="33" t="s">
        <v>59</v>
      </c>
      <c r="F33" s="50"/>
      <c r="G33" s="33"/>
      <c r="H33" s="69"/>
      <c r="I33" s="69"/>
      <c r="J33" s="69"/>
      <c r="K33" s="1"/>
      <c r="L33" s="33"/>
      <c r="M33" s="33"/>
    </row>
    <row r="34" spans="3:13" ht="26.25" customHeight="1">
      <c r="C34" s="35"/>
      <c r="D34" s="33" t="s">
        <v>18</v>
      </c>
      <c r="E34" s="33" t="s">
        <v>59</v>
      </c>
      <c r="F34" s="50"/>
      <c r="G34" s="33"/>
      <c r="H34" s="69"/>
      <c r="I34" s="69"/>
      <c r="J34" s="69"/>
      <c r="K34" s="1"/>
      <c r="L34" s="33"/>
      <c r="M34" s="33"/>
    </row>
    <row r="35" spans="3:13" ht="26.25" customHeight="1">
      <c r="C35" s="35"/>
      <c r="D35" s="33" t="s">
        <v>18</v>
      </c>
      <c r="E35" s="33" t="s">
        <v>59</v>
      </c>
      <c r="F35" s="50"/>
      <c r="G35" s="33"/>
      <c r="H35" s="69"/>
      <c r="I35" s="69"/>
      <c r="J35" s="69"/>
      <c r="K35" s="1"/>
      <c r="L35" s="33"/>
      <c r="M35" s="33"/>
    </row>
    <row r="36" spans="3:13" ht="26.25" customHeight="1">
      <c r="C36" s="35"/>
      <c r="D36" s="33" t="s">
        <v>18</v>
      </c>
      <c r="E36" s="33" t="s">
        <v>59</v>
      </c>
      <c r="F36" s="50"/>
      <c r="G36" s="33"/>
      <c r="H36" s="69"/>
      <c r="I36" s="69"/>
      <c r="J36" s="69"/>
      <c r="K36" s="1"/>
      <c r="L36" s="33"/>
      <c r="M36" s="33"/>
    </row>
    <row r="37" spans="3:13" ht="26.25" customHeight="1">
      <c r="C37" s="35"/>
      <c r="D37" s="33" t="s">
        <v>18</v>
      </c>
      <c r="E37" s="33" t="s">
        <v>59</v>
      </c>
      <c r="F37" s="50"/>
      <c r="G37" s="33"/>
      <c r="H37" s="69"/>
      <c r="I37" s="69"/>
      <c r="J37" s="69"/>
      <c r="K37" s="1"/>
      <c r="L37" s="33"/>
      <c r="M37" s="33"/>
    </row>
    <row r="38" spans="3:13" ht="25.8">
      <c r="C38" s="35"/>
      <c r="D38" s="33" t="s">
        <v>18</v>
      </c>
      <c r="E38" s="33" t="s">
        <v>59</v>
      </c>
      <c r="F38" s="50"/>
      <c r="G38" s="33"/>
      <c r="H38" s="69"/>
      <c r="I38" s="69"/>
      <c r="J38" s="69"/>
      <c r="L38" s="33"/>
      <c r="M38" s="33"/>
    </row>
    <row r="39" spans="3:13" ht="25.8">
      <c r="C39" s="35"/>
      <c r="D39" s="33" t="s">
        <v>18</v>
      </c>
      <c r="E39" s="33" t="s">
        <v>59</v>
      </c>
      <c r="F39" s="50"/>
      <c r="G39" s="33"/>
      <c r="H39" s="69"/>
      <c r="I39" s="69"/>
      <c r="J39" s="69"/>
      <c r="L39" s="33"/>
      <c r="M39" s="33"/>
    </row>
    <row r="40" spans="3:13" ht="25.8">
      <c r="C40" s="35"/>
      <c r="D40" s="33" t="s">
        <v>18</v>
      </c>
      <c r="E40" s="33" t="s">
        <v>59</v>
      </c>
      <c r="F40" s="50"/>
      <c r="G40" s="33"/>
      <c r="H40" s="69"/>
      <c r="I40" s="69"/>
      <c r="J40" s="69"/>
      <c r="L40" s="33"/>
      <c r="M40" s="33"/>
    </row>
    <row r="41" spans="3:13" ht="25.8">
      <c r="C41" s="57"/>
      <c r="D41" s="33" t="s">
        <v>18</v>
      </c>
      <c r="E41" s="33" t="s">
        <v>59</v>
      </c>
      <c r="F41" s="50"/>
      <c r="G41" s="48"/>
      <c r="H41" s="70"/>
      <c r="I41" s="70"/>
      <c r="J41" s="70"/>
      <c r="L41" s="48"/>
      <c r="M41" s="48"/>
    </row>
    <row r="42" spans="3:13" ht="25.8">
      <c r="C42" s="35"/>
      <c r="D42" s="33" t="s">
        <v>18</v>
      </c>
      <c r="E42" s="33" t="s">
        <v>59</v>
      </c>
      <c r="F42" s="50"/>
      <c r="G42" s="33"/>
      <c r="H42" s="69"/>
      <c r="I42" s="69"/>
      <c r="J42" s="69"/>
      <c r="L42" s="33"/>
      <c r="M42" s="33"/>
    </row>
    <row r="43" spans="3:13" ht="25.8">
      <c r="C43" s="35"/>
      <c r="D43" s="33" t="s">
        <v>18</v>
      </c>
      <c r="E43" s="33" t="s">
        <v>59</v>
      </c>
      <c r="F43" s="50"/>
      <c r="G43" s="33"/>
      <c r="H43" s="69"/>
      <c r="I43" s="69"/>
      <c r="J43" s="69"/>
      <c r="L43" s="33"/>
      <c r="M43" s="33"/>
    </row>
    <row r="44" spans="3:13" ht="25.8">
      <c r="C44" s="57"/>
      <c r="D44" s="33" t="s">
        <v>18</v>
      </c>
      <c r="E44" s="33" t="s">
        <v>59</v>
      </c>
      <c r="F44" s="50"/>
      <c r="G44" s="48"/>
      <c r="H44" s="70"/>
      <c r="I44" s="70"/>
      <c r="J44" s="70"/>
      <c r="L44" s="48"/>
      <c r="M44" s="48"/>
    </row>
    <row r="45" spans="3:13" ht="25.8">
      <c r="C45" s="57"/>
      <c r="D45" s="33" t="s">
        <v>18</v>
      </c>
      <c r="E45" s="33" t="s">
        <v>59</v>
      </c>
      <c r="F45" s="50"/>
      <c r="G45" s="48"/>
      <c r="H45" s="70"/>
      <c r="I45" s="70"/>
      <c r="J45" s="70"/>
      <c r="L45" s="48"/>
      <c r="M45" s="48"/>
    </row>
    <row r="46" spans="3:13" ht="25.8">
      <c r="C46" s="35"/>
      <c r="D46" s="33" t="s">
        <v>18</v>
      </c>
      <c r="E46" s="33" t="s">
        <v>59</v>
      </c>
      <c r="F46" s="50"/>
      <c r="G46" s="33"/>
      <c r="H46" s="69"/>
      <c r="I46" s="69"/>
      <c r="J46" s="69"/>
      <c r="L46" s="33"/>
      <c r="M46" s="33"/>
    </row>
    <row r="47" spans="3:13" ht="25.8">
      <c r="C47" s="35"/>
      <c r="D47" s="33" t="s">
        <v>18</v>
      </c>
      <c r="E47" s="33" t="s">
        <v>59</v>
      </c>
      <c r="F47" s="50"/>
      <c r="G47" s="33"/>
      <c r="H47" s="69"/>
      <c r="I47" s="69"/>
      <c r="J47" s="69"/>
      <c r="L47" s="33"/>
      <c r="M47" s="33"/>
    </row>
    <row r="48" spans="3:13" ht="25.8">
      <c r="C48" s="35"/>
      <c r="D48" s="33" t="s">
        <v>18</v>
      </c>
      <c r="E48" s="33" t="s">
        <v>59</v>
      </c>
      <c r="F48" s="50"/>
      <c r="G48" s="33"/>
      <c r="H48" s="69"/>
      <c r="I48" s="69"/>
      <c r="J48" s="69"/>
      <c r="L48" s="33"/>
      <c r="M48" s="33"/>
    </row>
    <row r="49" spans="3:13" ht="25.8">
      <c r="C49" s="35"/>
      <c r="D49" s="33" t="s">
        <v>18</v>
      </c>
      <c r="E49" s="33" t="s">
        <v>59</v>
      </c>
      <c r="F49" s="50"/>
      <c r="G49" s="33"/>
      <c r="H49" s="69"/>
      <c r="I49" s="69"/>
      <c r="J49" s="69"/>
      <c r="L49" s="33"/>
      <c r="M49" s="33"/>
    </row>
    <row r="50" spans="3:13" ht="25.8">
      <c r="C50" s="35"/>
      <c r="D50" s="33" t="s">
        <v>18</v>
      </c>
      <c r="E50" s="33" t="s">
        <v>59</v>
      </c>
      <c r="F50" s="50"/>
      <c r="G50" s="33"/>
      <c r="H50" s="69"/>
      <c r="I50" s="33"/>
      <c r="J50" s="69"/>
      <c r="L50" s="33"/>
      <c r="M50" s="33"/>
    </row>
    <row r="51" spans="3:13" ht="25.8">
      <c r="C51" s="33"/>
      <c r="D51" s="33" t="s">
        <v>18</v>
      </c>
      <c r="E51" s="33" t="s">
        <v>59</v>
      </c>
      <c r="F51" s="50"/>
      <c r="G51" s="33"/>
      <c r="H51" s="33"/>
      <c r="I51" s="33"/>
      <c r="J51" s="69"/>
      <c r="L51" s="33"/>
      <c r="M51" s="33"/>
    </row>
    <row r="52" spans="3:13" ht="25.8">
      <c r="C52" s="33"/>
      <c r="D52" s="33" t="s">
        <v>18</v>
      </c>
      <c r="E52" s="33" t="s">
        <v>59</v>
      </c>
      <c r="F52" s="50"/>
      <c r="G52" s="33"/>
      <c r="H52" s="33"/>
      <c r="I52" s="33"/>
      <c r="J52" s="69"/>
      <c r="L52" s="33"/>
      <c r="M52" s="33"/>
    </row>
    <row r="53" spans="3:13" ht="25.8">
      <c r="C53" s="33"/>
      <c r="D53" s="33" t="s">
        <v>18</v>
      </c>
      <c r="E53" s="33" t="s">
        <v>59</v>
      </c>
      <c r="F53" s="50"/>
      <c r="G53" s="33"/>
      <c r="H53" s="33"/>
      <c r="I53" s="33"/>
      <c r="J53" s="69"/>
      <c r="L53" s="33"/>
      <c r="M53" s="33"/>
    </row>
    <row r="54" spans="3:13" ht="25.8">
      <c r="C54" s="33"/>
      <c r="D54" s="33" t="s">
        <v>18</v>
      </c>
      <c r="E54" s="33" t="s">
        <v>59</v>
      </c>
      <c r="F54" s="50"/>
      <c r="G54" s="33"/>
      <c r="H54" s="33"/>
      <c r="I54" s="33"/>
      <c r="J54" s="69"/>
      <c r="L54" s="33"/>
      <c r="M54" s="33"/>
    </row>
    <row r="55" spans="3:13" ht="25.8">
      <c r="C55" s="33"/>
      <c r="D55" s="33" t="s">
        <v>18</v>
      </c>
      <c r="E55" s="33" t="s">
        <v>59</v>
      </c>
      <c r="F55" s="50"/>
      <c r="G55" s="33"/>
      <c r="H55" s="33"/>
      <c r="I55" s="33"/>
      <c r="J55" s="69"/>
      <c r="L55" s="33"/>
      <c r="M55" s="33"/>
    </row>
    <row r="56" spans="3:13" ht="25.8">
      <c r="C56" s="33"/>
      <c r="D56" s="33" t="s">
        <v>18</v>
      </c>
      <c r="E56" s="33" t="s">
        <v>59</v>
      </c>
      <c r="F56" s="50"/>
      <c r="G56" s="33"/>
      <c r="H56" s="33"/>
      <c r="I56" s="33"/>
      <c r="J56" s="69"/>
      <c r="L56" s="33"/>
      <c r="M56" s="33"/>
    </row>
    <row r="57" spans="3:13" ht="25.8">
      <c r="C57" s="33"/>
      <c r="D57" s="33" t="s">
        <v>18</v>
      </c>
      <c r="E57" s="33" t="s">
        <v>59</v>
      </c>
      <c r="F57" s="50"/>
      <c r="G57" s="33"/>
      <c r="H57" s="33"/>
      <c r="I57" s="33"/>
      <c r="J57" s="69"/>
      <c r="L57" s="33"/>
      <c r="M57" s="33"/>
    </row>
    <row r="58" spans="3:13" ht="25.8">
      <c r="C58" s="33"/>
      <c r="D58" s="33" t="s">
        <v>18</v>
      </c>
      <c r="E58" s="33" t="s">
        <v>59</v>
      </c>
      <c r="F58" s="50"/>
      <c r="G58" s="33"/>
      <c r="H58" s="33"/>
      <c r="I58" s="33"/>
      <c r="J58" s="69"/>
      <c r="L58" s="33"/>
      <c r="M58" s="33"/>
    </row>
    <row r="59" spans="3:13" ht="25.8">
      <c r="C59" s="33"/>
      <c r="D59" s="33" t="s">
        <v>18</v>
      </c>
      <c r="E59" s="33" t="s">
        <v>59</v>
      </c>
      <c r="F59" s="50"/>
      <c r="G59" s="33"/>
      <c r="H59" s="33"/>
      <c r="I59" s="33"/>
      <c r="J59" s="69"/>
      <c r="L59" s="33"/>
      <c r="M59" s="33"/>
    </row>
    <row r="60" spans="3:13" ht="25.8">
      <c r="C60" s="33"/>
      <c r="D60" s="33" t="s">
        <v>18</v>
      </c>
      <c r="E60" s="33" t="s">
        <v>59</v>
      </c>
      <c r="F60" s="50"/>
      <c r="G60" s="33"/>
      <c r="H60" s="33"/>
      <c r="I60" s="33"/>
      <c r="J60" s="34"/>
      <c r="L60" s="33"/>
      <c r="M60" s="33"/>
    </row>
    <row r="61" spans="3:13" ht="25.8">
      <c r="C61" s="33"/>
      <c r="D61" s="33" t="s">
        <v>18</v>
      </c>
      <c r="E61" s="33" t="s">
        <v>59</v>
      </c>
      <c r="F61" s="50"/>
      <c r="G61" s="33"/>
      <c r="H61" s="33"/>
      <c r="I61" s="33"/>
      <c r="J61" s="34"/>
      <c r="L61" s="33"/>
      <c r="M61" s="33"/>
    </row>
    <row r="62" spans="3:13" ht="25.8">
      <c r="C62" s="33"/>
      <c r="D62" s="33" t="s">
        <v>18</v>
      </c>
      <c r="E62" s="33" t="s">
        <v>59</v>
      </c>
      <c r="F62" s="50"/>
      <c r="G62" s="33"/>
      <c r="H62" s="33"/>
      <c r="I62" s="33"/>
      <c r="J62" s="34"/>
      <c r="L62" s="33"/>
      <c r="M62" s="33"/>
    </row>
    <row r="63" spans="3:13" ht="25.8">
      <c r="C63" s="33"/>
      <c r="D63" s="33" t="s">
        <v>18</v>
      </c>
      <c r="E63" s="33" t="s">
        <v>59</v>
      </c>
      <c r="F63" s="50"/>
      <c r="G63" s="33"/>
      <c r="H63" s="33"/>
      <c r="I63" s="33"/>
      <c r="J63" s="34"/>
      <c r="L63" s="33"/>
      <c r="M63" s="33"/>
    </row>
    <row r="64" spans="3:13" ht="25.8">
      <c r="C64" s="33"/>
      <c r="D64" s="33" t="s">
        <v>18</v>
      </c>
      <c r="E64" s="33" t="s">
        <v>59</v>
      </c>
      <c r="F64" s="50"/>
      <c r="G64" s="33"/>
      <c r="H64" s="33"/>
      <c r="I64" s="33"/>
      <c r="J64" s="34"/>
      <c r="L64" s="33"/>
      <c r="M64" s="33"/>
    </row>
    <row r="65" spans="3:13" ht="25.8">
      <c r="C65" s="33"/>
      <c r="D65" s="33" t="s">
        <v>18</v>
      </c>
      <c r="E65" s="33" t="s">
        <v>59</v>
      </c>
      <c r="F65" s="50"/>
      <c r="G65" s="33"/>
      <c r="H65" s="33"/>
      <c r="I65" s="33"/>
      <c r="J65" s="34"/>
      <c r="L65" s="33"/>
      <c r="M65" s="33"/>
    </row>
    <row r="66" spans="3:13" ht="25.8">
      <c r="C66" s="33"/>
      <c r="D66" s="33" t="s">
        <v>18</v>
      </c>
      <c r="E66" s="33" t="s">
        <v>59</v>
      </c>
      <c r="F66" s="50"/>
      <c r="G66" s="33"/>
      <c r="H66" s="33"/>
      <c r="I66" s="33"/>
      <c r="J66" s="34"/>
      <c r="L66" s="33"/>
      <c r="M66" s="33"/>
    </row>
    <row r="67" spans="3:13" ht="25.8">
      <c r="C67" s="33"/>
      <c r="D67" s="33" t="s">
        <v>18</v>
      </c>
      <c r="E67" s="33" t="s">
        <v>59</v>
      </c>
      <c r="F67" s="50"/>
      <c r="G67" s="33"/>
      <c r="H67" s="33"/>
      <c r="I67" s="33"/>
      <c r="J67" s="34"/>
      <c r="L67" s="33"/>
      <c r="M67" s="33"/>
    </row>
    <row r="68" spans="3:13" ht="25.8">
      <c r="C68" s="33"/>
      <c r="D68" s="33" t="s">
        <v>18</v>
      </c>
      <c r="E68" s="33" t="s">
        <v>59</v>
      </c>
      <c r="F68" s="50"/>
      <c r="G68" s="33"/>
      <c r="H68" s="33"/>
      <c r="I68" s="33"/>
      <c r="J68" s="34"/>
      <c r="L68" s="33"/>
      <c r="M68" s="33"/>
    </row>
    <row r="69" spans="3:13" ht="25.8">
      <c r="C69" s="33"/>
      <c r="D69" s="33" t="s">
        <v>18</v>
      </c>
      <c r="E69" s="33" t="s">
        <v>59</v>
      </c>
      <c r="F69" s="50"/>
      <c r="G69" s="33"/>
      <c r="H69" s="33"/>
      <c r="I69" s="33"/>
      <c r="J69" s="34"/>
      <c r="L69" s="33"/>
      <c r="M69" s="33"/>
    </row>
    <row r="70" spans="3:13" ht="25.8">
      <c r="C70" s="33"/>
      <c r="D70" s="33" t="s">
        <v>18</v>
      </c>
      <c r="E70" s="33" t="s">
        <v>59</v>
      </c>
      <c r="F70" s="50"/>
      <c r="G70" s="33"/>
      <c r="H70" s="33"/>
      <c r="I70" s="33"/>
      <c r="J70" s="34"/>
      <c r="L70" s="33"/>
      <c r="M70" s="33"/>
    </row>
    <row r="71" spans="3:13" ht="25.8">
      <c r="C71" s="33"/>
      <c r="D71" s="33" t="s">
        <v>18</v>
      </c>
      <c r="E71" s="33" t="s">
        <v>59</v>
      </c>
      <c r="F71" s="50"/>
      <c r="G71" s="33"/>
      <c r="H71" s="33"/>
      <c r="I71" s="33"/>
      <c r="J71" s="34"/>
      <c r="L71" s="33"/>
      <c r="M71" s="33"/>
    </row>
    <row r="72" spans="3:13" ht="25.8">
      <c r="C72" s="33"/>
      <c r="D72" s="33" t="s">
        <v>18</v>
      </c>
      <c r="E72" s="33" t="s">
        <v>59</v>
      </c>
      <c r="F72" s="50"/>
      <c r="G72" s="33"/>
      <c r="H72" s="33"/>
      <c r="I72" s="33"/>
      <c r="J72" s="34"/>
      <c r="L72" s="33"/>
      <c r="M72" s="33"/>
    </row>
    <row r="73" spans="3:13" ht="25.8">
      <c r="C73" s="33"/>
      <c r="D73" s="33" t="s">
        <v>18</v>
      </c>
      <c r="E73" s="33" t="s">
        <v>59</v>
      </c>
      <c r="F73" s="50"/>
      <c r="G73" s="33"/>
      <c r="H73" s="33"/>
      <c r="I73" s="33"/>
      <c r="J73" s="34"/>
      <c r="L73" s="33"/>
      <c r="M73" s="33"/>
    </row>
    <row r="74" spans="3:13" ht="25.8">
      <c r="C74" s="33"/>
      <c r="D74" s="33" t="s">
        <v>18</v>
      </c>
      <c r="E74" s="33" t="s">
        <v>59</v>
      </c>
      <c r="F74" s="50"/>
      <c r="G74" s="33"/>
      <c r="H74" s="33"/>
      <c r="I74" s="33"/>
      <c r="J74" s="34"/>
      <c r="L74" s="33"/>
      <c r="M74" s="33"/>
    </row>
    <row r="75" spans="3:13" ht="25.8">
      <c r="C75" s="33"/>
      <c r="D75" s="33" t="s">
        <v>18</v>
      </c>
      <c r="E75" s="33" t="s">
        <v>59</v>
      </c>
      <c r="F75" s="50"/>
      <c r="G75" s="33"/>
      <c r="H75" s="33"/>
      <c r="I75" s="33"/>
      <c r="J75" s="34"/>
      <c r="L75" s="33"/>
      <c r="M75" s="33"/>
    </row>
    <row r="76" spans="3:13" ht="25.8">
      <c r="C76" s="33"/>
      <c r="D76" s="33" t="s">
        <v>18</v>
      </c>
      <c r="E76" s="33" t="s">
        <v>59</v>
      </c>
      <c r="F76" s="50"/>
      <c r="G76" s="33"/>
      <c r="H76" s="33"/>
      <c r="I76" s="33"/>
      <c r="J76" s="34"/>
      <c r="L76" s="33"/>
      <c r="M76" s="33"/>
    </row>
    <row r="77" spans="3:13" ht="25.8">
      <c r="C77" s="33"/>
      <c r="D77" s="33" t="s">
        <v>18</v>
      </c>
      <c r="E77" s="33" t="s">
        <v>59</v>
      </c>
      <c r="F77" s="50"/>
      <c r="G77" s="33"/>
      <c r="H77" s="33"/>
      <c r="I77" s="33"/>
      <c r="J77" s="34"/>
      <c r="L77" s="33"/>
      <c r="M77" s="33"/>
    </row>
    <row r="78" spans="3:13" ht="25.8">
      <c r="C78" s="33"/>
      <c r="D78" s="33" t="s">
        <v>18</v>
      </c>
      <c r="E78" s="33" t="s">
        <v>59</v>
      </c>
      <c r="F78" s="50"/>
      <c r="G78" s="33"/>
      <c r="H78" s="33"/>
      <c r="I78" s="33"/>
      <c r="J78" s="34"/>
      <c r="L78" s="33"/>
      <c r="M78" s="33"/>
    </row>
    <row r="79" spans="3:13" ht="25.8">
      <c r="C79" s="33"/>
      <c r="D79" s="33" t="s">
        <v>18</v>
      </c>
      <c r="E79" s="33" t="s">
        <v>59</v>
      </c>
      <c r="F79" s="50"/>
      <c r="G79" s="33"/>
      <c r="H79" s="33"/>
      <c r="I79" s="33"/>
      <c r="J79" s="34"/>
      <c r="L79" s="33"/>
      <c r="M79" s="33"/>
    </row>
    <row r="80" spans="3:13" ht="25.8">
      <c r="C80" s="33"/>
      <c r="D80" s="33" t="s">
        <v>18</v>
      </c>
      <c r="E80" s="33" t="s">
        <v>59</v>
      </c>
      <c r="F80" s="50"/>
      <c r="G80" s="33"/>
      <c r="H80" s="33"/>
      <c r="I80" s="33"/>
      <c r="J80" s="34"/>
      <c r="L80" s="33"/>
      <c r="M80" s="33"/>
    </row>
    <row r="81" spans="3:13" ht="25.8">
      <c r="C81" s="33"/>
      <c r="D81" s="33" t="s">
        <v>18</v>
      </c>
      <c r="E81" s="33" t="s">
        <v>59</v>
      </c>
      <c r="F81" s="50"/>
      <c r="G81" s="33"/>
      <c r="H81" s="33"/>
      <c r="I81" s="33"/>
      <c r="J81" s="34"/>
      <c r="L81" s="33"/>
      <c r="M81" s="33"/>
    </row>
    <row r="82" spans="3:13" ht="25.8">
      <c r="C82" s="33"/>
      <c r="D82" s="33" t="s">
        <v>18</v>
      </c>
      <c r="E82" s="33" t="s">
        <v>59</v>
      </c>
      <c r="F82" s="50"/>
      <c r="G82" s="33"/>
      <c r="H82" s="33"/>
      <c r="I82" s="33"/>
      <c r="J82" s="34"/>
      <c r="L82" s="33"/>
      <c r="M82" s="33"/>
    </row>
    <row r="83" spans="3:13" ht="25.8">
      <c r="C83" s="33"/>
      <c r="D83" s="33" t="s">
        <v>18</v>
      </c>
      <c r="E83" s="33" t="s">
        <v>59</v>
      </c>
      <c r="F83" s="50"/>
      <c r="G83" s="33"/>
      <c r="H83" s="33"/>
      <c r="I83" s="33"/>
      <c r="J83" s="34"/>
      <c r="L83" s="33"/>
      <c r="M83" s="33"/>
    </row>
    <row r="84" spans="3:13" ht="25.8">
      <c r="C84" s="33"/>
      <c r="D84" s="33" t="s">
        <v>18</v>
      </c>
      <c r="E84" s="33" t="s">
        <v>59</v>
      </c>
      <c r="F84" s="50"/>
      <c r="G84" s="33"/>
      <c r="H84" s="33"/>
      <c r="I84" s="33"/>
      <c r="J84" s="34"/>
      <c r="L84" s="33"/>
      <c r="M84" s="33"/>
    </row>
    <row r="85" spans="3:13" ht="25.8">
      <c r="C85" s="33"/>
      <c r="D85" s="33" t="s">
        <v>18</v>
      </c>
      <c r="E85" s="33" t="s">
        <v>59</v>
      </c>
      <c r="F85" s="50"/>
      <c r="G85" s="33"/>
      <c r="H85" s="33"/>
      <c r="I85" s="33"/>
      <c r="J85" s="34"/>
      <c r="L85" s="33"/>
      <c r="M85" s="33"/>
    </row>
    <row r="86" spans="3:13" ht="25.8">
      <c r="C86" s="33"/>
      <c r="D86" s="33" t="s">
        <v>18</v>
      </c>
      <c r="E86" s="33" t="s">
        <v>59</v>
      </c>
      <c r="F86" s="50"/>
      <c r="G86" s="33"/>
      <c r="H86" s="33"/>
      <c r="I86" s="33"/>
      <c r="J86" s="34"/>
      <c r="L86" s="33"/>
      <c r="M86" s="33"/>
    </row>
    <row r="87" spans="3:13" ht="25.8">
      <c r="C87" s="33"/>
      <c r="D87" s="33" t="s">
        <v>18</v>
      </c>
      <c r="E87" s="33" t="s">
        <v>59</v>
      </c>
      <c r="F87" s="50"/>
      <c r="G87" s="33"/>
      <c r="H87" s="33"/>
      <c r="I87" s="33"/>
      <c r="J87" s="34"/>
      <c r="L87" s="33"/>
      <c r="M87" s="33"/>
    </row>
    <row r="88" spans="3:13" ht="25.8">
      <c r="C88" s="33"/>
      <c r="D88" s="33" t="s">
        <v>18</v>
      </c>
      <c r="E88" s="33" t="s">
        <v>59</v>
      </c>
      <c r="F88" s="50"/>
      <c r="G88" s="33"/>
      <c r="H88" s="33"/>
      <c r="I88" s="33"/>
      <c r="J88" s="34"/>
      <c r="L88" s="33"/>
      <c r="M88" s="33"/>
    </row>
    <row r="89" spans="3:13" ht="25.8">
      <c r="C89" s="33"/>
      <c r="D89" s="33" t="s">
        <v>18</v>
      </c>
      <c r="E89" s="33" t="s">
        <v>59</v>
      </c>
      <c r="F89" s="50"/>
      <c r="G89" s="33"/>
      <c r="H89" s="33"/>
      <c r="I89" s="33"/>
      <c r="J89" s="34"/>
      <c r="L89" s="33"/>
      <c r="M89" s="33"/>
    </row>
    <row r="90" spans="3:13" ht="25.8">
      <c r="C90" s="33"/>
      <c r="D90" s="33" t="s">
        <v>18</v>
      </c>
      <c r="E90" s="33" t="s">
        <v>59</v>
      </c>
      <c r="F90" s="50"/>
      <c r="G90" s="33"/>
      <c r="H90" s="33"/>
      <c r="I90" s="33"/>
      <c r="J90" s="34"/>
      <c r="L90" s="33"/>
      <c r="M90" s="33"/>
    </row>
    <row r="91" spans="3:13" ht="25.8">
      <c r="C91" s="33"/>
      <c r="D91" s="33" t="s">
        <v>18</v>
      </c>
      <c r="E91" s="33" t="s">
        <v>59</v>
      </c>
      <c r="F91" s="50"/>
      <c r="G91" s="33"/>
      <c r="H91" s="33"/>
      <c r="I91" s="33"/>
      <c r="J91" s="34"/>
      <c r="L91" s="33"/>
      <c r="M91" s="33"/>
    </row>
    <row r="92" spans="3:13" ht="25.8">
      <c r="C92" s="33"/>
      <c r="D92" s="33" t="s">
        <v>18</v>
      </c>
      <c r="E92" s="33" t="s">
        <v>59</v>
      </c>
      <c r="F92" s="50"/>
      <c r="G92" s="33"/>
      <c r="H92" s="33"/>
      <c r="I92" s="33"/>
      <c r="J92" s="34"/>
      <c r="L92" s="33"/>
      <c r="M92" s="33"/>
    </row>
    <row r="93" spans="3:13" ht="25.8">
      <c r="C93" s="33"/>
      <c r="D93" s="33" t="s">
        <v>18</v>
      </c>
      <c r="E93" s="33" t="s">
        <v>59</v>
      </c>
      <c r="F93" s="50"/>
      <c r="G93" s="33"/>
      <c r="H93" s="33"/>
      <c r="I93" s="33"/>
      <c r="J93" s="34"/>
      <c r="L93" s="33"/>
      <c r="M93" s="33"/>
    </row>
    <row r="94" spans="3:13" ht="25.8">
      <c r="C94" s="33"/>
      <c r="D94" s="33" t="s">
        <v>18</v>
      </c>
      <c r="E94" s="33" t="s">
        <v>59</v>
      </c>
      <c r="F94" s="50"/>
      <c r="G94" s="33"/>
      <c r="H94" s="33"/>
      <c r="I94" s="33"/>
      <c r="J94" s="34"/>
      <c r="L94" s="33"/>
      <c r="M94" s="33"/>
    </row>
    <row r="95" spans="3:13" ht="25.8">
      <c r="C95" s="33"/>
      <c r="D95" s="33" t="s">
        <v>18</v>
      </c>
      <c r="E95" s="33" t="s">
        <v>59</v>
      </c>
      <c r="F95" s="50"/>
      <c r="G95" s="33"/>
      <c r="H95" s="33"/>
      <c r="I95" s="33"/>
      <c r="J95" s="34"/>
      <c r="L95" s="33"/>
      <c r="M95" s="33"/>
    </row>
    <row r="96" spans="3:13" ht="25.8">
      <c r="C96" s="33"/>
      <c r="D96" s="33" t="s">
        <v>18</v>
      </c>
      <c r="E96" s="33" t="s">
        <v>59</v>
      </c>
      <c r="F96" s="50"/>
      <c r="G96" s="33"/>
      <c r="H96" s="33"/>
      <c r="I96" s="33"/>
      <c r="J96" s="34"/>
      <c r="L96" s="33"/>
      <c r="M96" s="33"/>
    </row>
    <row r="97" spans="3:13" ht="25.8">
      <c r="C97" s="33"/>
      <c r="D97" s="33" t="s">
        <v>18</v>
      </c>
      <c r="E97" s="33" t="s">
        <v>59</v>
      </c>
      <c r="F97" s="50"/>
      <c r="G97" s="33"/>
      <c r="H97" s="33"/>
      <c r="I97" s="33"/>
      <c r="J97" s="34"/>
      <c r="L97" s="33"/>
      <c r="M97" s="33"/>
    </row>
    <row r="98" spans="3:13" ht="25.8">
      <c r="C98" s="33"/>
      <c r="D98" s="33" t="s">
        <v>18</v>
      </c>
      <c r="E98" s="33" t="s">
        <v>59</v>
      </c>
      <c r="F98" s="50"/>
      <c r="G98" s="33"/>
      <c r="H98" s="33"/>
      <c r="I98" s="33"/>
      <c r="J98" s="34"/>
      <c r="L98" s="33"/>
      <c r="M98" s="33"/>
    </row>
    <row r="99" spans="3:13" ht="25.8">
      <c r="C99" s="33"/>
      <c r="D99" s="33" t="s">
        <v>18</v>
      </c>
      <c r="E99" s="33" t="s">
        <v>59</v>
      </c>
      <c r="F99" s="50"/>
      <c r="G99" s="33"/>
      <c r="H99" s="33"/>
      <c r="I99" s="33"/>
      <c r="J99" s="34"/>
      <c r="L99" s="33"/>
      <c r="M99" s="33"/>
    </row>
    <row r="100" spans="3:13" ht="25.8">
      <c r="C100" s="33"/>
      <c r="D100" s="33" t="s">
        <v>18</v>
      </c>
      <c r="E100" s="33" t="s">
        <v>59</v>
      </c>
      <c r="F100" s="50"/>
      <c r="G100" s="33"/>
      <c r="H100" s="33"/>
      <c r="I100" s="33"/>
      <c r="J100" s="34"/>
      <c r="L100" s="33"/>
      <c r="M100" s="33"/>
    </row>
    <row r="101" spans="3:13" ht="25.8">
      <c r="C101" s="33"/>
      <c r="D101" s="33" t="s">
        <v>18</v>
      </c>
      <c r="E101" s="33" t="s">
        <v>59</v>
      </c>
      <c r="F101" s="50"/>
      <c r="G101" s="33"/>
      <c r="H101" s="33"/>
      <c r="I101" s="33"/>
      <c r="J101" s="34"/>
      <c r="L101" s="33"/>
      <c r="M101" s="33"/>
    </row>
    <row r="102" spans="3:13" ht="25.8">
      <c r="C102" s="33"/>
      <c r="D102" s="33" t="s">
        <v>18</v>
      </c>
      <c r="E102" s="33" t="s">
        <v>59</v>
      </c>
      <c r="F102" s="50"/>
      <c r="G102" s="33"/>
      <c r="H102" s="33"/>
      <c r="I102" s="33"/>
      <c r="J102" s="34"/>
      <c r="L102" s="33"/>
      <c r="M102" s="33"/>
    </row>
    <row r="103" spans="3:13" ht="25.8">
      <c r="C103" s="33"/>
      <c r="D103" s="33" t="s">
        <v>18</v>
      </c>
      <c r="E103" s="33" t="s">
        <v>59</v>
      </c>
      <c r="F103" s="50"/>
      <c r="G103" s="33"/>
      <c r="H103" s="33"/>
      <c r="I103" s="33"/>
      <c r="J103" s="34"/>
      <c r="L103" s="33"/>
      <c r="M103" s="33"/>
    </row>
    <row r="104" spans="3:13" ht="25.8">
      <c r="C104" s="33"/>
      <c r="D104" s="33" t="s">
        <v>18</v>
      </c>
      <c r="E104" s="33" t="s">
        <v>59</v>
      </c>
      <c r="F104" s="50"/>
      <c r="G104" s="33"/>
      <c r="H104" s="33"/>
      <c r="I104" s="33"/>
      <c r="J104" s="34"/>
      <c r="L104" s="33"/>
      <c r="M104" s="33"/>
    </row>
    <row r="105" spans="3:13" ht="25.8">
      <c r="C105" s="33"/>
      <c r="D105" s="33" t="s">
        <v>18</v>
      </c>
      <c r="E105" s="33" t="s">
        <v>59</v>
      </c>
      <c r="F105" s="50"/>
      <c r="G105" s="33"/>
      <c r="H105" s="33"/>
      <c r="I105" s="33"/>
      <c r="J105" s="34"/>
      <c r="L105" s="33"/>
      <c r="M105" s="33"/>
    </row>
    <row r="106" spans="3:13" ht="25.8">
      <c r="C106" s="33"/>
      <c r="D106" s="33" t="s">
        <v>18</v>
      </c>
      <c r="E106" s="33" t="s">
        <v>59</v>
      </c>
      <c r="F106" s="50"/>
      <c r="G106" s="33"/>
      <c r="H106" s="33"/>
      <c r="I106" s="33"/>
      <c r="J106" s="34"/>
      <c r="L106" s="33"/>
      <c r="M106" s="33"/>
    </row>
    <row r="107" spans="3:13" ht="25.8">
      <c r="C107" s="33"/>
      <c r="D107" s="33" t="s">
        <v>18</v>
      </c>
      <c r="E107" s="33" t="s">
        <v>59</v>
      </c>
      <c r="F107" s="50"/>
      <c r="G107" s="33"/>
      <c r="H107" s="33"/>
      <c r="I107" s="33"/>
      <c r="J107" s="34"/>
      <c r="L107" s="33"/>
      <c r="M107" s="33"/>
    </row>
    <row r="108" spans="3:13" ht="25.8">
      <c r="C108" s="33"/>
      <c r="D108" s="33" t="s">
        <v>18</v>
      </c>
      <c r="E108" s="33" t="s">
        <v>59</v>
      </c>
      <c r="F108" s="50"/>
      <c r="G108" s="33"/>
      <c r="H108" s="33"/>
      <c r="I108" s="33"/>
      <c r="J108" s="34"/>
      <c r="L108" s="33"/>
      <c r="M108" s="33"/>
    </row>
    <row r="109" spans="3:13" ht="25.8">
      <c r="C109" s="33"/>
      <c r="D109" s="33" t="s">
        <v>18</v>
      </c>
      <c r="E109" s="33" t="s">
        <v>59</v>
      </c>
      <c r="F109" s="50"/>
      <c r="G109" s="33"/>
      <c r="H109" s="33"/>
      <c r="I109" s="33"/>
      <c r="J109" s="34"/>
      <c r="L109" s="33"/>
      <c r="M109" s="33"/>
    </row>
    <row r="110" spans="3:13" ht="25.8">
      <c r="C110" s="33"/>
      <c r="D110" s="33" t="s">
        <v>18</v>
      </c>
      <c r="E110" s="33" t="s">
        <v>59</v>
      </c>
      <c r="F110" s="50"/>
      <c r="G110" s="33"/>
      <c r="H110" s="33"/>
      <c r="I110" s="33"/>
      <c r="J110" s="34"/>
      <c r="L110" s="33"/>
      <c r="M110" s="33"/>
    </row>
    <row r="111" spans="3:13" ht="25.8">
      <c r="C111" s="33"/>
      <c r="D111" s="33" t="s">
        <v>18</v>
      </c>
      <c r="E111" s="33" t="s">
        <v>59</v>
      </c>
      <c r="F111" s="50"/>
      <c r="G111" s="33"/>
      <c r="H111" s="33"/>
      <c r="I111" s="33"/>
      <c r="J111" s="34"/>
      <c r="L111" s="33"/>
      <c r="M111" s="33"/>
    </row>
    <row r="112" spans="3:13" ht="25.8">
      <c r="C112" s="33"/>
      <c r="D112" s="33" t="s">
        <v>18</v>
      </c>
      <c r="E112" s="33" t="s">
        <v>59</v>
      </c>
      <c r="F112" s="50"/>
      <c r="G112" s="33"/>
      <c r="H112" s="33"/>
      <c r="I112" s="33"/>
      <c r="J112" s="34"/>
      <c r="L112" s="33"/>
      <c r="M112" s="33"/>
    </row>
    <row r="113" spans="3:13" ht="25.8">
      <c r="C113" s="33"/>
      <c r="D113" s="33" t="s">
        <v>18</v>
      </c>
      <c r="E113" s="33" t="s">
        <v>59</v>
      </c>
      <c r="F113" s="50"/>
      <c r="G113" s="33"/>
      <c r="H113" s="33"/>
      <c r="I113" s="33"/>
      <c r="J113" s="34"/>
      <c r="L113" s="33"/>
      <c r="M113" s="33"/>
    </row>
    <row r="114" spans="3:13" ht="25.8">
      <c r="C114" s="33"/>
      <c r="D114" s="33" t="s">
        <v>18</v>
      </c>
      <c r="E114" s="33" t="s">
        <v>59</v>
      </c>
      <c r="F114" s="50"/>
      <c r="G114" s="33"/>
      <c r="H114" s="33"/>
      <c r="I114" s="33"/>
      <c r="J114" s="34"/>
      <c r="L114" s="33"/>
      <c r="M114" s="33"/>
    </row>
    <row r="115" spans="3:13" ht="25.8">
      <c r="C115" s="33"/>
      <c r="D115" s="33" t="s">
        <v>18</v>
      </c>
      <c r="E115" s="33" t="s">
        <v>59</v>
      </c>
      <c r="F115" s="50"/>
      <c r="G115" s="33"/>
      <c r="H115" s="33"/>
      <c r="I115" s="33"/>
      <c r="J115" s="34"/>
      <c r="L115" s="33"/>
      <c r="M115" s="33"/>
    </row>
    <row r="116" spans="3:13" ht="25.8">
      <c r="C116" s="33"/>
      <c r="D116" s="33" t="s">
        <v>18</v>
      </c>
      <c r="E116" s="33" t="s">
        <v>59</v>
      </c>
      <c r="F116" s="50"/>
      <c r="G116" s="33"/>
      <c r="H116" s="33"/>
      <c r="I116" s="33"/>
      <c r="J116" s="34"/>
      <c r="L116" s="33"/>
      <c r="M116" s="33"/>
    </row>
    <row r="117" spans="3:13" ht="25.8">
      <c r="C117" s="33"/>
      <c r="D117" s="33" t="s">
        <v>18</v>
      </c>
      <c r="E117" s="33" t="s">
        <v>59</v>
      </c>
      <c r="F117" s="50"/>
      <c r="G117" s="33"/>
      <c r="H117" s="33"/>
      <c r="I117" s="33"/>
      <c r="J117" s="34"/>
      <c r="L117" s="33"/>
      <c r="M117" s="33"/>
    </row>
    <row r="118" spans="3:13" ht="25.8">
      <c r="C118" s="33"/>
      <c r="D118" s="33" t="s">
        <v>18</v>
      </c>
      <c r="E118" s="33" t="s">
        <v>59</v>
      </c>
      <c r="F118" s="50"/>
      <c r="G118" s="33"/>
      <c r="H118" s="33"/>
      <c r="I118" s="33"/>
      <c r="J118" s="34"/>
      <c r="L118" s="33"/>
      <c r="M118" s="33"/>
    </row>
    <row r="119" spans="3:13" ht="25.8">
      <c r="C119" s="33"/>
      <c r="D119" s="33" t="s">
        <v>18</v>
      </c>
      <c r="E119" s="33" t="s">
        <v>59</v>
      </c>
      <c r="F119" s="50"/>
      <c r="G119" s="33"/>
      <c r="H119" s="33"/>
      <c r="I119" s="33"/>
      <c r="J119" s="34"/>
      <c r="L119" s="33"/>
      <c r="M119" s="33"/>
    </row>
    <row r="120" spans="3:13" ht="25.8">
      <c r="C120" s="33"/>
      <c r="D120" s="33" t="s">
        <v>18</v>
      </c>
      <c r="E120" s="33" t="s">
        <v>59</v>
      </c>
      <c r="F120" s="50"/>
      <c r="G120" s="33"/>
      <c r="H120" s="33"/>
      <c r="I120" s="33"/>
      <c r="J120" s="34"/>
      <c r="L120" s="33"/>
      <c r="M120" s="33"/>
    </row>
    <row r="121" spans="3:13" ht="25.8">
      <c r="C121" s="33"/>
      <c r="D121" s="33" t="s">
        <v>18</v>
      </c>
      <c r="E121" s="33" t="s">
        <v>59</v>
      </c>
      <c r="F121" s="50"/>
      <c r="G121" s="33"/>
      <c r="H121" s="33"/>
      <c r="I121" s="33"/>
      <c r="J121" s="34"/>
      <c r="L121" s="33"/>
      <c r="M121" s="33"/>
    </row>
    <row r="122" spans="3:13" ht="25.8">
      <c r="C122" s="33"/>
      <c r="D122" s="33" t="s">
        <v>18</v>
      </c>
      <c r="E122" s="33" t="s">
        <v>59</v>
      </c>
      <c r="F122" s="50"/>
      <c r="G122" s="33"/>
      <c r="H122" s="33"/>
      <c r="I122" s="33"/>
      <c r="J122" s="34"/>
      <c r="L122" s="33"/>
      <c r="M122" s="33"/>
    </row>
    <row r="123" spans="3:13" ht="25.8">
      <c r="C123" s="33"/>
      <c r="D123" s="33" t="s">
        <v>18</v>
      </c>
      <c r="E123" s="33" t="s">
        <v>59</v>
      </c>
      <c r="F123" s="50"/>
      <c r="G123" s="33"/>
      <c r="H123" s="33"/>
      <c r="I123" s="33"/>
      <c r="J123" s="34"/>
      <c r="L123" s="33"/>
      <c r="M123" s="33"/>
    </row>
    <row r="124" spans="3:13" ht="25.8">
      <c r="C124" s="33"/>
      <c r="D124" s="33" t="s">
        <v>18</v>
      </c>
      <c r="E124" s="33" t="s">
        <v>59</v>
      </c>
      <c r="F124" s="50"/>
      <c r="G124" s="33"/>
      <c r="H124" s="33"/>
      <c r="I124" s="33"/>
      <c r="J124" s="34"/>
      <c r="L124" s="33"/>
      <c r="M124" s="33"/>
    </row>
    <row r="125" spans="3:13" ht="25.8">
      <c r="C125" s="33"/>
      <c r="D125" s="33" t="s">
        <v>18</v>
      </c>
      <c r="E125" s="33" t="s">
        <v>59</v>
      </c>
      <c r="F125" s="50"/>
      <c r="G125" s="33"/>
      <c r="H125" s="33"/>
      <c r="I125" s="33"/>
      <c r="J125" s="34"/>
      <c r="L125" s="33"/>
      <c r="M125" s="33"/>
    </row>
    <row r="126" spans="3:13" ht="25.8">
      <c r="C126" s="33"/>
      <c r="D126" s="33" t="s">
        <v>18</v>
      </c>
      <c r="E126" s="33" t="s">
        <v>59</v>
      </c>
      <c r="F126" s="50"/>
      <c r="G126" s="33"/>
      <c r="H126" s="33"/>
      <c r="I126" s="33"/>
      <c r="J126" s="34"/>
      <c r="L126" s="33"/>
      <c r="M126" s="33"/>
    </row>
    <row r="127" spans="3:13" ht="25.8">
      <c r="C127" s="33"/>
      <c r="D127" s="33" t="s">
        <v>18</v>
      </c>
      <c r="E127" s="33" t="s">
        <v>59</v>
      </c>
      <c r="F127" s="50"/>
      <c r="G127" s="33"/>
      <c r="H127" s="33"/>
      <c r="I127" s="33"/>
      <c r="J127" s="34"/>
      <c r="L127" s="33"/>
      <c r="M127" s="33"/>
    </row>
    <row r="128" spans="3:13" ht="25.8">
      <c r="C128" s="33"/>
      <c r="D128" s="33" t="s">
        <v>18</v>
      </c>
      <c r="E128" s="33" t="s">
        <v>59</v>
      </c>
      <c r="F128" s="50"/>
      <c r="G128" s="33"/>
      <c r="H128" s="33"/>
      <c r="I128" s="33"/>
      <c r="J128" s="34"/>
      <c r="L128" s="33"/>
      <c r="M128" s="33"/>
    </row>
    <row r="129" spans="3:13" ht="25.8">
      <c r="C129" s="33"/>
      <c r="D129" s="33" t="s">
        <v>18</v>
      </c>
      <c r="E129" s="33" t="s">
        <v>59</v>
      </c>
      <c r="F129" s="50"/>
      <c r="G129" s="33"/>
      <c r="H129" s="33"/>
      <c r="I129" s="33"/>
      <c r="J129" s="34"/>
      <c r="L129" s="33"/>
      <c r="M129" s="33"/>
    </row>
    <row r="130" spans="3:13" ht="25.8">
      <c r="C130" s="33"/>
      <c r="D130" s="33" t="s">
        <v>18</v>
      </c>
      <c r="E130" s="33" t="s">
        <v>59</v>
      </c>
      <c r="F130" s="50"/>
      <c r="G130" s="33"/>
      <c r="H130" s="33"/>
      <c r="I130" s="33"/>
      <c r="J130" s="34"/>
      <c r="L130" s="33"/>
      <c r="M130" s="33"/>
    </row>
    <row r="131" spans="3:13" ht="25.8">
      <c r="C131" s="33"/>
      <c r="D131" s="33" t="s">
        <v>18</v>
      </c>
      <c r="E131" s="33" t="s">
        <v>59</v>
      </c>
      <c r="F131" s="50"/>
      <c r="G131" s="33"/>
      <c r="H131" s="33"/>
      <c r="I131" s="33"/>
      <c r="J131" s="34"/>
      <c r="L131" s="33"/>
      <c r="M131" s="33"/>
    </row>
    <row r="132" spans="3:13" ht="25.8">
      <c r="C132" s="33"/>
      <c r="D132" s="33" t="s">
        <v>18</v>
      </c>
      <c r="E132" s="33" t="s">
        <v>59</v>
      </c>
      <c r="F132" s="50"/>
      <c r="G132" s="33"/>
      <c r="H132" s="33"/>
      <c r="I132" s="33"/>
      <c r="J132" s="34"/>
      <c r="L132" s="33"/>
      <c r="M132" s="33"/>
    </row>
    <row r="133" spans="3:13" ht="25.8">
      <c r="C133" s="33"/>
      <c r="D133" s="33" t="s">
        <v>18</v>
      </c>
      <c r="E133" s="33" t="s">
        <v>59</v>
      </c>
      <c r="F133" s="50"/>
      <c r="G133" s="33"/>
      <c r="H133" s="33"/>
      <c r="I133" s="33"/>
      <c r="J133" s="34"/>
      <c r="L133" s="33"/>
      <c r="M133" s="33"/>
    </row>
    <row r="134" spans="3:13" ht="25.8">
      <c r="C134" s="33"/>
      <c r="D134" s="33" t="s">
        <v>18</v>
      </c>
      <c r="E134" s="33" t="s">
        <v>59</v>
      </c>
      <c r="F134" s="50"/>
      <c r="G134" s="33"/>
      <c r="H134" s="33"/>
      <c r="I134" s="33"/>
      <c r="J134" s="34"/>
      <c r="L134" s="33"/>
      <c r="M134" s="33"/>
    </row>
    <row r="135" spans="3:13" ht="25.8">
      <c r="C135" s="33"/>
      <c r="D135" s="33" t="s">
        <v>18</v>
      </c>
      <c r="E135" s="33" t="s">
        <v>59</v>
      </c>
      <c r="F135" s="50"/>
      <c r="G135" s="33"/>
      <c r="H135" s="33"/>
      <c r="I135" s="33"/>
      <c r="J135" s="34"/>
      <c r="L135" s="33"/>
      <c r="M135" s="33"/>
    </row>
    <row r="136" spans="3:13" ht="25.8">
      <c r="C136" s="33"/>
      <c r="D136" s="33" t="s">
        <v>18</v>
      </c>
      <c r="E136" s="33" t="s">
        <v>59</v>
      </c>
      <c r="F136" s="50"/>
      <c r="G136" s="33"/>
      <c r="H136" s="33"/>
      <c r="I136" s="33"/>
      <c r="J136" s="34"/>
      <c r="L136" s="33"/>
      <c r="M136" s="33"/>
    </row>
    <row r="137" spans="3:13" ht="25.8">
      <c r="C137" s="33"/>
      <c r="D137" s="33" t="s">
        <v>18</v>
      </c>
      <c r="E137" s="33" t="s">
        <v>59</v>
      </c>
      <c r="F137" s="50"/>
      <c r="G137" s="33"/>
      <c r="H137" s="33"/>
      <c r="I137" s="33"/>
      <c r="J137" s="34"/>
      <c r="L137" s="33"/>
      <c r="M137" s="33"/>
    </row>
    <row r="138" spans="3:13" ht="25.8">
      <c r="C138" s="33"/>
      <c r="D138" s="33" t="s">
        <v>18</v>
      </c>
      <c r="E138" s="33" t="s">
        <v>59</v>
      </c>
      <c r="F138" s="50"/>
      <c r="G138" s="33"/>
      <c r="H138" s="33"/>
      <c r="I138" s="33"/>
      <c r="J138" s="34"/>
      <c r="L138" s="33"/>
      <c r="M138" s="33"/>
    </row>
    <row r="139" spans="3:13" ht="25.8">
      <c r="C139" s="33"/>
      <c r="D139" s="33" t="s">
        <v>18</v>
      </c>
      <c r="E139" s="33" t="s">
        <v>59</v>
      </c>
      <c r="F139" s="50"/>
      <c r="G139" s="33"/>
      <c r="H139" s="33"/>
      <c r="I139" s="33"/>
      <c r="J139" s="34"/>
      <c r="L139" s="33"/>
      <c r="M139" s="33"/>
    </row>
    <row r="140" spans="3:13" ht="25.8">
      <c r="C140" s="33"/>
      <c r="D140" s="33" t="s">
        <v>18</v>
      </c>
      <c r="E140" s="33" t="s">
        <v>59</v>
      </c>
      <c r="F140" s="50"/>
      <c r="G140" s="33"/>
      <c r="H140" s="33"/>
      <c r="I140" s="33"/>
      <c r="J140" s="34"/>
      <c r="L140" s="33"/>
      <c r="M140" s="33"/>
    </row>
    <row r="141" spans="3:13" ht="25.8">
      <c r="C141" s="33"/>
      <c r="D141" s="33" t="s">
        <v>18</v>
      </c>
      <c r="E141" s="33" t="s">
        <v>59</v>
      </c>
      <c r="F141" s="50"/>
      <c r="G141" s="33"/>
      <c r="H141" s="33"/>
      <c r="I141" s="33"/>
      <c r="J141" s="34"/>
      <c r="L141" s="33"/>
      <c r="M141" s="33"/>
    </row>
    <row r="142" spans="3:13" ht="25.8">
      <c r="C142" s="33"/>
      <c r="D142" s="33" t="s">
        <v>18</v>
      </c>
      <c r="E142" s="33" t="s">
        <v>59</v>
      </c>
      <c r="F142" s="50"/>
      <c r="G142" s="33"/>
      <c r="H142" s="33"/>
      <c r="I142" s="33"/>
      <c r="J142" s="34"/>
      <c r="L142" s="33"/>
      <c r="M142" s="33"/>
    </row>
    <row r="143" spans="3:13" ht="25.8">
      <c r="C143" s="33"/>
      <c r="D143" s="33" t="s">
        <v>18</v>
      </c>
      <c r="E143" s="33" t="s">
        <v>59</v>
      </c>
      <c r="F143" s="50"/>
      <c r="G143" s="33"/>
      <c r="H143" s="33"/>
      <c r="I143" s="33"/>
      <c r="J143" s="34"/>
      <c r="L143" s="33"/>
      <c r="M143" s="33"/>
    </row>
    <row r="144" spans="3:13" ht="25.8">
      <c r="C144" s="33"/>
      <c r="D144" s="33" t="s">
        <v>18</v>
      </c>
      <c r="E144" s="33" t="s">
        <v>59</v>
      </c>
      <c r="F144" s="50"/>
      <c r="G144" s="33"/>
      <c r="H144" s="33"/>
      <c r="I144" s="33"/>
      <c r="J144" s="34"/>
      <c r="L144" s="33"/>
      <c r="M144" s="33"/>
    </row>
    <row r="145" spans="3:13" ht="25.8">
      <c r="C145" s="33"/>
      <c r="D145" s="33" t="s">
        <v>18</v>
      </c>
      <c r="E145" s="33" t="s">
        <v>59</v>
      </c>
      <c r="F145" s="50"/>
      <c r="G145" s="33"/>
      <c r="H145" s="33"/>
      <c r="I145" s="33"/>
      <c r="J145" s="34"/>
      <c r="L145" s="33"/>
      <c r="M145" s="33"/>
    </row>
    <row r="146" spans="3:13" ht="25.8">
      <c r="C146" s="33"/>
      <c r="D146" s="33" t="s">
        <v>18</v>
      </c>
      <c r="E146" s="33" t="s">
        <v>59</v>
      </c>
      <c r="F146" s="50"/>
      <c r="G146" s="33"/>
      <c r="H146" s="33"/>
      <c r="I146" s="33"/>
      <c r="J146" s="34"/>
      <c r="L146" s="33"/>
      <c r="M146" s="33"/>
    </row>
    <row r="147" spans="3:13" ht="25.8">
      <c r="C147" s="33"/>
      <c r="D147" s="33" t="s">
        <v>18</v>
      </c>
      <c r="E147" s="33" t="s">
        <v>59</v>
      </c>
      <c r="F147" s="50"/>
      <c r="G147" s="33"/>
      <c r="H147" s="33"/>
      <c r="I147" s="33"/>
      <c r="J147" s="34"/>
      <c r="L147" s="33"/>
      <c r="M147" s="33"/>
    </row>
    <row r="148" spans="3:13" ht="25.8">
      <c r="C148" s="33"/>
      <c r="D148" s="33" t="s">
        <v>18</v>
      </c>
      <c r="E148" s="33" t="s">
        <v>59</v>
      </c>
      <c r="F148" s="50"/>
      <c r="G148" s="33"/>
      <c r="H148" s="33"/>
      <c r="I148" s="33"/>
      <c r="J148" s="34"/>
      <c r="L148" s="33"/>
      <c r="M148" s="33"/>
    </row>
    <row r="149" spans="3:13" ht="25.8">
      <c r="C149" s="33"/>
      <c r="D149" s="33" t="s">
        <v>18</v>
      </c>
      <c r="E149" s="33" t="s">
        <v>59</v>
      </c>
      <c r="F149" s="50"/>
      <c r="G149" s="33"/>
      <c r="H149" s="33"/>
      <c r="I149" s="33"/>
      <c r="J149" s="34"/>
      <c r="L149" s="33"/>
      <c r="M149" s="33"/>
    </row>
    <row r="150" spans="3:13" ht="25.8">
      <c r="C150" s="33"/>
      <c r="D150" s="33" t="s">
        <v>18</v>
      </c>
      <c r="E150" s="33" t="s">
        <v>59</v>
      </c>
      <c r="F150" s="50"/>
      <c r="G150" s="33"/>
      <c r="H150" s="33"/>
      <c r="I150" s="33"/>
      <c r="J150" s="34"/>
      <c r="L150" s="33"/>
      <c r="M150" s="33"/>
    </row>
    <row r="151" spans="3:13" ht="25.8">
      <c r="C151" s="33"/>
      <c r="D151" s="33" t="s">
        <v>18</v>
      </c>
      <c r="E151" s="33" t="s">
        <v>59</v>
      </c>
      <c r="F151" s="50"/>
      <c r="G151" s="33"/>
      <c r="H151" s="33"/>
      <c r="I151" s="33"/>
      <c r="J151" s="34"/>
      <c r="L151" s="33"/>
      <c r="M151" s="33"/>
    </row>
    <row r="152" spans="3:13" ht="25.8">
      <c r="C152" s="33"/>
      <c r="D152" s="33" t="s">
        <v>18</v>
      </c>
      <c r="E152" s="33" t="s">
        <v>59</v>
      </c>
      <c r="F152" s="50"/>
      <c r="G152" s="33"/>
      <c r="H152" s="33"/>
      <c r="I152" s="33"/>
      <c r="J152" s="34"/>
      <c r="L152" s="33"/>
      <c r="M152" s="33"/>
    </row>
    <row r="153" spans="3:13" ht="25.8">
      <c r="C153" s="33"/>
      <c r="D153" s="33" t="s">
        <v>18</v>
      </c>
      <c r="E153" s="33" t="s">
        <v>59</v>
      </c>
      <c r="F153" s="50"/>
      <c r="G153" s="33"/>
      <c r="H153" s="33"/>
      <c r="I153" s="33"/>
      <c r="J153" s="34"/>
      <c r="L153" s="33"/>
      <c r="M153" s="33"/>
    </row>
    <row r="154" spans="3:13" ht="25.8">
      <c r="C154" s="33"/>
      <c r="D154" s="33" t="s">
        <v>18</v>
      </c>
      <c r="E154" s="33" t="s">
        <v>59</v>
      </c>
      <c r="F154" s="50"/>
      <c r="G154" s="33"/>
      <c r="H154" s="33"/>
      <c r="I154" s="33"/>
      <c r="J154" s="34"/>
      <c r="L154" s="33"/>
      <c r="M154" s="33"/>
    </row>
    <row r="155" spans="3:13" ht="25.8">
      <c r="C155" s="33"/>
      <c r="D155" s="33" t="s">
        <v>18</v>
      </c>
      <c r="E155" s="33" t="s">
        <v>59</v>
      </c>
      <c r="F155" s="50"/>
      <c r="G155" s="33"/>
      <c r="H155" s="33"/>
      <c r="I155" s="33"/>
      <c r="J155" s="34"/>
      <c r="L155" s="33"/>
      <c r="M155" s="33"/>
    </row>
    <row r="156" spans="3:13" ht="25.8">
      <c r="C156" s="33"/>
      <c r="D156" s="33" t="s">
        <v>18</v>
      </c>
      <c r="E156" s="33" t="s">
        <v>59</v>
      </c>
      <c r="F156" s="50"/>
      <c r="G156" s="33"/>
      <c r="H156" s="33"/>
      <c r="I156" s="33"/>
      <c r="J156" s="34"/>
      <c r="L156" s="33"/>
      <c r="M156" s="33"/>
    </row>
    <row r="157" spans="3:13" ht="25.8">
      <c r="C157" s="33"/>
      <c r="D157" s="33" t="s">
        <v>18</v>
      </c>
      <c r="E157" s="33" t="s">
        <v>59</v>
      </c>
      <c r="F157" s="50"/>
      <c r="G157" s="33"/>
      <c r="H157" s="33"/>
      <c r="I157" s="33"/>
      <c r="J157" s="34"/>
      <c r="L157" s="33"/>
      <c r="M157" s="33"/>
    </row>
    <row r="158" spans="3:13" ht="25.8">
      <c r="C158" s="33"/>
      <c r="D158" s="33" t="s">
        <v>18</v>
      </c>
      <c r="E158" s="33" t="s">
        <v>59</v>
      </c>
      <c r="F158" s="50"/>
      <c r="G158" s="33"/>
      <c r="H158" s="33"/>
      <c r="I158" s="33"/>
      <c r="J158" s="34"/>
      <c r="L158" s="33"/>
      <c r="M158" s="33"/>
    </row>
    <row r="159" spans="3:13" ht="25.8">
      <c r="C159" s="33"/>
      <c r="D159" s="33" t="s">
        <v>18</v>
      </c>
      <c r="E159" s="33" t="s">
        <v>59</v>
      </c>
      <c r="F159" s="50"/>
      <c r="G159" s="33"/>
      <c r="H159" s="33"/>
      <c r="I159" s="33"/>
      <c r="J159" s="34"/>
      <c r="L159" s="33"/>
      <c r="M159" s="33"/>
    </row>
    <row r="160" spans="3:13" ht="25.8">
      <c r="C160" s="33"/>
      <c r="D160" s="33" t="s">
        <v>18</v>
      </c>
      <c r="E160" s="33" t="s">
        <v>59</v>
      </c>
      <c r="F160" s="50"/>
      <c r="G160" s="33"/>
      <c r="H160" s="33"/>
      <c r="I160" s="33"/>
      <c r="J160" s="34"/>
      <c r="L160" s="33"/>
      <c r="M160" s="33"/>
    </row>
    <row r="161" spans="3:13" ht="25.8">
      <c r="C161" s="33"/>
      <c r="D161" s="33" t="s">
        <v>18</v>
      </c>
      <c r="E161" s="33" t="s">
        <v>59</v>
      </c>
      <c r="F161" s="50"/>
      <c r="G161" s="33"/>
      <c r="H161" s="33"/>
      <c r="I161" s="33"/>
      <c r="J161" s="34"/>
      <c r="L161" s="33"/>
      <c r="M161" s="33"/>
    </row>
    <row r="162" spans="3:13" ht="25.8">
      <c r="C162" s="33"/>
      <c r="D162" s="33" t="s">
        <v>18</v>
      </c>
      <c r="E162" s="33" t="s">
        <v>59</v>
      </c>
      <c r="F162" s="50"/>
      <c r="G162" s="33"/>
      <c r="H162" s="33"/>
      <c r="I162" s="33"/>
      <c r="J162" s="34"/>
      <c r="L162" s="33"/>
      <c r="M162" s="33"/>
    </row>
    <row r="163" spans="3:13" ht="25.8">
      <c r="C163" s="33"/>
      <c r="D163" s="33" t="s">
        <v>18</v>
      </c>
      <c r="E163" s="33" t="s">
        <v>59</v>
      </c>
      <c r="F163" s="50"/>
      <c r="G163" s="33"/>
      <c r="H163" s="33"/>
      <c r="I163" s="33"/>
      <c r="J163" s="34"/>
      <c r="L163" s="33"/>
      <c r="M163" s="33"/>
    </row>
    <row r="164" spans="3:13" ht="25.8">
      <c r="C164" s="33"/>
      <c r="D164" s="33" t="s">
        <v>18</v>
      </c>
      <c r="E164" s="33" t="s">
        <v>59</v>
      </c>
      <c r="F164" s="50"/>
      <c r="G164" s="33"/>
      <c r="H164" s="33"/>
      <c r="I164" s="33"/>
      <c r="J164" s="34"/>
      <c r="L164" s="33"/>
      <c r="M164" s="33"/>
    </row>
    <row r="165" spans="3:13" ht="25.8">
      <c r="C165" s="33"/>
      <c r="D165" s="33" t="s">
        <v>18</v>
      </c>
      <c r="E165" s="33" t="s">
        <v>59</v>
      </c>
      <c r="F165" s="50"/>
      <c r="G165" s="33"/>
      <c r="H165" s="33"/>
      <c r="I165" s="33"/>
      <c r="J165" s="34"/>
      <c r="L165" s="33"/>
      <c r="M165" s="33"/>
    </row>
    <row r="166" spans="3:13" ht="25.8">
      <c r="C166" s="33"/>
      <c r="D166" s="33" t="s">
        <v>18</v>
      </c>
      <c r="E166" s="33" t="s">
        <v>59</v>
      </c>
      <c r="F166" s="50"/>
      <c r="G166" s="33"/>
      <c r="H166" s="33"/>
      <c r="I166" s="33"/>
      <c r="J166" s="34"/>
      <c r="L166" s="33"/>
      <c r="M166" s="33"/>
    </row>
    <row r="167" spans="3:13" ht="25.8">
      <c r="C167" s="33"/>
      <c r="D167" s="33" t="s">
        <v>18</v>
      </c>
      <c r="E167" s="33" t="s">
        <v>59</v>
      </c>
      <c r="F167" s="50"/>
      <c r="G167" s="33"/>
      <c r="H167" s="33"/>
      <c r="I167" s="33"/>
      <c r="J167" s="34"/>
      <c r="L167" s="33"/>
      <c r="M167" s="33"/>
    </row>
    <row r="168" spans="3:13" ht="25.8">
      <c r="C168" s="33"/>
      <c r="D168" s="33" t="s">
        <v>18</v>
      </c>
      <c r="E168" s="33" t="s">
        <v>59</v>
      </c>
      <c r="F168" s="50"/>
      <c r="G168" s="33"/>
      <c r="H168" s="33"/>
      <c r="I168" s="33"/>
      <c r="J168" s="34"/>
      <c r="L168" s="33"/>
      <c r="M168" s="33"/>
    </row>
    <row r="169" spans="3:13" ht="25.8">
      <c r="C169" s="33"/>
      <c r="D169" s="33" t="s">
        <v>18</v>
      </c>
      <c r="E169" s="33" t="s">
        <v>59</v>
      </c>
      <c r="F169" s="50"/>
      <c r="G169" s="33"/>
      <c r="H169" s="33"/>
      <c r="I169" s="33"/>
      <c r="J169" s="34"/>
      <c r="L169" s="33"/>
      <c r="M169" s="33"/>
    </row>
    <row r="170" spans="3:13" ht="25.8">
      <c r="C170" s="33"/>
      <c r="D170" s="33" t="s">
        <v>18</v>
      </c>
      <c r="E170" s="33" t="s">
        <v>59</v>
      </c>
      <c r="F170" s="50"/>
      <c r="G170" s="33"/>
      <c r="H170" s="33"/>
      <c r="I170" s="33"/>
      <c r="J170" s="34"/>
      <c r="L170" s="33"/>
      <c r="M170" s="33"/>
    </row>
    <row r="171" spans="3:13" ht="25.8">
      <c r="C171" s="33"/>
      <c r="D171" s="33" t="s">
        <v>18</v>
      </c>
      <c r="E171" s="33" t="s">
        <v>59</v>
      </c>
      <c r="F171" s="50"/>
      <c r="G171" s="33"/>
      <c r="H171" s="33"/>
      <c r="I171" s="33"/>
      <c r="J171" s="34"/>
      <c r="L171" s="33"/>
      <c r="M171" s="33"/>
    </row>
    <row r="172" spans="3:13" ht="25.8">
      <c r="C172" s="33"/>
      <c r="D172" s="33" t="s">
        <v>18</v>
      </c>
      <c r="E172" s="33" t="s">
        <v>59</v>
      </c>
      <c r="F172" s="50"/>
      <c r="G172" s="33"/>
      <c r="H172" s="33"/>
      <c r="I172" s="33"/>
      <c r="J172" s="34"/>
      <c r="L172" s="33"/>
      <c r="M172" s="33"/>
    </row>
    <row r="173" spans="3:13" ht="25.8">
      <c r="C173" s="33"/>
      <c r="D173" s="33" t="s">
        <v>18</v>
      </c>
      <c r="E173" s="33" t="s">
        <v>59</v>
      </c>
      <c r="F173" s="50"/>
      <c r="G173" s="33"/>
      <c r="H173" s="33"/>
      <c r="I173" s="33"/>
      <c r="J173" s="34"/>
      <c r="L173" s="33"/>
      <c r="M173" s="33"/>
    </row>
    <row r="174" spans="3:13" ht="25.8">
      <c r="C174" s="33"/>
      <c r="D174" s="33" t="s">
        <v>18</v>
      </c>
      <c r="E174" s="33" t="s">
        <v>59</v>
      </c>
      <c r="F174" s="50"/>
      <c r="G174" s="33"/>
      <c r="H174" s="33"/>
      <c r="I174" s="33"/>
      <c r="J174" s="34"/>
      <c r="L174" s="33"/>
      <c r="M174" s="33"/>
    </row>
    <row r="175" spans="3:13" ht="25.8">
      <c r="C175" s="33"/>
      <c r="D175" s="33" t="s">
        <v>18</v>
      </c>
      <c r="E175" s="33" t="s">
        <v>59</v>
      </c>
      <c r="F175" s="50"/>
      <c r="G175" s="33"/>
      <c r="H175" s="33"/>
      <c r="I175" s="33"/>
      <c r="J175" s="34"/>
      <c r="L175" s="33"/>
      <c r="M175" s="33"/>
    </row>
    <row r="176" spans="3:13" ht="25.8">
      <c r="C176" s="33"/>
      <c r="D176" s="33" t="s">
        <v>18</v>
      </c>
      <c r="E176" s="33" t="s">
        <v>59</v>
      </c>
      <c r="F176" s="50"/>
      <c r="G176" s="33"/>
      <c r="H176" s="33"/>
      <c r="I176" s="33"/>
      <c r="J176" s="34"/>
      <c r="L176" s="33"/>
      <c r="M176" s="33"/>
    </row>
    <row r="177" spans="3:13" ht="25.8">
      <c r="C177" s="33"/>
      <c r="D177" s="33" t="s">
        <v>18</v>
      </c>
      <c r="E177" s="33" t="s">
        <v>59</v>
      </c>
      <c r="F177" s="50"/>
      <c r="G177" s="33"/>
      <c r="H177" s="33"/>
      <c r="I177" s="33"/>
      <c r="J177" s="34"/>
      <c r="L177" s="33"/>
      <c r="M177" s="33"/>
    </row>
    <row r="178" spans="3:13" ht="25.8">
      <c r="C178" s="33"/>
      <c r="D178" s="33" t="s">
        <v>18</v>
      </c>
      <c r="E178" s="33" t="s">
        <v>59</v>
      </c>
      <c r="F178" s="50"/>
      <c r="G178" s="33"/>
      <c r="H178" s="33"/>
      <c r="I178" s="33"/>
      <c r="J178" s="34"/>
      <c r="L178" s="33"/>
      <c r="M178" s="33"/>
    </row>
    <row r="179" spans="3:13" ht="25.8">
      <c r="C179" s="33"/>
      <c r="D179" s="33" t="s">
        <v>18</v>
      </c>
      <c r="E179" s="33" t="s">
        <v>59</v>
      </c>
      <c r="F179" s="50"/>
      <c r="G179" s="33"/>
      <c r="H179" s="33"/>
      <c r="I179" s="33"/>
      <c r="J179" s="34"/>
      <c r="L179" s="33"/>
      <c r="M179" s="33"/>
    </row>
    <row r="180" spans="3:13" ht="25.8">
      <c r="C180" s="33"/>
      <c r="D180" s="33" t="s">
        <v>18</v>
      </c>
      <c r="E180" s="33" t="s">
        <v>59</v>
      </c>
      <c r="F180" s="50"/>
      <c r="G180" s="33"/>
      <c r="H180" s="33"/>
      <c r="I180" s="33"/>
      <c r="J180" s="34"/>
      <c r="L180" s="33"/>
      <c r="M180" s="33"/>
    </row>
    <row r="181" spans="3:13" ht="25.8">
      <c r="C181" s="33"/>
      <c r="D181" s="33" t="s">
        <v>18</v>
      </c>
      <c r="E181" s="33" t="s">
        <v>59</v>
      </c>
      <c r="F181" s="50"/>
      <c r="G181" s="33"/>
      <c r="H181" s="33"/>
      <c r="I181" s="33"/>
      <c r="J181" s="34"/>
      <c r="L181" s="33"/>
      <c r="M181" s="33"/>
    </row>
    <row r="182" spans="3:13" ht="25.8">
      <c r="C182" s="33"/>
      <c r="D182" s="33" t="s">
        <v>18</v>
      </c>
      <c r="E182" s="33" t="s">
        <v>59</v>
      </c>
      <c r="F182" s="50"/>
      <c r="G182" s="33"/>
      <c r="H182" s="33"/>
      <c r="I182" s="33"/>
      <c r="J182" s="34"/>
      <c r="L182" s="33"/>
      <c r="M182" s="33"/>
    </row>
    <row r="183" spans="3:13" ht="25.8">
      <c r="C183" s="33"/>
      <c r="D183" s="33" t="s">
        <v>18</v>
      </c>
      <c r="E183" s="33" t="s">
        <v>59</v>
      </c>
      <c r="F183" s="50"/>
      <c r="G183" s="33"/>
      <c r="H183" s="33"/>
      <c r="I183" s="33"/>
      <c r="J183" s="34"/>
      <c r="L183" s="33"/>
      <c r="M183" s="33"/>
    </row>
    <row r="184" spans="3:13" ht="25.8">
      <c r="C184" s="33"/>
      <c r="D184" s="33" t="s">
        <v>18</v>
      </c>
      <c r="E184" s="33" t="s">
        <v>59</v>
      </c>
      <c r="F184" s="50"/>
      <c r="G184" s="33"/>
      <c r="H184" s="33"/>
      <c r="I184" s="33"/>
      <c r="J184" s="34"/>
      <c r="L184" s="33"/>
      <c r="M184" s="33"/>
    </row>
    <row r="185" spans="3:13" ht="25.8">
      <c r="C185" s="33"/>
      <c r="D185" s="33" t="s">
        <v>18</v>
      </c>
      <c r="E185" s="33" t="s">
        <v>59</v>
      </c>
      <c r="F185" s="50"/>
      <c r="G185" s="33"/>
      <c r="H185" s="33"/>
      <c r="I185" s="33"/>
      <c r="J185" s="34"/>
      <c r="L185" s="33"/>
      <c r="M185" s="33"/>
    </row>
    <row r="186" spans="3:13" ht="25.8">
      <c r="C186" s="33"/>
      <c r="D186" s="33" t="s">
        <v>18</v>
      </c>
      <c r="E186" s="33" t="s">
        <v>59</v>
      </c>
      <c r="F186" s="50"/>
      <c r="G186" s="33"/>
      <c r="H186" s="33"/>
      <c r="I186" s="33"/>
      <c r="J186" s="34"/>
      <c r="L186" s="33"/>
      <c r="M186" s="33"/>
    </row>
    <row r="187" spans="3:13" ht="25.8">
      <c r="C187" s="33"/>
      <c r="D187" s="33" t="s">
        <v>18</v>
      </c>
      <c r="E187" s="33" t="s">
        <v>59</v>
      </c>
      <c r="F187" s="50"/>
      <c r="G187" s="33"/>
      <c r="H187" s="33"/>
      <c r="I187" s="33"/>
      <c r="J187" s="34"/>
      <c r="L187" s="33"/>
      <c r="M187" s="33"/>
    </row>
    <row r="188" spans="3:13" ht="25.8">
      <c r="C188" s="33"/>
      <c r="D188" s="33" t="s">
        <v>18</v>
      </c>
      <c r="E188" s="33" t="s">
        <v>59</v>
      </c>
      <c r="F188" s="50"/>
      <c r="G188" s="33"/>
      <c r="H188" s="33"/>
      <c r="I188" s="33"/>
      <c r="J188" s="34"/>
      <c r="L188" s="33"/>
      <c r="M188" s="33"/>
    </row>
    <row r="189" spans="3:13" ht="25.8">
      <c r="C189" s="33"/>
      <c r="D189" s="33" t="s">
        <v>18</v>
      </c>
      <c r="E189" s="33" t="s">
        <v>59</v>
      </c>
      <c r="F189" s="50"/>
      <c r="G189" s="33"/>
      <c r="H189" s="33"/>
      <c r="I189" s="33"/>
      <c r="J189" s="34"/>
      <c r="L189" s="33"/>
      <c r="M189" s="33"/>
    </row>
    <row r="190" spans="3:13" ht="25.8">
      <c r="C190" s="33"/>
      <c r="D190" s="33" t="s">
        <v>18</v>
      </c>
      <c r="E190" s="33" t="s">
        <v>59</v>
      </c>
      <c r="F190" s="50"/>
      <c r="G190" s="33"/>
      <c r="H190" s="33"/>
      <c r="I190" s="33"/>
      <c r="J190" s="34"/>
      <c r="L190" s="33"/>
      <c r="M190" s="33"/>
    </row>
    <row r="191" spans="3:13" ht="25.8">
      <c r="C191" s="33"/>
      <c r="D191" s="33" t="s">
        <v>18</v>
      </c>
      <c r="E191" s="33" t="s">
        <v>59</v>
      </c>
      <c r="F191" s="50"/>
      <c r="G191" s="33"/>
      <c r="H191" s="33"/>
      <c r="I191" s="33"/>
      <c r="J191" s="34"/>
      <c r="L191" s="33"/>
      <c r="M191" s="33"/>
    </row>
    <row r="192" spans="3:13" ht="25.8">
      <c r="C192" s="33"/>
      <c r="D192" s="33" t="s">
        <v>18</v>
      </c>
      <c r="E192" s="33" t="s">
        <v>59</v>
      </c>
      <c r="F192" s="50"/>
      <c r="G192" s="33"/>
      <c r="H192" s="33"/>
      <c r="I192" s="33"/>
      <c r="J192" s="34"/>
      <c r="L192" s="33"/>
      <c r="M192" s="33"/>
    </row>
    <row r="193" spans="3:13" ht="25.8">
      <c r="C193" s="33"/>
      <c r="D193" s="33" t="s">
        <v>18</v>
      </c>
      <c r="E193" s="33" t="s">
        <v>59</v>
      </c>
      <c r="F193" s="50"/>
      <c r="G193" s="33"/>
      <c r="H193" s="33"/>
      <c r="I193" s="33"/>
      <c r="J193" s="34"/>
      <c r="L193" s="33"/>
      <c r="M193" s="33"/>
    </row>
    <row r="194" spans="3:13" ht="25.8">
      <c r="C194" s="33"/>
      <c r="D194" s="33" t="s">
        <v>18</v>
      </c>
      <c r="E194" s="33" t="s">
        <v>59</v>
      </c>
      <c r="F194" s="50"/>
      <c r="G194" s="33"/>
      <c r="H194" s="33"/>
      <c r="I194" s="33"/>
      <c r="J194" s="34"/>
      <c r="L194" s="33"/>
      <c r="M194" s="33"/>
    </row>
    <row r="195" spans="3:13" ht="25.8">
      <c r="C195" s="33"/>
      <c r="D195" s="33" t="s">
        <v>18</v>
      </c>
      <c r="E195" s="33" t="s">
        <v>59</v>
      </c>
      <c r="F195" s="50"/>
      <c r="G195" s="33"/>
      <c r="H195" s="33"/>
      <c r="I195" s="33"/>
      <c r="J195" s="34"/>
      <c r="L195" s="33"/>
      <c r="M195" s="33"/>
    </row>
    <row r="196" spans="3:13" ht="25.8">
      <c r="C196" s="33"/>
      <c r="D196" s="33" t="s">
        <v>18</v>
      </c>
      <c r="E196" s="33" t="s">
        <v>59</v>
      </c>
      <c r="F196" s="50"/>
      <c r="G196" s="33"/>
      <c r="H196" s="33"/>
      <c r="I196" s="33"/>
      <c r="J196" s="34"/>
      <c r="L196" s="33"/>
      <c r="M196" s="33"/>
    </row>
    <row r="197" spans="3:13" ht="25.8">
      <c r="C197" s="33"/>
      <c r="D197" s="33" t="s">
        <v>18</v>
      </c>
      <c r="E197" s="33" t="s">
        <v>59</v>
      </c>
      <c r="F197" s="50"/>
      <c r="G197" s="33"/>
      <c r="H197" s="33"/>
      <c r="I197" s="33"/>
      <c r="J197" s="34"/>
      <c r="L197" s="33"/>
      <c r="M197" s="33"/>
    </row>
    <row r="198" spans="3:13" ht="25.8">
      <c r="C198" s="33"/>
      <c r="D198" s="33" t="s">
        <v>18</v>
      </c>
      <c r="E198" s="33" t="s">
        <v>59</v>
      </c>
      <c r="F198" s="50"/>
      <c r="G198" s="33"/>
      <c r="H198" s="33"/>
      <c r="I198" s="33"/>
      <c r="J198" s="34"/>
      <c r="L198" s="33"/>
      <c r="M198" s="33"/>
    </row>
    <row r="199" spans="3:13" ht="25.8">
      <c r="C199" s="33"/>
      <c r="D199" s="33" t="s">
        <v>18</v>
      </c>
      <c r="E199" s="33" t="s">
        <v>59</v>
      </c>
      <c r="F199" s="50"/>
      <c r="G199" s="33"/>
      <c r="H199" s="33"/>
      <c r="I199" s="33"/>
      <c r="J199" s="34"/>
      <c r="L199" s="33"/>
      <c r="M199" s="33"/>
    </row>
    <row r="200" spans="3:13" ht="25.8">
      <c r="C200" s="33"/>
      <c r="D200" s="33" t="s">
        <v>18</v>
      </c>
      <c r="E200" s="33" t="s">
        <v>59</v>
      </c>
      <c r="F200" s="50"/>
      <c r="G200" s="33"/>
      <c r="H200" s="33"/>
      <c r="I200" s="33"/>
      <c r="J200" s="34"/>
      <c r="L200" s="33"/>
      <c r="M200" s="33"/>
    </row>
    <row r="201" spans="3:13" ht="25.8">
      <c r="C201" s="33"/>
      <c r="D201" s="33" t="s">
        <v>18</v>
      </c>
      <c r="E201" s="33" t="s">
        <v>59</v>
      </c>
      <c r="F201" s="50"/>
      <c r="G201" s="33"/>
      <c r="H201" s="33"/>
      <c r="I201" s="33"/>
      <c r="J201" s="34"/>
      <c r="L201" s="33"/>
      <c r="M201" s="33"/>
    </row>
    <row r="202" spans="3:13" ht="25.8">
      <c r="C202" s="33"/>
      <c r="D202" s="33" t="s">
        <v>18</v>
      </c>
      <c r="E202" s="33" t="s">
        <v>59</v>
      </c>
      <c r="F202" s="50"/>
      <c r="G202" s="33"/>
      <c r="H202" s="33"/>
      <c r="I202" s="33"/>
      <c r="J202" s="34"/>
      <c r="L202" s="33"/>
      <c r="M202" s="33"/>
    </row>
    <row r="203" spans="3:13" ht="25.8">
      <c r="C203" s="33"/>
      <c r="D203" s="33" t="s">
        <v>18</v>
      </c>
      <c r="E203" s="33" t="s">
        <v>59</v>
      </c>
      <c r="F203" s="50"/>
      <c r="G203" s="33"/>
      <c r="H203" s="33"/>
      <c r="I203" s="33"/>
      <c r="J203" s="34"/>
      <c r="L203" s="33"/>
      <c r="M203" s="33"/>
    </row>
    <row r="204" spans="3:13" ht="25.8">
      <c r="C204" s="33"/>
      <c r="D204" s="33" t="s">
        <v>18</v>
      </c>
      <c r="E204" s="33" t="s">
        <v>59</v>
      </c>
      <c r="F204" s="50"/>
      <c r="G204" s="33"/>
      <c r="H204" s="33"/>
      <c r="I204" s="33"/>
      <c r="J204" s="34"/>
      <c r="L204" s="33"/>
      <c r="M204" s="33"/>
    </row>
    <row r="205" spans="3:13" ht="25.8">
      <c r="C205" s="33"/>
      <c r="D205" s="33" t="s">
        <v>18</v>
      </c>
      <c r="E205" s="33" t="s">
        <v>59</v>
      </c>
      <c r="F205" s="50"/>
      <c r="G205" s="33"/>
      <c r="H205" s="33"/>
      <c r="I205" s="33"/>
      <c r="J205" s="34"/>
      <c r="L205" s="33"/>
      <c r="M205" s="33"/>
    </row>
    <row r="206" spans="3:13" ht="25.8">
      <c r="C206" s="33"/>
      <c r="D206" s="33" t="s">
        <v>18</v>
      </c>
      <c r="E206" s="33" t="s">
        <v>59</v>
      </c>
      <c r="F206" s="50"/>
      <c r="G206" s="33"/>
      <c r="H206" s="33"/>
      <c r="I206" s="33"/>
      <c r="J206" s="34"/>
      <c r="L206" s="33"/>
      <c r="M206" s="33"/>
    </row>
    <row r="207" spans="3:13" ht="25.8">
      <c r="C207" s="33"/>
      <c r="D207" s="33" t="s">
        <v>18</v>
      </c>
      <c r="E207" s="33" t="s">
        <v>59</v>
      </c>
      <c r="F207" s="50"/>
      <c r="G207" s="33"/>
      <c r="H207" s="33"/>
      <c r="I207" s="33"/>
      <c r="J207" s="34"/>
      <c r="L207" s="33"/>
      <c r="M207" s="33"/>
    </row>
    <row r="208" spans="3:13" ht="25.8">
      <c r="C208" s="33"/>
      <c r="D208" s="33" t="s">
        <v>18</v>
      </c>
      <c r="E208" s="33" t="s">
        <v>59</v>
      </c>
      <c r="F208" s="50"/>
      <c r="G208" s="33"/>
      <c r="H208" s="33"/>
      <c r="I208" s="33"/>
      <c r="J208" s="34"/>
      <c r="L208" s="33"/>
      <c r="M208" s="33"/>
    </row>
    <row r="209" spans="3:13" ht="25.8">
      <c r="C209" s="33"/>
      <c r="D209" s="33" t="s">
        <v>18</v>
      </c>
      <c r="E209" s="33" t="s">
        <v>59</v>
      </c>
      <c r="F209" s="50"/>
      <c r="G209" s="33"/>
      <c r="H209" s="33"/>
      <c r="I209" s="33"/>
      <c r="J209" s="34"/>
      <c r="L209" s="33"/>
      <c r="M209" s="33"/>
    </row>
    <row r="210" spans="3:13" ht="25.8">
      <c r="C210" s="33"/>
      <c r="D210" s="33" t="s">
        <v>18</v>
      </c>
      <c r="E210" s="33" t="s">
        <v>59</v>
      </c>
      <c r="F210" s="50"/>
      <c r="G210" s="33"/>
      <c r="H210" s="33"/>
      <c r="I210" s="33"/>
      <c r="J210" s="34"/>
      <c r="L210" s="33"/>
      <c r="M210" s="33"/>
    </row>
    <row r="211" spans="3:13" ht="25.8">
      <c r="C211" s="33"/>
      <c r="D211" s="33" t="s">
        <v>18</v>
      </c>
      <c r="E211" s="33" t="s">
        <v>59</v>
      </c>
      <c r="F211" s="50"/>
      <c r="G211" s="33"/>
      <c r="H211" s="33"/>
      <c r="I211" s="33"/>
      <c r="J211" s="34"/>
      <c r="L211" s="33"/>
      <c r="M211" s="33"/>
    </row>
    <row r="212" spans="3:13" ht="25.8">
      <c r="C212" s="33"/>
      <c r="D212" s="33" t="s">
        <v>18</v>
      </c>
      <c r="E212" s="33" t="s">
        <v>59</v>
      </c>
      <c r="F212" s="50"/>
      <c r="G212" s="33"/>
      <c r="H212" s="33"/>
      <c r="I212" s="33"/>
      <c r="J212" s="34"/>
      <c r="L212" s="33"/>
      <c r="M212" s="33"/>
    </row>
    <row r="213" spans="3:13" ht="25.8">
      <c r="C213" s="33"/>
      <c r="D213" s="33" t="s">
        <v>18</v>
      </c>
      <c r="E213" s="33" t="s">
        <v>59</v>
      </c>
      <c r="F213" s="50"/>
      <c r="G213" s="33"/>
      <c r="H213" s="33"/>
      <c r="I213" s="33"/>
      <c r="J213" s="34"/>
      <c r="L213" s="33"/>
      <c r="M213" s="33"/>
    </row>
    <row r="214" spans="3:13" ht="25.8">
      <c r="C214" s="33"/>
      <c r="D214" s="33" t="s">
        <v>18</v>
      </c>
      <c r="E214" s="33" t="s">
        <v>59</v>
      </c>
      <c r="F214" s="50"/>
      <c r="G214" s="33"/>
      <c r="H214" s="33"/>
      <c r="I214" s="33"/>
      <c r="J214" s="34"/>
      <c r="L214" s="33"/>
      <c r="M214" s="33"/>
    </row>
    <row r="215" spans="3:13" ht="25.8">
      <c r="C215" s="33"/>
      <c r="D215" s="33" t="s">
        <v>18</v>
      </c>
      <c r="E215" s="33" t="s">
        <v>59</v>
      </c>
      <c r="F215" s="50"/>
      <c r="G215" s="33"/>
      <c r="H215" s="33"/>
      <c r="I215" s="33"/>
      <c r="J215" s="34"/>
      <c r="L215" s="33"/>
      <c r="M215" s="33"/>
    </row>
    <row r="216" spans="3:13" ht="25.8">
      <c r="C216" s="33"/>
      <c r="D216" s="33" t="s">
        <v>18</v>
      </c>
      <c r="E216" s="33" t="s">
        <v>59</v>
      </c>
      <c r="F216" s="50"/>
      <c r="G216" s="33"/>
      <c r="H216" s="33"/>
      <c r="I216" s="33"/>
      <c r="J216" s="34"/>
      <c r="L216" s="33"/>
      <c r="M216" s="33"/>
    </row>
    <row r="217" spans="3:13" ht="25.8">
      <c r="C217" s="33"/>
      <c r="D217" s="33" t="s">
        <v>18</v>
      </c>
      <c r="E217" s="33" t="s">
        <v>59</v>
      </c>
      <c r="F217" s="50"/>
      <c r="G217" s="33"/>
      <c r="H217" s="33"/>
      <c r="I217" s="33"/>
      <c r="J217" s="34"/>
      <c r="L217" s="33"/>
      <c r="M217" s="33"/>
    </row>
    <row r="218" spans="3:13" ht="25.8">
      <c r="C218" s="33"/>
      <c r="D218" s="33" t="s">
        <v>18</v>
      </c>
      <c r="E218" s="33" t="s">
        <v>59</v>
      </c>
      <c r="F218" s="50"/>
      <c r="G218" s="33"/>
      <c r="H218" s="33"/>
      <c r="I218" s="33"/>
      <c r="J218" s="34"/>
      <c r="L218" s="33"/>
      <c r="M218" s="33"/>
    </row>
    <row r="219" spans="3:13" ht="25.8">
      <c r="C219" s="33"/>
      <c r="D219" s="33" t="s">
        <v>18</v>
      </c>
      <c r="E219" s="33" t="s">
        <v>59</v>
      </c>
      <c r="F219" s="50"/>
      <c r="G219" s="33"/>
      <c r="H219" s="33"/>
      <c r="I219" s="33"/>
      <c r="J219" s="34"/>
      <c r="L219" s="33"/>
      <c r="M219" s="33"/>
    </row>
    <row r="220" spans="3:13" ht="25.8">
      <c r="C220" s="33"/>
      <c r="D220" s="33" t="s">
        <v>18</v>
      </c>
      <c r="E220" s="33" t="s">
        <v>59</v>
      </c>
      <c r="F220" s="50"/>
      <c r="G220" s="33"/>
      <c r="H220" s="33"/>
      <c r="I220" s="33"/>
      <c r="J220" s="34"/>
      <c r="L220" s="33"/>
      <c r="M220" s="33"/>
    </row>
    <row r="221" spans="3:13" ht="25.8">
      <c r="C221" s="33"/>
      <c r="D221" s="33" t="s">
        <v>18</v>
      </c>
      <c r="E221" s="33" t="s">
        <v>59</v>
      </c>
      <c r="F221" s="50"/>
      <c r="G221" s="33"/>
      <c r="H221" s="33"/>
      <c r="I221" s="33"/>
      <c r="J221" s="34"/>
      <c r="L221" s="33"/>
      <c r="M221" s="33"/>
    </row>
    <row r="222" spans="3:13" ht="25.8">
      <c r="C222" s="33"/>
      <c r="D222" s="33" t="s">
        <v>18</v>
      </c>
      <c r="E222" s="33" t="s">
        <v>59</v>
      </c>
      <c r="F222" s="50"/>
      <c r="G222" s="33"/>
      <c r="H222" s="33"/>
      <c r="I222" s="33"/>
      <c r="J222" s="34"/>
      <c r="L222" s="33"/>
      <c r="M222" s="33"/>
    </row>
    <row r="223" spans="3:13" ht="25.8">
      <c r="C223" s="33"/>
      <c r="D223" s="33" t="s">
        <v>18</v>
      </c>
      <c r="E223" s="33" t="s">
        <v>59</v>
      </c>
      <c r="F223" s="50"/>
      <c r="G223" s="33"/>
      <c r="H223" s="33"/>
      <c r="I223" s="33"/>
      <c r="J223" s="34"/>
      <c r="L223" s="33"/>
      <c r="M223" s="33"/>
    </row>
    <row r="224" spans="3:13" ht="25.8">
      <c r="C224" s="33"/>
      <c r="D224" s="33" t="s">
        <v>18</v>
      </c>
      <c r="E224" s="33" t="s">
        <v>59</v>
      </c>
      <c r="F224" s="50"/>
      <c r="G224" s="33"/>
      <c r="H224" s="33"/>
      <c r="I224" s="33"/>
      <c r="J224" s="34"/>
      <c r="L224" s="33"/>
      <c r="M224" s="33"/>
    </row>
    <row r="225" spans="3:13" ht="25.8">
      <c r="C225" s="33"/>
      <c r="D225" s="33" t="s">
        <v>18</v>
      </c>
      <c r="E225" s="33" t="s">
        <v>59</v>
      </c>
      <c r="F225" s="50"/>
      <c r="G225" s="33"/>
      <c r="H225" s="33"/>
      <c r="I225" s="33"/>
      <c r="J225" s="34"/>
      <c r="L225" s="33"/>
      <c r="M225" s="33"/>
    </row>
    <row r="226" spans="3:13" ht="25.8">
      <c r="C226" s="33"/>
      <c r="D226" s="33" t="s">
        <v>18</v>
      </c>
      <c r="E226" s="33" t="s">
        <v>59</v>
      </c>
      <c r="F226" s="50"/>
      <c r="G226" s="33"/>
      <c r="H226" s="33"/>
      <c r="I226" s="33"/>
      <c r="J226" s="34"/>
      <c r="L226" s="33"/>
      <c r="M226" s="33"/>
    </row>
    <row r="227" spans="3:13" ht="25.8">
      <c r="C227" s="33"/>
      <c r="D227" s="33" t="s">
        <v>18</v>
      </c>
      <c r="E227" s="33" t="s">
        <v>59</v>
      </c>
      <c r="F227" s="50"/>
      <c r="G227" s="33"/>
      <c r="H227" s="33"/>
      <c r="I227" s="33"/>
      <c r="J227" s="34"/>
      <c r="L227" s="33"/>
      <c r="M227" s="33"/>
    </row>
    <row r="228" spans="3:13" ht="25.8">
      <c r="C228" s="33"/>
      <c r="D228" s="33" t="s">
        <v>18</v>
      </c>
      <c r="E228" s="33" t="s">
        <v>59</v>
      </c>
      <c r="F228" s="50"/>
      <c r="G228" s="33"/>
      <c r="H228" s="33"/>
      <c r="I228" s="33"/>
      <c r="J228" s="34"/>
      <c r="L228" s="33"/>
      <c r="M228" s="33"/>
    </row>
    <row r="229" spans="3:13" ht="25.8">
      <c r="C229" s="33"/>
      <c r="D229" s="33" t="s">
        <v>18</v>
      </c>
      <c r="E229" s="33" t="s">
        <v>59</v>
      </c>
      <c r="F229" s="50"/>
      <c r="G229" s="33"/>
      <c r="H229" s="33"/>
      <c r="I229" s="33"/>
      <c r="J229" s="34"/>
      <c r="L229" s="33"/>
      <c r="M229" s="33"/>
    </row>
    <row r="230" spans="3:13" ht="25.8">
      <c r="C230" s="33"/>
      <c r="D230" s="33" t="s">
        <v>18</v>
      </c>
      <c r="E230" s="33" t="s">
        <v>59</v>
      </c>
      <c r="F230" s="50"/>
      <c r="G230" s="33"/>
      <c r="H230" s="33"/>
      <c r="I230" s="33"/>
      <c r="J230" s="34"/>
      <c r="L230" s="33"/>
      <c r="M230" s="33"/>
    </row>
    <row r="231" spans="3:13" ht="25.8">
      <c r="C231" s="33"/>
      <c r="D231" s="33" t="s">
        <v>18</v>
      </c>
      <c r="E231" s="33" t="s">
        <v>59</v>
      </c>
      <c r="F231" s="50"/>
      <c r="G231" s="33"/>
      <c r="H231" s="33"/>
      <c r="I231" s="33"/>
      <c r="J231" s="34"/>
      <c r="L231" s="33"/>
      <c r="M231" s="33"/>
    </row>
    <row r="232" spans="3:13" ht="25.8">
      <c r="C232" s="33"/>
      <c r="D232" s="33" t="s">
        <v>18</v>
      </c>
      <c r="E232" s="33" t="s">
        <v>59</v>
      </c>
      <c r="F232" s="50"/>
      <c r="G232" s="33"/>
      <c r="H232" s="33"/>
      <c r="I232" s="33"/>
      <c r="J232" s="34"/>
      <c r="L232" s="33"/>
      <c r="M232" s="33"/>
    </row>
    <row r="233" spans="3:13" ht="25.8">
      <c r="C233" s="33"/>
      <c r="D233" s="33" t="s">
        <v>18</v>
      </c>
      <c r="E233" s="33" t="s">
        <v>59</v>
      </c>
      <c r="F233" s="50"/>
      <c r="G233" s="33"/>
      <c r="H233" s="33"/>
      <c r="I233" s="33"/>
      <c r="J233" s="34"/>
      <c r="L233" s="33"/>
      <c r="M233" s="33"/>
    </row>
    <row r="234" spans="3:13" ht="25.8">
      <c r="C234" s="33"/>
      <c r="D234" s="33" t="s">
        <v>18</v>
      </c>
      <c r="E234" s="33" t="s">
        <v>59</v>
      </c>
      <c r="F234" s="50"/>
      <c r="G234" s="33"/>
      <c r="H234" s="33"/>
      <c r="I234" s="33"/>
      <c r="J234" s="34"/>
      <c r="L234" s="33"/>
      <c r="M234" s="33"/>
    </row>
    <row r="235" spans="3:13" ht="25.8">
      <c r="C235" s="33"/>
      <c r="D235" s="33" t="s">
        <v>18</v>
      </c>
      <c r="E235" s="33" t="s">
        <v>59</v>
      </c>
      <c r="F235" s="50"/>
      <c r="G235" s="33"/>
      <c r="H235" s="33"/>
      <c r="I235" s="33"/>
      <c r="J235" s="34"/>
      <c r="L235" s="33"/>
      <c r="M235" s="33"/>
    </row>
    <row r="236" spans="3:13" ht="25.8">
      <c r="C236" s="33"/>
      <c r="D236" s="33" t="s">
        <v>18</v>
      </c>
      <c r="E236" s="33" t="s">
        <v>59</v>
      </c>
      <c r="F236" s="50"/>
      <c r="G236" s="33"/>
      <c r="H236" s="33"/>
      <c r="I236" s="33"/>
      <c r="J236" s="34"/>
      <c r="L236" s="33"/>
      <c r="M236" s="33"/>
    </row>
    <row r="237" spans="3:13" ht="25.8">
      <c r="C237" s="33"/>
      <c r="D237" s="33" t="s">
        <v>18</v>
      </c>
      <c r="E237" s="33" t="s">
        <v>59</v>
      </c>
      <c r="F237" s="50"/>
      <c r="G237" s="33"/>
      <c r="H237" s="33"/>
      <c r="I237" s="33"/>
      <c r="J237" s="34"/>
      <c r="L237" s="33"/>
      <c r="M237" s="33"/>
    </row>
    <row r="238" spans="3:13" ht="25.8">
      <c r="C238" s="33"/>
      <c r="D238" s="33" t="s">
        <v>18</v>
      </c>
      <c r="E238" s="33" t="s">
        <v>59</v>
      </c>
      <c r="F238" s="50"/>
      <c r="G238" s="33"/>
      <c r="H238" s="33"/>
      <c r="I238" s="33"/>
      <c r="J238" s="34"/>
      <c r="L238" s="33"/>
      <c r="M238" s="33"/>
    </row>
    <row r="239" spans="3:13" ht="25.8">
      <c r="C239" s="33"/>
      <c r="D239" s="33" t="s">
        <v>18</v>
      </c>
      <c r="E239" s="33" t="s">
        <v>59</v>
      </c>
      <c r="F239" s="50"/>
      <c r="G239" s="33"/>
      <c r="H239" s="33"/>
      <c r="I239" s="33"/>
      <c r="J239" s="34"/>
      <c r="L239" s="33"/>
      <c r="M239" s="33"/>
    </row>
    <row r="240" spans="3:13" ht="25.8">
      <c r="C240" s="33"/>
      <c r="D240" s="33" t="s">
        <v>18</v>
      </c>
      <c r="E240" s="33" t="s">
        <v>59</v>
      </c>
      <c r="F240" s="50"/>
      <c r="G240" s="33"/>
      <c r="H240" s="33"/>
      <c r="I240" s="33"/>
      <c r="J240" s="34"/>
      <c r="L240" s="33"/>
      <c r="M240" s="33"/>
    </row>
    <row r="241" spans="3:13" ht="25.8">
      <c r="C241" s="33"/>
      <c r="D241" s="33" t="s">
        <v>18</v>
      </c>
      <c r="E241" s="33" t="s">
        <v>59</v>
      </c>
      <c r="F241" s="50"/>
      <c r="G241" s="33"/>
      <c r="H241" s="33"/>
      <c r="I241" s="33"/>
      <c r="J241" s="34"/>
      <c r="L241" s="33"/>
      <c r="M241" s="33"/>
    </row>
    <row r="242" spans="3:13" ht="25.8">
      <c r="C242" s="33"/>
      <c r="D242" s="33" t="s">
        <v>18</v>
      </c>
      <c r="E242" s="33" t="s">
        <v>59</v>
      </c>
      <c r="F242" s="50"/>
      <c r="G242" s="33"/>
      <c r="H242" s="33"/>
      <c r="I242" s="33"/>
      <c r="J242" s="34"/>
      <c r="L242" s="33"/>
      <c r="M242" s="33"/>
    </row>
    <row r="243" spans="3:13" ht="25.8">
      <c r="C243" s="33"/>
      <c r="D243" s="33" t="s">
        <v>18</v>
      </c>
      <c r="E243" s="33" t="s">
        <v>59</v>
      </c>
      <c r="F243" s="50"/>
      <c r="G243" s="33"/>
      <c r="H243" s="33"/>
      <c r="I243" s="33"/>
      <c r="J243" s="34"/>
      <c r="L243" s="33"/>
      <c r="M243" s="33"/>
    </row>
    <row r="244" spans="3:13" ht="25.8">
      <c r="C244" s="33"/>
      <c r="D244" s="33" t="s">
        <v>18</v>
      </c>
      <c r="E244" s="33" t="s">
        <v>59</v>
      </c>
      <c r="F244" s="50"/>
      <c r="G244" s="33"/>
      <c r="H244" s="33"/>
      <c r="I244" s="33"/>
      <c r="J244" s="34"/>
      <c r="L244" s="33"/>
      <c r="M244" s="33"/>
    </row>
    <row r="245" spans="3:13" ht="25.8">
      <c r="C245" s="33"/>
      <c r="D245" s="33" t="s">
        <v>18</v>
      </c>
      <c r="E245" s="33" t="s">
        <v>59</v>
      </c>
      <c r="F245" s="50"/>
      <c r="G245" s="33"/>
      <c r="H245" s="33"/>
      <c r="I245" s="33"/>
      <c r="J245" s="34"/>
      <c r="L245" s="33"/>
      <c r="M245" s="33"/>
    </row>
    <row r="246" spans="3:13" ht="25.8">
      <c r="C246" s="33"/>
      <c r="D246" s="33" t="s">
        <v>18</v>
      </c>
      <c r="E246" s="33" t="s">
        <v>59</v>
      </c>
      <c r="F246" s="50"/>
      <c r="G246" s="33"/>
      <c r="H246" s="33"/>
      <c r="I246" s="33"/>
      <c r="J246" s="34"/>
      <c r="L246" s="33"/>
      <c r="M246" s="33"/>
    </row>
    <row r="247" spans="3:13" ht="25.8">
      <c r="C247" s="33"/>
      <c r="D247" s="33" t="s">
        <v>18</v>
      </c>
      <c r="E247" s="33" t="s">
        <v>59</v>
      </c>
      <c r="F247" s="50"/>
      <c r="G247" s="33"/>
      <c r="H247" s="33"/>
      <c r="I247" s="33"/>
      <c r="J247" s="34"/>
      <c r="L247" s="33"/>
      <c r="M247" s="33"/>
    </row>
    <row r="248" spans="3:13" ht="25.8">
      <c r="C248" s="33"/>
      <c r="D248" s="33" t="s">
        <v>18</v>
      </c>
      <c r="E248" s="33" t="s">
        <v>59</v>
      </c>
      <c r="F248" s="50"/>
      <c r="G248" s="33"/>
      <c r="H248" s="33"/>
      <c r="I248" s="33"/>
      <c r="J248" s="34"/>
      <c r="L248" s="33"/>
      <c r="M248" s="33"/>
    </row>
    <row r="249" spans="3:13" ht="25.8">
      <c r="C249" s="33"/>
      <c r="D249" s="33" t="s">
        <v>18</v>
      </c>
      <c r="E249" s="33" t="s">
        <v>59</v>
      </c>
      <c r="F249" s="50"/>
      <c r="G249" s="33"/>
      <c r="H249" s="33"/>
      <c r="I249" s="33"/>
      <c r="J249" s="34"/>
      <c r="L249" s="33"/>
      <c r="M249" s="33"/>
    </row>
    <row r="250" spans="3:13" ht="25.8">
      <c r="C250" s="33"/>
      <c r="D250" s="33" t="s">
        <v>18</v>
      </c>
      <c r="E250" s="33" t="s">
        <v>59</v>
      </c>
      <c r="F250" s="50"/>
      <c r="G250" s="33"/>
      <c r="H250" s="33"/>
      <c r="I250" s="33"/>
      <c r="J250" s="34"/>
      <c r="L250" s="33"/>
      <c r="M250" s="33"/>
    </row>
    <row r="251" spans="3:13" ht="25.8">
      <c r="C251" s="33"/>
      <c r="D251" s="33" t="s">
        <v>18</v>
      </c>
      <c r="E251" s="33" t="s">
        <v>59</v>
      </c>
      <c r="F251" s="50"/>
      <c r="G251" s="33"/>
      <c r="H251" s="33"/>
      <c r="I251" s="33"/>
      <c r="J251" s="34"/>
      <c r="L251" s="33"/>
      <c r="M251" s="33"/>
    </row>
    <row r="252" spans="3:13" ht="25.8">
      <c r="C252" s="33"/>
      <c r="D252" s="33" t="s">
        <v>18</v>
      </c>
      <c r="E252" s="33" t="s">
        <v>59</v>
      </c>
      <c r="F252" s="50"/>
      <c r="G252" s="33"/>
      <c r="H252" s="33"/>
      <c r="I252" s="33"/>
      <c r="J252" s="34"/>
      <c r="L252" s="33"/>
      <c r="M252" s="33"/>
    </row>
    <row r="253" spans="3:13" ht="25.8">
      <c r="C253" s="33"/>
      <c r="D253" s="33" t="s">
        <v>18</v>
      </c>
      <c r="E253" s="33" t="s">
        <v>59</v>
      </c>
      <c r="F253" s="50"/>
      <c r="G253" s="33"/>
      <c r="H253" s="33"/>
      <c r="I253" s="33"/>
      <c r="J253" s="34"/>
      <c r="L253" s="33"/>
      <c r="M253" s="33"/>
    </row>
    <row r="254" spans="3:13" ht="25.8">
      <c r="C254" s="33"/>
      <c r="D254" s="33" t="s">
        <v>18</v>
      </c>
      <c r="E254" s="33" t="s">
        <v>59</v>
      </c>
      <c r="F254" s="50"/>
      <c r="G254" s="33"/>
      <c r="H254" s="33"/>
      <c r="I254" s="33"/>
      <c r="J254" s="34"/>
      <c r="L254" s="33"/>
      <c r="M254" s="33"/>
    </row>
    <row r="255" spans="3:13" ht="25.8">
      <c r="C255" s="33"/>
      <c r="D255" s="33" t="s">
        <v>18</v>
      </c>
      <c r="E255" s="33" t="s">
        <v>59</v>
      </c>
      <c r="F255" s="50"/>
      <c r="G255" s="33"/>
      <c r="H255" s="33"/>
      <c r="I255" s="33"/>
      <c r="J255" s="34"/>
      <c r="L255" s="33"/>
      <c r="M255" s="33"/>
    </row>
    <row r="256" spans="3:13" ht="25.8">
      <c r="C256" s="33"/>
      <c r="D256" s="33" t="s">
        <v>18</v>
      </c>
      <c r="E256" s="33" t="s">
        <v>59</v>
      </c>
      <c r="F256" s="50"/>
      <c r="G256" s="33"/>
      <c r="H256" s="33"/>
      <c r="I256" s="33"/>
      <c r="J256" s="34"/>
      <c r="L256" s="33"/>
      <c r="M256" s="33"/>
    </row>
    <row r="257" spans="3:13" ht="25.8">
      <c r="C257" s="33"/>
      <c r="D257" s="33" t="s">
        <v>18</v>
      </c>
      <c r="E257" s="33" t="s">
        <v>59</v>
      </c>
      <c r="F257" s="50"/>
      <c r="G257" s="33"/>
      <c r="H257" s="33"/>
      <c r="I257" s="33"/>
      <c r="J257" s="34"/>
      <c r="L257" s="33"/>
      <c r="M257" s="33"/>
    </row>
    <row r="258" spans="3:13" ht="25.8">
      <c r="C258" s="33"/>
      <c r="D258" s="33" t="s">
        <v>18</v>
      </c>
      <c r="E258" s="33" t="s">
        <v>59</v>
      </c>
      <c r="F258" s="50"/>
      <c r="G258" s="33"/>
      <c r="H258" s="33"/>
      <c r="I258" s="33"/>
      <c r="J258" s="34"/>
      <c r="L258" s="33"/>
      <c r="M258" s="33"/>
    </row>
    <row r="259" spans="3:13" ht="25.8">
      <c r="C259" s="33"/>
      <c r="D259" s="33" t="s">
        <v>18</v>
      </c>
      <c r="E259" s="33" t="s">
        <v>59</v>
      </c>
      <c r="F259" s="50"/>
      <c r="G259" s="33"/>
      <c r="H259" s="33"/>
      <c r="I259" s="33"/>
      <c r="J259" s="34"/>
      <c r="L259" s="33"/>
      <c r="M259" s="33"/>
    </row>
    <row r="260" spans="3:13" ht="25.8">
      <c r="C260" s="33"/>
      <c r="D260" s="33" t="s">
        <v>18</v>
      </c>
      <c r="E260" s="33" t="s">
        <v>59</v>
      </c>
      <c r="F260" s="50"/>
      <c r="G260" s="33"/>
      <c r="H260" s="33"/>
      <c r="I260" s="33"/>
      <c r="J260" s="34"/>
      <c r="L260" s="33"/>
      <c r="M260" s="33"/>
    </row>
    <row r="261" spans="3:13" ht="25.8">
      <c r="C261" s="33"/>
      <c r="D261" s="33" t="s">
        <v>18</v>
      </c>
      <c r="E261" s="33" t="s">
        <v>59</v>
      </c>
      <c r="F261" s="50"/>
      <c r="G261" s="33"/>
      <c r="H261" s="33"/>
      <c r="I261" s="33"/>
      <c r="J261" s="34"/>
      <c r="L261" s="33"/>
      <c r="M261" s="33"/>
    </row>
    <row r="262" spans="3:13" ht="25.8">
      <c r="C262" s="33"/>
      <c r="D262" s="33" t="s">
        <v>18</v>
      </c>
      <c r="E262" s="33" t="s">
        <v>59</v>
      </c>
      <c r="F262" s="50"/>
      <c r="G262" s="33"/>
      <c r="H262" s="33"/>
      <c r="I262" s="33"/>
      <c r="J262" s="34"/>
      <c r="L262" s="33"/>
      <c r="M262" s="33"/>
    </row>
    <row r="263" spans="3:13" ht="25.8">
      <c r="C263" s="33"/>
      <c r="D263" s="33" t="s">
        <v>18</v>
      </c>
      <c r="E263" s="33" t="s">
        <v>59</v>
      </c>
      <c r="F263" s="50"/>
      <c r="G263" s="33"/>
      <c r="H263" s="33"/>
      <c r="I263" s="33"/>
      <c r="J263" s="34"/>
      <c r="L263" s="33"/>
      <c r="M263" s="33"/>
    </row>
    <row r="264" spans="3:13" ht="25.8">
      <c r="C264" s="33"/>
      <c r="D264" s="33" t="s">
        <v>18</v>
      </c>
      <c r="E264" s="33" t="s">
        <v>59</v>
      </c>
      <c r="F264" s="50"/>
      <c r="G264" s="33"/>
      <c r="H264" s="33"/>
      <c r="I264" s="33"/>
      <c r="J264" s="34"/>
      <c r="L264" s="33"/>
      <c r="M264" s="33"/>
    </row>
    <row r="265" spans="3:13" ht="25.8">
      <c r="C265" s="33"/>
      <c r="D265" s="33" t="s">
        <v>18</v>
      </c>
      <c r="E265" s="33" t="s">
        <v>59</v>
      </c>
      <c r="F265" s="50"/>
      <c r="G265" s="33"/>
      <c r="H265" s="33"/>
      <c r="I265" s="33"/>
      <c r="J265" s="34"/>
      <c r="L265" s="33"/>
      <c r="M265" s="33"/>
    </row>
    <row r="266" spans="3:13" ht="25.8">
      <c r="C266" s="33"/>
      <c r="D266" s="33" t="s">
        <v>18</v>
      </c>
      <c r="E266" s="33" t="s">
        <v>59</v>
      </c>
      <c r="F266" s="50"/>
      <c r="G266" s="33"/>
      <c r="H266" s="33"/>
      <c r="I266" s="33"/>
      <c r="J266" s="34"/>
      <c r="L266" s="33"/>
      <c r="M266" s="33"/>
    </row>
    <row r="267" spans="3:13" ht="25.8">
      <c r="C267" s="33"/>
      <c r="D267" s="33" t="s">
        <v>18</v>
      </c>
      <c r="E267" s="33" t="s">
        <v>59</v>
      </c>
      <c r="F267" s="50"/>
      <c r="G267" s="33"/>
      <c r="H267" s="33"/>
      <c r="I267" s="33"/>
      <c r="J267" s="34"/>
      <c r="L267" s="33"/>
      <c r="M267" s="33"/>
    </row>
    <row r="268" spans="3:13" ht="25.8">
      <c r="C268" s="33"/>
      <c r="D268" s="33" t="s">
        <v>18</v>
      </c>
      <c r="E268" s="33" t="s">
        <v>59</v>
      </c>
      <c r="F268" s="50"/>
      <c r="G268" s="33"/>
      <c r="H268" s="33"/>
      <c r="I268" s="33"/>
      <c r="J268" s="34"/>
      <c r="L268" s="33"/>
      <c r="M268" s="33"/>
    </row>
    <row r="269" spans="3:13" ht="25.8">
      <c r="C269" s="33"/>
      <c r="D269" s="33" t="s">
        <v>18</v>
      </c>
      <c r="E269" s="33" t="s">
        <v>59</v>
      </c>
      <c r="F269" s="50"/>
      <c r="G269" s="33"/>
      <c r="H269" s="33"/>
      <c r="I269" s="33"/>
      <c r="J269" s="34"/>
      <c r="L269" s="33"/>
      <c r="M269" s="33"/>
    </row>
    <row r="270" spans="3:13" ht="25.8">
      <c r="C270" s="33"/>
      <c r="D270" s="33" t="s">
        <v>18</v>
      </c>
      <c r="E270" s="33" t="s">
        <v>59</v>
      </c>
      <c r="F270" s="50"/>
      <c r="G270" s="33"/>
      <c r="H270" s="33"/>
      <c r="I270" s="33"/>
      <c r="J270" s="34"/>
      <c r="L270" s="33"/>
      <c r="M270" s="33"/>
    </row>
    <row r="271" spans="3:13" ht="25.8">
      <c r="C271" s="33"/>
      <c r="D271" s="33" t="s">
        <v>18</v>
      </c>
      <c r="E271" s="33" t="s">
        <v>59</v>
      </c>
      <c r="F271" s="50"/>
      <c r="G271" s="33"/>
      <c r="H271" s="33"/>
      <c r="I271" s="33"/>
      <c r="J271" s="34"/>
      <c r="L271" s="33"/>
      <c r="M271" s="33"/>
    </row>
    <row r="272" spans="3:13" ht="25.8">
      <c r="C272" s="33"/>
      <c r="D272" s="33" t="s">
        <v>18</v>
      </c>
      <c r="E272" s="33" t="s">
        <v>59</v>
      </c>
      <c r="F272" s="50"/>
      <c r="G272" s="33"/>
      <c r="H272" s="33"/>
      <c r="I272" s="33"/>
      <c r="J272" s="34"/>
      <c r="L272" s="33"/>
      <c r="M272" s="33"/>
    </row>
    <row r="273" spans="3:13" ht="25.8">
      <c r="C273" s="33"/>
      <c r="D273" s="33" t="s">
        <v>18</v>
      </c>
      <c r="E273" s="33" t="s">
        <v>59</v>
      </c>
      <c r="F273" s="50"/>
      <c r="G273" s="33"/>
      <c r="H273" s="33"/>
      <c r="I273" s="33"/>
      <c r="J273" s="34"/>
      <c r="L273" s="33"/>
      <c r="M273" s="33"/>
    </row>
    <row r="274" spans="3:13" ht="25.8">
      <c r="C274" s="33"/>
      <c r="D274" s="33" t="s">
        <v>18</v>
      </c>
      <c r="E274" s="33" t="s">
        <v>59</v>
      </c>
      <c r="F274" s="50"/>
      <c r="G274" s="33"/>
      <c r="H274" s="33"/>
      <c r="I274" s="33"/>
      <c r="J274" s="34"/>
      <c r="L274" s="33"/>
      <c r="M274" s="33"/>
    </row>
    <row r="275" spans="3:13" ht="25.8">
      <c r="C275" s="33"/>
      <c r="D275" s="33" t="s">
        <v>18</v>
      </c>
      <c r="E275" s="33" t="s">
        <v>59</v>
      </c>
      <c r="F275" s="50"/>
      <c r="G275" s="33"/>
      <c r="H275" s="33"/>
      <c r="I275" s="33"/>
      <c r="J275" s="34"/>
      <c r="L275" s="33"/>
      <c r="M275" s="33"/>
    </row>
    <row r="276" spans="3:13" ht="25.8">
      <c r="C276" s="33"/>
      <c r="D276" s="33" t="s">
        <v>18</v>
      </c>
      <c r="E276" s="33" t="s">
        <v>59</v>
      </c>
      <c r="F276" s="50"/>
      <c r="G276" s="33"/>
      <c r="H276" s="33"/>
      <c r="I276" s="33"/>
      <c r="J276" s="34"/>
      <c r="L276" s="33"/>
      <c r="M276" s="33"/>
    </row>
    <row r="277" spans="3:13" ht="25.8">
      <c r="C277" s="33"/>
      <c r="D277" s="33" t="s">
        <v>18</v>
      </c>
      <c r="E277" s="33" t="s">
        <v>59</v>
      </c>
      <c r="F277" s="50"/>
      <c r="G277" s="33"/>
      <c r="H277" s="33"/>
      <c r="I277" s="33"/>
      <c r="J277" s="34"/>
      <c r="L277" s="33"/>
      <c r="M277" s="33"/>
    </row>
    <row r="278" spans="3:13" ht="25.8">
      <c r="C278" s="33"/>
      <c r="D278" s="33" t="s">
        <v>18</v>
      </c>
      <c r="E278" s="33" t="s">
        <v>59</v>
      </c>
      <c r="F278" s="50"/>
      <c r="G278" s="33"/>
      <c r="H278" s="33"/>
      <c r="I278" s="33"/>
      <c r="J278" s="34"/>
      <c r="L278" s="33"/>
      <c r="M278" s="33"/>
    </row>
    <row r="279" spans="3:13" ht="25.8">
      <c r="C279" s="33"/>
      <c r="D279" s="33" t="s">
        <v>18</v>
      </c>
      <c r="E279" s="33" t="s">
        <v>59</v>
      </c>
      <c r="F279" s="50"/>
      <c r="G279" s="33"/>
      <c r="H279" s="33"/>
      <c r="I279" s="33"/>
      <c r="J279" s="34"/>
      <c r="L279" s="33"/>
      <c r="M279" s="33"/>
    </row>
    <row r="280" spans="3:13" ht="25.8">
      <c r="C280" s="33"/>
      <c r="D280" s="33" t="s">
        <v>18</v>
      </c>
      <c r="E280" s="33" t="s">
        <v>59</v>
      </c>
      <c r="F280" s="50"/>
      <c r="G280" s="33"/>
      <c r="H280" s="33"/>
      <c r="I280" s="33"/>
      <c r="J280" s="34"/>
      <c r="L280" s="33"/>
      <c r="M280" s="33"/>
    </row>
    <row r="281" spans="3:13" ht="25.8">
      <c r="C281" s="33"/>
      <c r="D281" s="33" t="s">
        <v>18</v>
      </c>
      <c r="E281" s="33" t="s">
        <v>59</v>
      </c>
      <c r="F281" s="50"/>
      <c r="G281" s="33"/>
      <c r="H281" s="33"/>
      <c r="I281" s="33"/>
      <c r="J281" s="34"/>
      <c r="L281" s="33"/>
      <c r="M281" s="33"/>
    </row>
    <row r="282" spans="3:13" ht="25.8">
      <c r="C282" s="33"/>
      <c r="D282" s="33" t="s">
        <v>18</v>
      </c>
      <c r="E282" s="33" t="s">
        <v>59</v>
      </c>
      <c r="F282" s="50"/>
      <c r="G282" s="33"/>
      <c r="H282" s="33"/>
      <c r="I282" s="33"/>
      <c r="J282" s="34"/>
      <c r="L282" s="33"/>
      <c r="M282" s="33"/>
    </row>
    <row r="283" spans="3:13" ht="25.8">
      <c r="C283" s="33"/>
      <c r="D283" s="33" t="s">
        <v>18</v>
      </c>
      <c r="E283" s="33" t="s">
        <v>59</v>
      </c>
      <c r="F283" s="50"/>
      <c r="G283" s="33"/>
      <c r="H283" s="33"/>
      <c r="I283" s="33"/>
      <c r="J283" s="34"/>
      <c r="L283" s="33"/>
      <c r="M283" s="33"/>
    </row>
    <row r="284" spans="3:13" ht="25.8">
      <c r="C284" s="33"/>
      <c r="D284" s="33" t="s">
        <v>18</v>
      </c>
      <c r="E284" s="33" t="s">
        <v>59</v>
      </c>
      <c r="F284" s="50"/>
      <c r="G284" s="33"/>
      <c r="H284" s="33"/>
      <c r="I284" s="33"/>
      <c r="J284" s="34"/>
      <c r="L284" s="33"/>
      <c r="M284" s="33"/>
    </row>
    <row r="285" spans="3:13" ht="25.8">
      <c r="C285" s="33"/>
      <c r="D285" s="33" t="s">
        <v>18</v>
      </c>
      <c r="E285" s="33" t="s">
        <v>59</v>
      </c>
      <c r="F285" s="50"/>
      <c r="G285" s="33"/>
      <c r="H285" s="33"/>
      <c r="I285" s="33"/>
      <c r="J285" s="34"/>
      <c r="L285" s="33"/>
      <c r="M285" s="33"/>
    </row>
    <row r="286" spans="3:13" ht="25.8">
      <c r="C286" s="33"/>
      <c r="D286" s="33" t="s">
        <v>18</v>
      </c>
      <c r="E286" s="33" t="s">
        <v>59</v>
      </c>
      <c r="F286" s="50"/>
      <c r="G286" s="33"/>
      <c r="H286" s="33"/>
      <c r="I286" s="33"/>
      <c r="J286" s="34"/>
      <c r="L286" s="33"/>
      <c r="M286" s="33"/>
    </row>
    <row r="287" spans="3:13" ht="25.8">
      <c r="C287" s="33"/>
      <c r="D287" s="33" t="s">
        <v>18</v>
      </c>
      <c r="E287" s="33" t="s">
        <v>59</v>
      </c>
      <c r="F287" s="50"/>
      <c r="G287" s="33"/>
      <c r="H287" s="33"/>
      <c r="I287" s="33"/>
      <c r="J287" s="34"/>
      <c r="L287" s="33"/>
      <c r="M287" s="33"/>
    </row>
    <row r="288" spans="3:13" ht="25.8">
      <c r="C288" s="33"/>
      <c r="D288" s="33" t="s">
        <v>18</v>
      </c>
      <c r="E288" s="33" t="s">
        <v>59</v>
      </c>
      <c r="F288" s="50"/>
      <c r="G288" s="33"/>
      <c r="H288" s="33"/>
      <c r="I288" s="33"/>
      <c r="J288" s="34"/>
      <c r="L288" s="33"/>
      <c r="M288" s="33"/>
    </row>
    <row r="289" spans="3:13" ht="25.8">
      <c r="C289" s="33"/>
      <c r="D289" s="33" t="s">
        <v>18</v>
      </c>
      <c r="E289" s="33" t="s">
        <v>59</v>
      </c>
      <c r="F289" s="50"/>
      <c r="G289" s="33"/>
      <c r="H289" s="33"/>
      <c r="I289" s="33"/>
      <c r="J289" s="34"/>
      <c r="L289" s="33"/>
      <c r="M289" s="33"/>
    </row>
    <row r="290" spans="3:13" ht="25.8">
      <c r="C290" s="33"/>
      <c r="D290" s="33" t="s">
        <v>18</v>
      </c>
      <c r="E290" s="33" t="s">
        <v>59</v>
      </c>
      <c r="F290" s="50"/>
      <c r="G290" s="33"/>
      <c r="H290" s="33"/>
      <c r="I290" s="33"/>
      <c r="J290" s="34"/>
      <c r="L290" s="33"/>
      <c r="M290" s="33"/>
    </row>
    <row r="291" spans="3:13" ht="25.8">
      <c r="C291" s="33"/>
      <c r="D291" s="33" t="s">
        <v>18</v>
      </c>
      <c r="E291" s="33" t="s">
        <v>59</v>
      </c>
      <c r="F291" s="50"/>
      <c r="G291" s="33"/>
      <c r="H291" s="33"/>
      <c r="I291" s="33"/>
      <c r="J291" s="34"/>
      <c r="L291" s="33"/>
      <c r="M291" s="33"/>
    </row>
    <row r="292" spans="3:13" ht="25.8">
      <c r="C292" s="33"/>
      <c r="D292" s="33" t="s">
        <v>18</v>
      </c>
      <c r="E292" s="33" t="s">
        <v>59</v>
      </c>
      <c r="F292" s="50"/>
      <c r="G292" s="33"/>
      <c r="H292" s="33"/>
      <c r="I292" s="33"/>
      <c r="J292" s="34"/>
      <c r="L292" s="33"/>
      <c r="M292" s="33"/>
    </row>
    <row r="293" spans="3:13" ht="25.8">
      <c r="C293" s="33"/>
      <c r="D293" s="33" t="s">
        <v>18</v>
      </c>
      <c r="E293" s="33" t="s">
        <v>59</v>
      </c>
      <c r="F293" s="50"/>
      <c r="G293" s="33"/>
      <c r="H293" s="33"/>
      <c r="I293" s="33"/>
      <c r="J293" s="34"/>
      <c r="L293" s="33"/>
      <c r="M293" s="33"/>
    </row>
    <row r="294" spans="3:13" ht="25.8">
      <c r="C294" s="33"/>
      <c r="D294" s="33" t="s">
        <v>18</v>
      </c>
      <c r="E294" s="33" t="s">
        <v>59</v>
      </c>
      <c r="F294" s="50"/>
      <c r="G294" s="33"/>
      <c r="H294" s="33"/>
      <c r="I294" s="33"/>
      <c r="J294" s="34"/>
      <c r="L294" s="33"/>
      <c r="M294" s="33"/>
    </row>
    <row r="295" spans="3:13" ht="25.8">
      <c r="C295" s="33"/>
      <c r="D295" s="33" t="s">
        <v>18</v>
      </c>
      <c r="E295" s="33" t="s">
        <v>59</v>
      </c>
      <c r="F295" s="50"/>
      <c r="G295" s="33"/>
      <c r="H295" s="33"/>
      <c r="I295" s="33"/>
      <c r="J295" s="34"/>
      <c r="L295" s="33"/>
      <c r="M295" s="33"/>
    </row>
    <row r="296" spans="3:13" ht="25.8">
      <c r="C296" s="33"/>
      <c r="D296" s="33" t="s">
        <v>18</v>
      </c>
      <c r="E296" s="33" t="s">
        <v>59</v>
      </c>
      <c r="F296" s="50"/>
      <c r="G296" s="33"/>
      <c r="H296" s="33"/>
      <c r="I296" s="33"/>
      <c r="J296" s="34"/>
      <c r="L296" s="33"/>
      <c r="M296" s="33"/>
    </row>
    <row r="297" spans="3:13" ht="25.8">
      <c r="C297" s="33"/>
      <c r="D297" s="33" t="s">
        <v>18</v>
      </c>
      <c r="E297" s="33" t="s">
        <v>59</v>
      </c>
      <c r="F297" s="50"/>
      <c r="G297" s="33"/>
      <c r="H297" s="33"/>
      <c r="I297" s="33"/>
      <c r="J297" s="34"/>
      <c r="L297" s="33"/>
      <c r="M297" s="33"/>
    </row>
    <row r="298" spans="3:13" ht="25.8">
      <c r="C298" s="33"/>
      <c r="D298" s="33" t="s">
        <v>18</v>
      </c>
      <c r="E298" s="33" t="s">
        <v>59</v>
      </c>
      <c r="F298" s="50"/>
      <c r="G298" s="33"/>
      <c r="H298" s="33"/>
      <c r="I298" s="33"/>
      <c r="J298" s="34"/>
      <c r="L298" s="33"/>
      <c r="M298" s="33"/>
    </row>
    <row r="299" spans="3:13" ht="25.8">
      <c r="C299" s="33"/>
      <c r="D299" s="33" t="s">
        <v>18</v>
      </c>
      <c r="E299" s="33" t="s">
        <v>59</v>
      </c>
      <c r="F299" s="50"/>
      <c r="G299" s="33"/>
      <c r="H299" s="33"/>
      <c r="I299" s="33"/>
      <c r="J299" s="34"/>
      <c r="L299" s="33"/>
      <c r="M299" s="33"/>
    </row>
    <row r="300" spans="3:13" ht="25.8">
      <c r="C300" s="33"/>
      <c r="D300" s="33" t="s">
        <v>18</v>
      </c>
      <c r="E300" s="33" t="s">
        <v>59</v>
      </c>
      <c r="F300" s="50"/>
      <c r="G300" s="33"/>
      <c r="H300" s="33"/>
      <c r="I300" s="33"/>
      <c r="J300" s="34"/>
      <c r="L300" s="33"/>
      <c r="M300" s="33"/>
    </row>
  </sheetData>
  <mergeCells count="3">
    <mergeCell ref="C2:J4"/>
    <mergeCell ref="L3:M4"/>
    <mergeCell ref="C5:J5"/>
  </mergeCells>
  <conditionalFormatting sqref="F1:F1048576">
    <cfRule type="containsText" dxfId="67" priority="3" operator="containsText" text="Red KOP">
      <formula>NOT(ISERROR(SEARCH("Red KOP",F1)))</formula>
    </cfRule>
    <cfRule type="containsText" dxfId="66" priority="4" operator="containsText" text="Blue KOP">
      <formula>NOT(ISERROR(SEARCH("Blue KOP",F1)))</formula>
    </cfRule>
    <cfRule type="containsText" dxfId="65" priority="5" operator="containsText" text="Purple">
      <formula>NOT(ISERROR(SEARCH("Purple",F1)))</formula>
    </cfRule>
    <cfRule type="containsText" dxfId="64" priority="6" operator="containsText" text="Green">
      <formula>NOT(ISERROR(SEARCH("Green",F1)))</formula>
    </cfRule>
    <cfRule type="containsText" dxfId="63" priority="7" operator="containsText" text="Red">
      <formula>NOT(ISERROR(SEARCH("Red",F1)))</formula>
    </cfRule>
    <cfRule type="containsText" dxfId="62" priority="8" operator="containsText" text="White 50KG">
      <formula>NOT(ISERROR(SEARCH("White 50KG",F1)))</formula>
    </cfRule>
    <cfRule type="containsText" dxfId="61" priority="9" operator="containsText" text="White 25KG">
      <formula>NOT(ISERROR(SEARCH("White 25KG",F1)))</formula>
    </cfRule>
    <cfRule type="containsText" dxfId="60" priority="10" operator="containsText" text="Green Popp">
      <formula>NOT(ISERROR(SEARCH("Green Popp",F1)))</formula>
    </cfRule>
    <cfRule type="containsText" dxfId="59" priority="11" operator="containsText" text="Blue Popp">
      <formula>NOT(ISERROR(SEARCH("Blue Popp",F1)))</formula>
    </cfRule>
    <cfRule type="containsText" dxfId="58" priority="12" operator="containsText" text="Purple Popp">
      <formula>NOT(ISERROR(SEARCH("Purple Popp",F1)))</formula>
    </cfRule>
  </conditionalFormatting>
  <conditionalFormatting sqref="J1:J1048576">
    <cfRule type="beginsWith" dxfId="57" priority="2" operator="beginsWith" text="0">
      <formula>LEFT(J1,LEN("0"))="0"</formula>
    </cfRule>
  </conditionalFormatting>
  <conditionalFormatting sqref="I1:I1048576">
    <cfRule type="beginsWith" dxfId="56" priority="1" operator="beginsWith" text="0">
      <formula>LEFT(I1,LEN("0"))="0"</formula>
    </cfRule>
  </conditionalFormatting>
  <dataValidations count="5">
    <dataValidation type="list" allowBlank="1" showInputMessage="1" showErrorMessage="1" sqref="D7:D300" xr:uid="{00000000-0002-0000-0400-000000000000}">
      <formula1>"Sacks"</formula1>
    </dataValidation>
    <dataValidation type="list" allowBlank="1" showInputMessage="1" showErrorMessage="1" sqref="E7:E300" xr:uid="{00000000-0002-0000-0400-000001000000}">
      <formula1>"Plastic"</formula1>
    </dataValidation>
    <dataValidation type="list" allowBlank="1" showInputMessage="1" showErrorMessage="1" sqref="F2:F5 F301:F1048576" xr:uid="{00000000-0002-0000-0400-000003000000}">
      <formula1>"Purple Popp, Blue Popp, Green Popp,Red,Green,Purple,Blue KOP, Red KOP, White 25G,White 50G"</formula1>
    </dataValidation>
    <dataValidation type="list" allowBlank="1" showInputMessage="1" showErrorMessage="1" sqref="F7:F300" xr:uid="{D358A306-FDE8-458F-B79F-476F4E06A10A}">
      <formula1>"Purple Popp 25KG, Blue Popp 25KG, Green Popp 25KG,Red 50KG,Green 50KG,Purple 50KG,Blue KOP, Red KOP, White 25KG,White 50KG"</formula1>
    </dataValidation>
    <dataValidation type="list" allowBlank="1" showInputMessage="1" showErrorMessage="1" sqref="G7:G300" xr:uid="{98ABDCAB-F606-442D-9716-58CE666764E1}">
      <formula1>"(75*9),(75*13),(70*45),(65*100)"</formula1>
    </dataValidation>
  </dataValidations>
  <pageMargins left="0.75" right="0.75" top="1" bottom="1" header="0.5" footer="0.5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1"/>
  </sheetPr>
  <dimension ref="C2:M300"/>
  <sheetViews>
    <sheetView zoomScale="70" zoomScaleNormal="70" workbookViewId="0">
      <selection activeCell="J12" sqref="J12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40" t="s">
        <v>7</v>
      </c>
      <c r="D2" s="140"/>
      <c r="E2" s="140"/>
      <c r="F2" s="140"/>
      <c r="G2" s="140"/>
      <c r="H2" s="140"/>
      <c r="I2" s="140"/>
      <c r="J2" s="140"/>
      <c r="K2" s="1"/>
    </row>
    <row r="3" spans="3:13" ht="27.75" customHeight="1">
      <c r="C3" s="140"/>
      <c r="D3" s="140"/>
      <c r="E3" s="140"/>
      <c r="F3" s="140"/>
      <c r="G3" s="140"/>
      <c r="H3" s="140"/>
      <c r="I3" s="140"/>
      <c r="J3" s="140"/>
      <c r="K3" s="1"/>
      <c r="L3" s="134" t="s">
        <v>16</v>
      </c>
      <c r="M3" s="134"/>
    </row>
    <row r="4" spans="3:13" ht="27.75" customHeight="1">
      <c r="C4" s="140"/>
      <c r="D4" s="140"/>
      <c r="E4" s="140"/>
      <c r="F4" s="140"/>
      <c r="G4" s="140"/>
      <c r="H4" s="140"/>
      <c r="I4" s="140"/>
      <c r="J4" s="140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49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23</v>
      </c>
      <c r="E7" s="33" t="s">
        <v>4</v>
      </c>
      <c r="F7" s="50" t="s">
        <v>24</v>
      </c>
      <c r="G7" s="33" t="s">
        <v>25</v>
      </c>
      <c r="H7" s="33" t="s">
        <v>86</v>
      </c>
      <c r="I7" s="69">
        <v>101</v>
      </c>
      <c r="J7" s="69">
        <v>101</v>
      </c>
      <c r="K7" s="1"/>
      <c r="L7" s="33"/>
      <c r="M7" s="33"/>
    </row>
    <row r="8" spans="3:13" ht="25.8">
      <c r="C8" s="35">
        <v>46174</v>
      </c>
      <c r="D8" s="33" t="s">
        <v>23</v>
      </c>
      <c r="E8" s="33" t="s">
        <v>4</v>
      </c>
      <c r="F8" s="50" t="s">
        <v>37</v>
      </c>
      <c r="G8" s="33" t="s">
        <v>25</v>
      </c>
      <c r="H8" s="33" t="s">
        <v>86</v>
      </c>
      <c r="I8" s="69">
        <v>62</v>
      </c>
      <c r="J8" s="69">
        <v>62</v>
      </c>
      <c r="K8" s="1"/>
      <c r="L8" s="33"/>
      <c r="M8" s="33"/>
    </row>
    <row r="9" spans="3:13" ht="25.8">
      <c r="C9" s="35">
        <v>46174</v>
      </c>
      <c r="D9" s="33" t="s">
        <v>23</v>
      </c>
      <c r="E9" s="33" t="s">
        <v>4</v>
      </c>
      <c r="F9" s="50" t="s">
        <v>31</v>
      </c>
      <c r="G9" s="33" t="s">
        <v>25</v>
      </c>
      <c r="H9" s="33" t="s">
        <v>86</v>
      </c>
      <c r="I9" s="69">
        <v>0</v>
      </c>
      <c r="J9" s="69">
        <v>0</v>
      </c>
      <c r="K9" s="1"/>
      <c r="L9" s="33"/>
      <c r="M9" s="33"/>
    </row>
    <row r="10" spans="3:13" ht="25.8">
      <c r="C10" s="35">
        <v>46174</v>
      </c>
      <c r="D10" s="33" t="s">
        <v>23</v>
      </c>
      <c r="E10" s="33" t="s">
        <v>4</v>
      </c>
      <c r="F10" s="50" t="s">
        <v>40</v>
      </c>
      <c r="G10" s="33" t="s">
        <v>25</v>
      </c>
      <c r="H10" s="33" t="s">
        <v>86</v>
      </c>
      <c r="I10" s="69">
        <v>0</v>
      </c>
      <c r="J10" s="69">
        <v>0</v>
      </c>
      <c r="K10" s="1"/>
      <c r="L10" s="33"/>
      <c r="M10" s="33"/>
    </row>
    <row r="11" spans="3:13" ht="25.8">
      <c r="C11" s="35">
        <v>46174</v>
      </c>
      <c r="D11" s="33" t="s">
        <v>23</v>
      </c>
      <c r="E11" s="33" t="s">
        <v>4</v>
      </c>
      <c r="F11" s="50" t="s">
        <v>67</v>
      </c>
      <c r="G11" s="33" t="s">
        <v>25</v>
      </c>
      <c r="H11" s="33" t="s">
        <v>86</v>
      </c>
      <c r="I11" s="69">
        <v>11</v>
      </c>
      <c r="J11" s="69">
        <v>11</v>
      </c>
      <c r="K11" s="1"/>
      <c r="L11" s="33"/>
      <c r="M11" s="33"/>
    </row>
    <row r="12" spans="3:13" ht="25.8">
      <c r="C12" s="35">
        <v>46174</v>
      </c>
      <c r="D12" s="33" t="s">
        <v>23</v>
      </c>
      <c r="E12" s="33" t="s">
        <v>4</v>
      </c>
      <c r="F12" s="50" t="s">
        <v>28</v>
      </c>
      <c r="G12" s="33" t="s">
        <v>25</v>
      </c>
      <c r="H12" s="33" t="s">
        <v>86</v>
      </c>
      <c r="I12" s="69">
        <v>3</v>
      </c>
      <c r="J12" s="69">
        <v>3</v>
      </c>
      <c r="K12" s="1"/>
      <c r="L12" s="33"/>
      <c r="M12" s="33"/>
    </row>
    <row r="13" spans="3:13" ht="25.8">
      <c r="C13" s="35">
        <v>46174</v>
      </c>
      <c r="D13" s="33" t="s">
        <v>23</v>
      </c>
      <c r="E13" s="33" t="s">
        <v>4</v>
      </c>
      <c r="F13" s="50" t="s">
        <v>36</v>
      </c>
      <c r="G13" s="33" t="s">
        <v>25</v>
      </c>
      <c r="H13" s="33" t="s">
        <v>86</v>
      </c>
      <c r="I13" s="69">
        <v>2</v>
      </c>
      <c r="J13" s="69">
        <v>2</v>
      </c>
      <c r="K13" s="1"/>
      <c r="L13" s="33"/>
      <c r="M13" s="33"/>
    </row>
    <row r="14" spans="3:13" ht="25.8">
      <c r="C14" s="35">
        <v>46174</v>
      </c>
      <c r="D14" s="33" t="s">
        <v>23</v>
      </c>
      <c r="E14" s="33" t="s">
        <v>4</v>
      </c>
      <c r="F14" s="50" t="s">
        <v>68</v>
      </c>
      <c r="G14" s="33" t="s">
        <v>25</v>
      </c>
      <c r="H14" s="33" t="s">
        <v>86</v>
      </c>
      <c r="I14" s="69">
        <v>35</v>
      </c>
      <c r="J14" s="69">
        <v>35</v>
      </c>
      <c r="K14" s="1"/>
      <c r="L14" s="33"/>
      <c r="M14" s="33"/>
    </row>
    <row r="15" spans="3:13" ht="25.8">
      <c r="C15" s="35"/>
      <c r="D15" s="33" t="s">
        <v>23</v>
      </c>
      <c r="E15" s="33" t="s">
        <v>4</v>
      </c>
      <c r="F15" s="50"/>
      <c r="G15" s="33"/>
      <c r="H15" s="33"/>
      <c r="I15" s="69"/>
      <c r="J15" s="69"/>
      <c r="K15" s="1"/>
      <c r="L15" s="33"/>
      <c r="M15" s="33"/>
    </row>
    <row r="16" spans="3:13" ht="25.8">
      <c r="C16" s="35"/>
      <c r="D16" s="33" t="s">
        <v>23</v>
      </c>
      <c r="E16" s="33" t="s">
        <v>4</v>
      </c>
      <c r="F16" s="50"/>
      <c r="G16" s="33"/>
      <c r="H16" s="33"/>
      <c r="I16" s="69"/>
      <c r="J16" s="69"/>
      <c r="K16" s="1"/>
      <c r="L16" s="33"/>
      <c r="M16" s="33"/>
    </row>
    <row r="17" spans="3:13" ht="25.8">
      <c r="C17" s="35"/>
      <c r="D17" s="33" t="s">
        <v>23</v>
      </c>
      <c r="E17" s="33" t="s">
        <v>4</v>
      </c>
      <c r="F17" s="50"/>
      <c r="G17" s="33"/>
      <c r="H17" s="33"/>
      <c r="I17" s="69"/>
      <c r="J17" s="69"/>
      <c r="K17" s="1"/>
      <c r="L17" s="33"/>
      <c r="M17" s="33"/>
    </row>
    <row r="18" spans="3:13" ht="25.8">
      <c r="C18" s="57"/>
      <c r="D18" s="33" t="s">
        <v>23</v>
      </c>
      <c r="E18" s="33" t="s">
        <v>4</v>
      </c>
      <c r="F18" s="50"/>
      <c r="G18" s="33"/>
      <c r="H18" s="33"/>
      <c r="I18" s="69"/>
      <c r="J18" s="69"/>
      <c r="K18" s="1"/>
      <c r="L18" s="33"/>
      <c r="M18" s="33"/>
    </row>
    <row r="19" spans="3:13" ht="25.8">
      <c r="C19" s="35"/>
      <c r="D19" s="33" t="s">
        <v>23</v>
      </c>
      <c r="E19" s="33" t="s">
        <v>4</v>
      </c>
      <c r="F19" s="50"/>
      <c r="G19" s="33"/>
      <c r="H19" s="33"/>
      <c r="I19" s="69"/>
      <c r="J19" s="69"/>
      <c r="K19" s="1"/>
      <c r="L19" s="33"/>
      <c r="M19" s="33"/>
    </row>
    <row r="20" spans="3:13" ht="25.8">
      <c r="C20" s="57"/>
      <c r="D20" s="33" t="s">
        <v>23</v>
      </c>
      <c r="E20" s="33" t="s">
        <v>4</v>
      </c>
      <c r="F20" s="50"/>
      <c r="G20" s="33"/>
      <c r="H20" s="33"/>
      <c r="I20" s="69"/>
      <c r="J20" s="69"/>
      <c r="K20" s="1"/>
      <c r="L20" s="33"/>
      <c r="M20" s="33"/>
    </row>
    <row r="21" spans="3:13" ht="26.25" customHeight="1">
      <c r="C21" s="57"/>
      <c r="D21" s="33" t="s">
        <v>23</v>
      </c>
      <c r="E21" s="33" t="s">
        <v>4</v>
      </c>
      <c r="F21" s="50"/>
      <c r="G21" s="33"/>
      <c r="H21" s="33"/>
      <c r="I21" s="69"/>
      <c r="J21" s="69"/>
      <c r="K21" s="1"/>
      <c r="L21" s="33"/>
      <c r="M21" s="33"/>
    </row>
    <row r="22" spans="3:13" ht="26.25" customHeight="1">
      <c r="C22" s="57"/>
      <c r="D22" s="33" t="s">
        <v>23</v>
      </c>
      <c r="E22" s="33" t="s">
        <v>4</v>
      </c>
      <c r="F22" s="50"/>
      <c r="G22" s="33"/>
      <c r="H22" s="33"/>
      <c r="I22" s="69"/>
      <c r="J22" s="69"/>
      <c r="K22" s="1"/>
      <c r="L22" s="33"/>
      <c r="M22" s="33"/>
    </row>
    <row r="23" spans="3:13" ht="26.25" customHeight="1">
      <c r="C23" s="57"/>
      <c r="D23" s="33" t="s">
        <v>23</v>
      </c>
      <c r="E23" s="33" t="s">
        <v>4</v>
      </c>
      <c r="F23" s="50"/>
      <c r="G23" s="33"/>
      <c r="H23" s="33"/>
      <c r="I23" s="69"/>
      <c r="J23" s="69"/>
      <c r="K23" s="1"/>
      <c r="L23" s="33"/>
      <c r="M23" s="33"/>
    </row>
    <row r="24" spans="3:13" ht="26.25" customHeight="1">
      <c r="C24" s="57"/>
      <c r="D24" s="33" t="s">
        <v>23</v>
      </c>
      <c r="E24" s="33" t="s">
        <v>4</v>
      </c>
      <c r="F24" s="50"/>
      <c r="G24" s="33"/>
      <c r="H24" s="33"/>
      <c r="I24" s="69"/>
      <c r="J24" s="69"/>
      <c r="K24" s="1"/>
      <c r="L24" s="33"/>
      <c r="M24" s="33"/>
    </row>
    <row r="25" spans="3:13" ht="26.25" customHeight="1">
      <c r="C25" s="57"/>
      <c r="D25" s="33" t="s">
        <v>23</v>
      </c>
      <c r="E25" s="33" t="s">
        <v>4</v>
      </c>
      <c r="F25" s="50"/>
      <c r="G25" s="33"/>
      <c r="H25" s="33"/>
      <c r="I25" s="69"/>
      <c r="J25" s="69"/>
      <c r="K25" s="1"/>
      <c r="L25" s="33"/>
      <c r="M25" s="33"/>
    </row>
    <row r="26" spans="3:13" ht="26.25" customHeight="1">
      <c r="C26" s="57"/>
      <c r="D26" s="33" t="s">
        <v>23</v>
      </c>
      <c r="E26" s="33" t="s">
        <v>4</v>
      </c>
      <c r="F26" s="50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33" t="s">
        <v>23</v>
      </c>
      <c r="E27" s="33" t="s">
        <v>4</v>
      </c>
      <c r="F27" s="50"/>
      <c r="G27" s="33"/>
      <c r="H27" s="33"/>
      <c r="I27" s="69"/>
      <c r="J27" s="69"/>
      <c r="K27" s="1"/>
      <c r="L27" s="33"/>
      <c r="M27" s="33"/>
    </row>
    <row r="28" spans="3:13" ht="26.25" customHeight="1">
      <c r="C28" s="35"/>
      <c r="D28" s="33" t="s">
        <v>23</v>
      </c>
      <c r="E28" s="33" t="s">
        <v>4</v>
      </c>
      <c r="F28" s="50"/>
      <c r="G28" s="33"/>
      <c r="H28" s="33"/>
      <c r="I28" s="69"/>
      <c r="J28" s="69"/>
      <c r="K28" s="1"/>
      <c r="L28" s="33"/>
      <c r="M28" s="33"/>
    </row>
    <row r="29" spans="3:13" ht="26.25" customHeight="1">
      <c r="C29" s="35"/>
      <c r="D29" s="33" t="s">
        <v>23</v>
      </c>
      <c r="E29" s="33" t="s">
        <v>4</v>
      </c>
      <c r="F29" s="50"/>
      <c r="G29" s="33"/>
      <c r="H29" s="33"/>
      <c r="I29" s="69"/>
      <c r="J29" s="69"/>
      <c r="K29" s="1"/>
      <c r="L29" s="33"/>
      <c r="M29" s="33"/>
    </row>
    <row r="30" spans="3:13" ht="26.25" customHeight="1">
      <c r="C30" s="35"/>
      <c r="D30" s="33" t="s">
        <v>23</v>
      </c>
      <c r="E30" s="33" t="s">
        <v>4</v>
      </c>
      <c r="F30" s="50"/>
      <c r="G30" s="33"/>
      <c r="H30" s="33"/>
      <c r="I30" s="69"/>
      <c r="J30" s="69"/>
      <c r="K30" s="1"/>
      <c r="L30" s="33"/>
      <c r="M30" s="33"/>
    </row>
    <row r="31" spans="3:13" ht="26.25" customHeight="1">
      <c r="C31" s="35"/>
      <c r="D31" s="33" t="s">
        <v>23</v>
      </c>
      <c r="E31" s="33" t="s">
        <v>4</v>
      </c>
      <c r="F31" s="50"/>
      <c r="G31" s="33"/>
      <c r="H31" s="33"/>
      <c r="I31" s="69"/>
      <c r="J31" s="69"/>
      <c r="K31" s="1"/>
      <c r="L31" s="33"/>
      <c r="M31" s="33"/>
    </row>
    <row r="32" spans="3:13" ht="26.25" customHeight="1">
      <c r="C32" s="35"/>
      <c r="D32" s="33" t="s">
        <v>23</v>
      </c>
      <c r="E32" s="33" t="s">
        <v>4</v>
      </c>
      <c r="F32" s="50"/>
      <c r="G32" s="33"/>
      <c r="H32" s="33"/>
      <c r="I32" s="69"/>
      <c r="J32" s="69"/>
      <c r="K32" s="1"/>
      <c r="L32" s="33"/>
      <c r="M32" s="33"/>
    </row>
    <row r="33" spans="3:13" ht="26.25" customHeight="1">
      <c r="C33" s="35"/>
      <c r="D33" s="33" t="s">
        <v>23</v>
      </c>
      <c r="E33" s="33" t="s">
        <v>4</v>
      </c>
      <c r="F33" s="50"/>
      <c r="G33" s="33"/>
      <c r="H33" s="33"/>
      <c r="I33" s="69"/>
      <c r="J33" s="69"/>
      <c r="K33" s="1"/>
      <c r="L33" s="33"/>
      <c r="M33" s="33"/>
    </row>
    <row r="34" spans="3:13" ht="26.25" customHeight="1">
      <c r="C34" s="35"/>
      <c r="D34" s="33" t="s">
        <v>23</v>
      </c>
      <c r="E34" s="33" t="s">
        <v>4</v>
      </c>
      <c r="F34" s="50"/>
      <c r="G34" s="33"/>
      <c r="H34" s="33"/>
      <c r="I34" s="69"/>
      <c r="J34" s="69"/>
      <c r="K34" s="1"/>
      <c r="L34" s="33"/>
      <c r="M34" s="33"/>
    </row>
    <row r="35" spans="3:13" ht="26.25" customHeight="1">
      <c r="C35" s="35"/>
      <c r="D35" s="33" t="s">
        <v>23</v>
      </c>
      <c r="E35" s="33" t="s">
        <v>4</v>
      </c>
      <c r="F35" s="50"/>
      <c r="G35" s="33"/>
      <c r="H35" s="33"/>
      <c r="I35" s="69"/>
      <c r="J35" s="69"/>
      <c r="K35" s="1"/>
      <c r="L35" s="33"/>
      <c r="M35" s="33"/>
    </row>
    <row r="36" spans="3:13" ht="26.25" customHeight="1">
      <c r="C36" s="35"/>
      <c r="D36" s="33" t="s">
        <v>23</v>
      </c>
      <c r="E36" s="33" t="s">
        <v>4</v>
      </c>
      <c r="F36" s="50"/>
      <c r="G36" s="33"/>
      <c r="H36" s="33"/>
      <c r="I36" s="69"/>
      <c r="J36" s="69"/>
      <c r="K36" s="1"/>
      <c r="L36" s="33"/>
      <c r="M36" s="33"/>
    </row>
    <row r="37" spans="3:13" ht="26.25" customHeight="1">
      <c r="C37" s="35"/>
      <c r="D37" s="33" t="s">
        <v>23</v>
      </c>
      <c r="E37" s="33" t="s">
        <v>4</v>
      </c>
      <c r="F37" s="50"/>
      <c r="G37" s="33"/>
      <c r="H37" s="33"/>
      <c r="I37" s="69"/>
      <c r="J37" s="69"/>
      <c r="K37" s="1"/>
      <c r="L37" s="33"/>
      <c r="M37" s="33"/>
    </row>
    <row r="38" spans="3:13" ht="25.8">
      <c r="C38" s="33"/>
      <c r="D38" s="33" t="s">
        <v>23</v>
      </c>
      <c r="E38" s="33" t="s">
        <v>4</v>
      </c>
      <c r="F38" s="50"/>
      <c r="G38" s="33"/>
      <c r="H38" s="33"/>
      <c r="I38" s="34"/>
      <c r="J38" s="34"/>
      <c r="L38" s="33"/>
      <c r="M38" s="33"/>
    </row>
    <row r="39" spans="3:13" ht="25.8">
      <c r="C39" s="33"/>
      <c r="D39" s="33" t="s">
        <v>23</v>
      </c>
      <c r="E39" s="33" t="s">
        <v>4</v>
      </c>
      <c r="F39" s="50"/>
      <c r="G39" s="33"/>
      <c r="H39" s="33"/>
      <c r="I39" s="34"/>
      <c r="J39" s="34"/>
      <c r="L39" s="33"/>
      <c r="M39" s="33"/>
    </row>
    <row r="40" spans="3:13" ht="25.8">
      <c r="C40" s="33"/>
      <c r="D40" s="33" t="s">
        <v>23</v>
      </c>
      <c r="E40" s="33" t="s">
        <v>4</v>
      </c>
      <c r="F40" s="50"/>
      <c r="G40" s="33"/>
      <c r="H40" s="33"/>
      <c r="I40" s="34"/>
      <c r="J40" s="34"/>
      <c r="L40" s="33"/>
      <c r="M40" s="33"/>
    </row>
    <row r="41" spans="3:13" ht="25.8">
      <c r="C41" s="33"/>
      <c r="D41" s="33" t="s">
        <v>23</v>
      </c>
      <c r="E41" s="33" t="s">
        <v>4</v>
      </c>
      <c r="F41" s="50"/>
      <c r="G41" s="33"/>
      <c r="H41" s="33"/>
      <c r="I41" s="34"/>
      <c r="J41" s="34"/>
      <c r="L41" s="33"/>
      <c r="M41" s="33"/>
    </row>
    <row r="42" spans="3:13" ht="25.8">
      <c r="C42" s="33"/>
      <c r="D42" s="33" t="s">
        <v>23</v>
      </c>
      <c r="E42" s="33" t="s">
        <v>4</v>
      </c>
      <c r="F42" s="50"/>
      <c r="G42" s="33"/>
      <c r="H42" s="33"/>
      <c r="I42" s="34"/>
      <c r="J42" s="34"/>
      <c r="L42" s="33"/>
      <c r="M42" s="33"/>
    </row>
    <row r="43" spans="3:13" ht="25.8">
      <c r="C43" s="33"/>
      <c r="D43" s="33" t="s">
        <v>23</v>
      </c>
      <c r="E43" s="33" t="s">
        <v>4</v>
      </c>
      <c r="F43" s="50"/>
      <c r="G43" s="33"/>
      <c r="H43" s="33"/>
      <c r="I43" s="34"/>
      <c r="J43" s="34"/>
      <c r="L43" s="33"/>
      <c r="M43" s="33"/>
    </row>
    <row r="44" spans="3:13" ht="25.8">
      <c r="C44" s="33"/>
      <c r="D44" s="33" t="s">
        <v>23</v>
      </c>
      <c r="E44" s="33" t="s">
        <v>4</v>
      </c>
      <c r="F44" s="50"/>
      <c r="G44" s="33"/>
      <c r="H44" s="33"/>
      <c r="I44" s="34"/>
      <c r="J44" s="34"/>
      <c r="L44" s="33"/>
      <c r="M44" s="33"/>
    </row>
    <row r="45" spans="3:13" ht="25.8">
      <c r="C45" s="33"/>
      <c r="D45" s="33" t="s">
        <v>23</v>
      </c>
      <c r="E45" s="33" t="s">
        <v>4</v>
      </c>
      <c r="F45" s="50"/>
      <c r="G45" s="33"/>
      <c r="H45" s="33"/>
      <c r="I45" s="34"/>
      <c r="J45" s="34"/>
      <c r="L45" s="33"/>
      <c r="M45" s="33"/>
    </row>
    <row r="46" spans="3:13" ht="25.8">
      <c r="C46" s="33"/>
      <c r="D46" s="33" t="s">
        <v>23</v>
      </c>
      <c r="E46" s="33" t="s">
        <v>4</v>
      </c>
      <c r="F46" s="50"/>
      <c r="G46" s="33"/>
      <c r="H46" s="33"/>
      <c r="I46" s="34"/>
      <c r="J46" s="34"/>
      <c r="L46" s="33"/>
      <c r="M46" s="33"/>
    </row>
    <row r="47" spans="3:13" ht="25.8">
      <c r="C47" s="33"/>
      <c r="D47" s="33" t="s">
        <v>23</v>
      </c>
      <c r="E47" s="33" t="s">
        <v>4</v>
      </c>
      <c r="F47" s="50"/>
      <c r="G47" s="33"/>
      <c r="H47" s="33"/>
      <c r="I47" s="34"/>
      <c r="J47" s="34"/>
      <c r="L47" s="33"/>
      <c r="M47" s="33"/>
    </row>
    <row r="48" spans="3:13" ht="25.8">
      <c r="C48" s="33"/>
      <c r="D48" s="33" t="s">
        <v>23</v>
      </c>
      <c r="E48" s="33" t="s">
        <v>4</v>
      </c>
      <c r="F48" s="50"/>
      <c r="G48" s="33"/>
      <c r="H48" s="33"/>
      <c r="I48" s="34"/>
      <c r="J48" s="34"/>
      <c r="L48" s="33"/>
      <c r="M48" s="33"/>
    </row>
    <row r="49" spans="3:13" ht="25.8">
      <c r="C49" s="33"/>
      <c r="D49" s="33" t="s">
        <v>23</v>
      </c>
      <c r="E49" s="33" t="s">
        <v>4</v>
      </c>
      <c r="F49" s="50"/>
      <c r="G49" s="33"/>
      <c r="H49" s="33"/>
      <c r="I49" s="34"/>
      <c r="J49" s="34"/>
      <c r="L49" s="33"/>
      <c r="M49" s="33"/>
    </row>
    <row r="50" spans="3:13" ht="25.8">
      <c r="C50" s="33"/>
      <c r="D50" s="33" t="s">
        <v>23</v>
      </c>
      <c r="E50" s="33" t="s">
        <v>4</v>
      </c>
      <c r="F50" s="50"/>
      <c r="G50" s="33"/>
      <c r="H50" s="33"/>
      <c r="I50" s="34"/>
      <c r="J50" s="34"/>
      <c r="L50" s="33"/>
      <c r="M50" s="33"/>
    </row>
    <row r="51" spans="3:13" ht="25.8">
      <c r="C51" s="33"/>
      <c r="D51" s="33" t="s">
        <v>23</v>
      </c>
      <c r="E51" s="33" t="s">
        <v>4</v>
      </c>
      <c r="F51" s="50"/>
      <c r="G51" s="33"/>
      <c r="H51" s="33"/>
      <c r="I51" s="34"/>
      <c r="J51" s="34"/>
      <c r="L51" s="33"/>
      <c r="M51" s="33"/>
    </row>
    <row r="52" spans="3:13" ht="25.8">
      <c r="C52" s="33"/>
      <c r="D52" s="33" t="s">
        <v>23</v>
      </c>
      <c r="E52" s="33" t="s">
        <v>4</v>
      </c>
      <c r="F52" s="50"/>
      <c r="G52" s="33"/>
      <c r="H52" s="33"/>
      <c r="I52" s="34"/>
      <c r="J52" s="34"/>
      <c r="L52" s="33"/>
      <c r="M52" s="33"/>
    </row>
    <row r="53" spans="3:13" ht="25.8">
      <c r="C53" s="33"/>
      <c r="D53" s="33" t="s">
        <v>23</v>
      </c>
      <c r="E53" s="33" t="s">
        <v>4</v>
      </c>
      <c r="F53" s="50"/>
      <c r="G53" s="33"/>
      <c r="H53" s="33"/>
      <c r="I53" s="34"/>
      <c r="J53" s="34"/>
      <c r="L53" s="33"/>
      <c r="M53" s="33"/>
    </row>
    <row r="54" spans="3:13" ht="25.8">
      <c r="C54" s="33"/>
      <c r="D54" s="33" t="s">
        <v>23</v>
      </c>
      <c r="E54" s="33" t="s">
        <v>4</v>
      </c>
      <c r="F54" s="50"/>
      <c r="G54" s="33"/>
      <c r="H54" s="33"/>
      <c r="I54" s="34"/>
      <c r="J54" s="34"/>
      <c r="L54" s="33"/>
      <c r="M54" s="33"/>
    </row>
    <row r="55" spans="3:13" ht="25.8">
      <c r="C55" s="33"/>
      <c r="D55" s="33" t="s">
        <v>23</v>
      </c>
      <c r="E55" s="33" t="s">
        <v>4</v>
      </c>
      <c r="F55" s="50"/>
      <c r="G55" s="33"/>
      <c r="H55" s="33"/>
      <c r="I55" s="34"/>
      <c r="J55" s="34"/>
      <c r="L55" s="33"/>
      <c r="M55" s="33"/>
    </row>
    <row r="56" spans="3:13" ht="25.8">
      <c r="C56" s="33"/>
      <c r="D56" s="33" t="s">
        <v>23</v>
      </c>
      <c r="E56" s="33" t="s">
        <v>4</v>
      </c>
      <c r="F56" s="50"/>
      <c r="G56" s="33"/>
      <c r="H56" s="33"/>
      <c r="I56" s="34"/>
      <c r="J56" s="34"/>
      <c r="L56" s="33"/>
      <c r="M56" s="33"/>
    </row>
    <row r="57" spans="3:13" ht="25.8">
      <c r="C57" s="33"/>
      <c r="D57" s="33" t="s">
        <v>23</v>
      </c>
      <c r="E57" s="33" t="s">
        <v>4</v>
      </c>
      <c r="F57" s="50"/>
      <c r="G57" s="33"/>
      <c r="H57" s="33"/>
      <c r="I57" s="34"/>
      <c r="J57" s="34"/>
      <c r="L57" s="33"/>
      <c r="M57" s="33"/>
    </row>
    <row r="58" spans="3:13" ht="25.8">
      <c r="C58" s="33"/>
      <c r="D58" s="33" t="s">
        <v>23</v>
      </c>
      <c r="E58" s="33" t="s">
        <v>4</v>
      </c>
      <c r="F58" s="50"/>
      <c r="G58" s="33"/>
      <c r="H58" s="33"/>
      <c r="I58" s="34"/>
      <c r="J58" s="34"/>
      <c r="L58" s="33"/>
      <c r="M58" s="33"/>
    </row>
    <row r="59" spans="3:13" ht="25.8">
      <c r="C59" s="33"/>
      <c r="D59" s="33" t="s">
        <v>23</v>
      </c>
      <c r="E59" s="33" t="s">
        <v>4</v>
      </c>
      <c r="F59" s="50"/>
      <c r="G59" s="33"/>
      <c r="H59" s="33"/>
      <c r="I59" s="34"/>
      <c r="J59" s="34"/>
      <c r="L59" s="33"/>
      <c r="M59" s="33"/>
    </row>
    <row r="60" spans="3:13" ht="25.8">
      <c r="C60" s="33"/>
      <c r="D60" s="33" t="s">
        <v>23</v>
      </c>
      <c r="E60" s="33" t="s">
        <v>4</v>
      </c>
      <c r="F60" s="50"/>
      <c r="G60" s="33"/>
      <c r="H60" s="33"/>
      <c r="I60" s="34"/>
      <c r="J60" s="34"/>
      <c r="L60" s="33"/>
      <c r="M60" s="33"/>
    </row>
    <row r="61" spans="3:13" ht="25.8">
      <c r="C61" s="33"/>
      <c r="D61" s="33" t="s">
        <v>23</v>
      </c>
      <c r="E61" s="33" t="s">
        <v>4</v>
      </c>
      <c r="F61" s="50"/>
      <c r="G61" s="33"/>
      <c r="H61" s="33"/>
      <c r="I61" s="34"/>
      <c r="J61" s="34"/>
      <c r="L61" s="33"/>
      <c r="M61" s="33"/>
    </row>
    <row r="62" spans="3:13" ht="25.8">
      <c r="C62" s="33"/>
      <c r="D62" s="33" t="s">
        <v>23</v>
      </c>
      <c r="E62" s="33" t="s">
        <v>4</v>
      </c>
      <c r="F62" s="50"/>
      <c r="G62" s="33"/>
      <c r="H62" s="33"/>
      <c r="I62" s="34"/>
      <c r="J62" s="34"/>
      <c r="L62" s="33"/>
      <c r="M62" s="33"/>
    </row>
    <row r="63" spans="3:13" ht="25.8">
      <c r="C63" s="33"/>
      <c r="D63" s="33" t="s">
        <v>23</v>
      </c>
      <c r="E63" s="33" t="s">
        <v>4</v>
      </c>
      <c r="F63" s="50"/>
      <c r="G63" s="33"/>
      <c r="H63" s="33"/>
      <c r="I63" s="34"/>
      <c r="J63" s="34"/>
      <c r="L63" s="33"/>
      <c r="M63" s="33"/>
    </row>
    <row r="64" spans="3:13" ht="25.8">
      <c r="C64" s="33"/>
      <c r="D64" s="33" t="s">
        <v>23</v>
      </c>
      <c r="E64" s="33" t="s">
        <v>4</v>
      </c>
      <c r="F64" s="50"/>
      <c r="G64" s="33"/>
      <c r="H64" s="33"/>
      <c r="I64" s="34"/>
      <c r="J64" s="34"/>
      <c r="L64" s="33"/>
      <c r="M64" s="33"/>
    </row>
    <row r="65" spans="3:13" ht="25.8">
      <c r="C65" s="33"/>
      <c r="D65" s="33" t="s">
        <v>23</v>
      </c>
      <c r="E65" s="33" t="s">
        <v>4</v>
      </c>
      <c r="F65" s="50"/>
      <c r="G65" s="33"/>
      <c r="H65" s="33"/>
      <c r="I65" s="34"/>
      <c r="J65" s="34"/>
      <c r="L65" s="33"/>
      <c r="M65" s="33"/>
    </row>
    <row r="66" spans="3:13" ht="25.8">
      <c r="C66" s="33"/>
      <c r="D66" s="33" t="s">
        <v>23</v>
      </c>
      <c r="E66" s="33" t="s">
        <v>4</v>
      </c>
      <c r="F66" s="50"/>
      <c r="G66" s="33"/>
      <c r="H66" s="33"/>
      <c r="I66" s="34"/>
      <c r="J66" s="34"/>
      <c r="L66" s="33"/>
      <c r="M66" s="33"/>
    </row>
    <row r="67" spans="3:13" ht="25.8">
      <c r="C67" s="33"/>
      <c r="D67" s="33" t="s">
        <v>23</v>
      </c>
      <c r="E67" s="33" t="s">
        <v>4</v>
      </c>
      <c r="F67" s="50"/>
      <c r="G67" s="33"/>
      <c r="H67" s="33"/>
      <c r="I67" s="34"/>
      <c r="J67" s="34"/>
      <c r="L67" s="33"/>
      <c r="M67" s="33"/>
    </row>
    <row r="68" spans="3:13" ht="25.8">
      <c r="C68" s="33"/>
      <c r="D68" s="33" t="s">
        <v>23</v>
      </c>
      <c r="E68" s="33" t="s">
        <v>4</v>
      </c>
      <c r="F68" s="50"/>
      <c r="G68" s="33"/>
      <c r="H68" s="33"/>
      <c r="I68" s="34"/>
      <c r="J68" s="34"/>
      <c r="L68" s="33"/>
      <c r="M68" s="33"/>
    </row>
    <row r="69" spans="3:13" ht="25.8">
      <c r="C69" s="33"/>
      <c r="D69" s="33" t="s">
        <v>23</v>
      </c>
      <c r="E69" s="33" t="s">
        <v>4</v>
      </c>
      <c r="F69" s="50"/>
      <c r="G69" s="33"/>
      <c r="H69" s="33"/>
      <c r="I69" s="34"/>
      <c r="J69" s="34"/>
      <c r="L69" s="33"/>
      <c r="M69" s="33"/>
    </row>
    <row r="70" spans="3:13" ht="25.8">
      <c r="C70" s="33"/>
      <c r="D70" s="33" t="s">
        <v>23</v>
      </c>
      <c r="E70" s="33" t="s">
        <v>4</v>
      </c>
      <c r="F70" s="50"/>
      <c r="G70" s="33"/>
      <c r="H70" s="33"/>
      <c r="I70" s="34"/>
      <c r="J70" s="34"/>
      <c r="L70" s="33"/>
      <c r="M70" s="33"/>
    </row>
    <row r="71" spans="3:13" ht="25.8">
      <c r="C71" s="33"/>
      <c r="D71" s="33" t="s">
        <v>23</v>
      </c>
      <c r="E71" s="33" t="s">
        <v>4</v>
      </c>
      <c r="F71" s="50"/>
      <c r="G71" s="33"/>
      <c r="H71" s="33"/>
      <c r="I71" s="34"/>
      <c r="J71" s="34"/>
      <c r="L71" s="33"/>
      <c r="M71" s="33"/>
    </row>
    <row r="72" spans="3:13" ht="25.8">
      <c r="C72" s="33"/>
      <c r="D72" s="33" t="s">
        <v>23</v>
      </c>
      <c r="E72" s="33" t="s">
        <v>4</v>
      </c>
      <c r="F72" s="50"/>
      <c r="G72" s="33"/>
      <c r="H72" s="33"/>
      <c r="I72" s="34"/>
      <c r="J72" s="34"/>
      <c r="L72" s="33"/>
      <c r="M72" s="33"/>
    </row>
    <row r="73" spans="3:13" ht="25.8">
      <c r="C73" s="33"/>
      <c r="D73" s="33" t="s">
        <v>23</v>
      </c>
      <c r="E73" s="33" t="s">
        <v>4</v>
      </c>
      <c r="F73" s="50"/>
      <c r="G73" s="33"/>
      <c r="H73" s="33"/>
      <c r="I73" s="34"/>
      <c r="J73" s="34"/>
      <c r="L73" s="33"/>
      <c r="M73" s="33"/>
    </row>
    <row r="74" spans="3:13" ht="25.8">
      <c r="C74" s="33"/>
      <c r="D74" s="33" t="s">
        <v>23</v>
      </c>
      <c r="E74" s="33" t="s">
        <v>4</v>
      </c>
      <c r="F74" s="50"/>
      <c r="G74" s="33"/>
      <c r="H74" s="33"/>
      <c r="I74" s="34"/>
      <c r="J74" s="34"/>
      <c r="L74" s="33"/>
      <c r="M74" s="33"/>
    </row>
    <row r="75" spans="3:13" ht="25.8">
      <c r="C75" s="33"/>
      <c r="D75" s="33" t="s">
        <v>23</v>
      </c>
      <c r="E75" s="33" t="s">
        <v>4</v>
      </c>
      <c r="F75" s="50"/>
      <c r="G75" s="33"/>
      <c r="H75" s="33"/>
      <c r="I75" s="34"/>
      <c r="J75" s="34"/>
      <c r="L75" s="33"/>
      <c r="M75" s="33"/>
    </row>
    <row r="76" spans="3:13" ht="25.8">
      <c r="C76" s="33"/>
      <c r="D76" s="33" t="s">
        <v>23</v>
      </c>
      <c r="E76" s="33" t="s">
        <v>4</v>
      </c>
      <c r="F76" s="50"/>
      <c r="G76" s="33"/>
      <c r="H76" s="33"/>
      <c r="I76" s="34"/>
      <c r="J76" s="34"/>
      <c r="L76" s="33"/>
      <c r="M76" s="33"/>
    </row>
    <row r="77" spans="3:13" ht="25.8">
      <c r="C77" s="33"/>
      <c r="D77" s="33" t="s">
        <v>23</v>
      </c>
      <c r="E77" s="33" t="s">
        <v>4</v>
      </c>
      <c r="F77" s="50"/>
      <c r="G77" s="33"/>
      <c r="H77" s="33"/>
      <c r="I77" s="34"/>
      <c r="J77" s="34"/>
      <c r="L77" s="33"/>
      <c r="M77" s="33"/>
    </row>
    <row r="78" spans="3:13" ht="25.8">
      <c r="C78" s="33"/>
      <c r="D78" s="33" t="s">
        <v>23</v>
      </c>
      <c r="E78" s="33" t="s">
        <v>4</v>
      </c>
      <c r="F78" s="50"/>
      <c r="G78" s="33"/>
      <c r="H78" s="33"/>
      <c r="I78" s="34"/>
      <c r="J78" s="34"/>
      <c r="L78" s="33"/>
      <c r="M78" s="33"/>
    </row>
    <row r="79" spans="3:13" ht="25.8">
      <c r="C79" s="33"/>
      <c r="D79" s="33" t="s">
        <v>23</v>
      </c>
      <c r="E79" s="33" t="s">
        <v>4</v>
      </c>
      <c r="F79" s="50"/>
      <c r="G79" s="33"/>
      <c r="H79" s="33"/>
      <c r="I79" s="34"/>
      <c r="J79" s="34"/>
      <c r="L79" s="33"/>
      <c r="M79" s="33"/>
    </row>
    <row r="80" spans="3:13" ht="25.8">
      <c r="C80" s="33"/>
      <c r="D80" s="33" t="s">
        <v>23</v>
      </c>
      <c r="E80" s="33" t="s">
        <v>4</v>
      </c>
      <c r="F80" s="50"/>
      <c r="G80" s="33"/>
      <c r="H80" s="33"/>
      <c r="I80" s="34"/>
      <c r="J80" s="34"/>
      <c r="L80" s="33"/>
      <c r="M80" s="33"/>
    </row>
    <row r="81" spans="3:13" ht="25.8">
      <c r="C81" s="33"/>
      <c r="D81" s="33" t="s">
        <v>23</v>
      </c>
      <c r="E81" s="33" t="s">
        <v>4</v>
      </c>
      <c r="F81" s="50"/>
      <c r="G81" s="33"/>
      <c r="H81" s="33"/>
      <c r="I81" s="34"/>
      <c r="J81" s="34"/>
      <c r="L81" s="33"/>
      <c r="M81" s="33"/>
    </row>
    <row r="82" spans="3:13" ht="25.8">
      <c r="C82" s="33"/>
      <c r="D82" s="33" t="s">
        <v>23</v>
      </c>
      <c r="E82" s="33" t="s">
        <v>4</v>
      </c>
      <c r="F82" s="50"/>
      <c r="G82" s="33"/>
      <c r="H82" s="33"/>
      <c r="I82" s="34"/>
      <c r="J82" s="34"/>
      <c r="L82" s="33"/>
      <c r="M82" s="33"/>
    </row>
    <row r="83" spans="3:13" ht="25.8">
      <c r="C83" s="33"/>
      <c r="D83" s="33" t="s">
        <v>23</v>
      </c>
      <c r="E83" s="33" t="s">
        <v>4</v>
      </c>
      <c r="F83" s="50"/>
      <c r="G83" s="33"/>
      <c r="H83" s="33"/>
      <c r="I83" s="34"/>
      <c r="J83" s="34"/>
      <c r="L83" s="33"/>
      <c r="M83" s="33"/>
    </row>
    <row r="84" spans="3:13" ht="25.8">
      <c r="C84" s="33"/>
      <c r="D84" s="33" t="s">
        <v>23</v>
      </c>
      <c r="E84" s="33" t="s">
        <v>4</v>
      </c>
      <c r="F84" s="50"/>
      <c r="G84" s="33"/>
      <c r="H84" s="33"/>
      <c r="I84" s="34"/>
      <c r="J84" s="34"/>
      <c r="L84" s="33"/>
      <c r="M84" s="33"/>
    </row>
    <row r="85" spans="3:13" ht="25.8">
      <c r="C85" s="33"/>
      <c r="D85" s="33" t="s">
        <v>23</v>
      </c>
      <c r="E85" s="33" t="s">
        <v>4</v>
      </c>
      <c r="F85" s="50"/>
      <c r="G85" s="33"/>
      <c r="H85" s="33"/>
      <c r="I85" s="34"/>
      <c r="J85" s="34"/>
      <c r="L85" s="33"/>
      <c r="M85" s="33"/>
    </row>
    <row r="86" spans="3:13" ht="25.8">
      <c r="C86" s="33"/>
      <c r="D86" s="33" t="s">
        <v>23</v>
      </c>
      <c r="E86" s="33" t="s">
        <v>4</v>
      </c>
      <c r="F86" s="50"/>
      <c r="G86" s="33"/>
      <c r="H86" s="33"/>
      <c r="I86" s="34"/>
      <c r="J86" s="34"/>
      <c r="L86" s="33"/>
      <c r="M86" s="33"/>
    </row>
    <row r="87" spans="3:13" ht="25.8">
      <c r="C87" s="33"/>
      <c r="D87" s="33" t="s">
        <v>23</v>
      </c>
      <c r="E87" s="33" t="s">
        <v>4</v>
      </c>
      <c r="F87" s="50"/>
      <c r="G87" s="33"/>
      <c r="H87" s="33"/>
      <c r="I87" s="34"/>
      <c r="J87" s="34"/>
      <c r="L87" s="33"/>
      <c r="M87" s="33"/>
    </row>
    <row r="88" spans="3:13" ht="25.8">
      <c r="C88" s="33"/>
      <c r="D88" s="33" t="s">
        <v>23</v>
      </c>
      <c r="E88" s="33" t="s">
        <v>4</v>
      </c>
      <c r="F88" s="50"/>
      <c r="G88" s="33"/>
      <c r="H88" s="33"/>
      <c r="I88" s="34"/>
      <c r="J88" s="34"/>
      <c r="L88" s="33"/>
      <c r="M88" s="33"/>
    </row>
    <row r="89" spans="3:13" ht="25.8">
      <c r="C89" s="33"/>
      <c r="D89" s="33" t="s">
        <v>23</v>
      </c>
      <c r="E89" s="33" t="s">
        <v>4</v>
      </c>
      <c r="F89" s="50"/>
      <c r="G89" s="33"/>
      <c r="H89" s="33"/>
      <c r="I89" s="34"/>
      <c r="J89" s="34"/>
      <c r="L89" s="33"/>
      <c r="M89" s="33"/>
    </row>
    <row r="90" spans="3:13" ht="25.8">
      <c r="C90" s="33"/>
      <c r="D90" s="33" t="s">
        <v>23</v>
      </c>
      <c r="E90" s="33" t="s">
        <v>4</v>
      </c>
      <c r="F90" s="50"/>
      <c r="G90" s="33"/>
      <c r="H90" s="33"/>
      <c r="I90" s="34"/>
      <c r="J90" s="34"/>
      <c r="L90" s="33"/>
      <c r="M90" s="33"/>
    </row>
    <row r="91" spans="3:13" ht="25.8">
      <c r="C91" s="33"/>
      <c r="D91" s="33" t="s">
        <v>23</v>
      </c>
      <c r="E91" s="33" t="s">
        <v>4</v>
      </c>
      <c r="F91" s="50"/>
      <c r="G91" s="33"/>
      <c r="H91" s="33"/>
      <c r="I91" s="34"/>
      <c r="J91" s="34"/>
      <c r="L91" s="33"/>
      <c r="M91" s="33"/>
    </row>
    <row r="92" spans="3:13" ht="25.8">
      <c r="C92" s="33"/>
      <c r="D92" s="33" t="s">
        <v>23</v>
      </c>
      <c r="E92" s="33" t="s">
        <v>4</v>
      </c>
      <c r="F92" s="50"/>
      <c r="G92" s="33"/>
      <c r="H92" s="33"/>
      <c r="I92" s="34"/>
      <c r="J92" s="34"/>
      <c r="L92" s="33"/>
      <c r="M92" s="33"/>
    </row>
    <row r="93" spans="3:13" ht="25.8">
      <c r="C93" s="33"/>
      <c r="D93" s="33" t="s">
        <v>23</v>
      </c>
      <c r="E93" s="33" t="s">
        <v>4</v>
      </c>
      <c r="F93" s="50"/>
      <c r="G93" s="33"/>
      <c r="H93" s="33"/>
      <c r="I93" s="34"/>
      <c r="J93" s="34"/>
      <c r="L93" s="33"/>
      <c r="M93" s="33"/>
    </row>
    <row r="94" spans="3:13" ht="25.8">
      <c r="C94" s="33"/>
      <c r="D94" s="33" t="s">
        <v>23</v>
      </c>
      <c r="E94" s="33" t="s">
        <v>4</v>
      </c>
      <c r="F94" s="50"/>
      <c r="G94" s="33"/>
      <c r="H94" s="33"/>
      <c r="I94" s="34"/>
      <c r="J94" s="34"/>
      <c r="L94" s="33"/>
      <c r="M94" s="33"/>
    </row>
    <row r="95" spans="3:13" ht="25.8">
      <c r="C95" s="33"/>
      <c r="D95" s="33" t="s">
        <v>23</v>
      </c>
      <c r="E95" s="33" t="s">
        <v>4</v>
      </c>
      <c r="F95" s="50"/>
      <c r="G95" s="33"/>
      <c r="H95" s="33"/>
      <c r="I95" s="34"/>
      <c r="J95" s="34"/>
      <c r="L95" s="33"/>
      <c r="M95" s="33"/>
    </row>
    <row r="96" spans="3:13" ht="25.8">
      <c r="C96" s="33"/>
      <c r="D96" s="33" t="s">
        <v>23</v>
      </c>
      <c r="E96" s="33" t="s">
        <v>4</v>
      </c>
      <c r="F96" s="50"/>
      <c r="G96" s="33"/>
      <c r="H96" s="33"/>
      <c r="I96" s="34"/>
      <c r="J96" s="34"/>
      <c r="L96" s="33"/>
      <c r="M96" s="33"/>
    </row>
    <row r="97" spans="3:13" ht="25.8">
      <c r="C97" s="33"/>
      <c r="D97" s="33" t="s">
        <v>23</v>
      </c>
      <c r="E97" s="33" t="s">
        <v>4</v>
      </c>
      <c r="F97" s="50"/>
      <c r="G97" s="33"/>
      <c r="H97" s="33"/>
      <c r="I97" s="34"/>
      <c r="J97" s="34"/>
      <c r="L97" s="33"/>
      <c r="M97" s="33"/>
    </row>
    <row r="98" spans="3:13" ht="25.8">
      <c r="C98" s="33"/>
      <c r="D98" s="33" t="s">
        <v>23</v>
      </c>
      <c r="E98" s="33" t="s">
        <v>4</v>
      </c>
      <c r="F98" s="50"/>
      <c r="G98" s="33"/>
      <c r="H98" s="33"/>
      <c r="I98" s="34"/>
      <c r="J98" s="34"/>
      <c r="L98" s="33"/>
      <c r="M98" s="33"/>
    </row>
    <row r="99" spans="3:13" ht="25.8">
      <c r="C99" s="33"/>
      <c r="D99" s="33" t="s">
        <v>23</v>
      </c>
      <c r="E99" s="33" t="s">
        <v>4</v>
      </c>
      <c r="F99" s="50"/>
      <c r="G99" s="33"/>
      <c r="H99" s="33"/>
      <c r="I99" s="34"/>
      <c r="J99" s="34"/>
      <c r="L99" s="33"/>
      <c r="M99" s="33"/>
    </row>
    <row r="100" spans="3:13" ht="25.8">
      <c r="C100" s="33"/>
      <c r="D100" s="33" t="s">
        <v>23</v>
      </c>
      <c r="E100" s="33" t="s">
        <v>4</v>
      </c>
      <c r="F100" s="50"/>
      <c r="G100" s="33"/>
      <c r="H100" s="33"/>
      <c r="I100" s="34"/>
      <c r="J100" s="34"/>
      <c r="L100" s="33"/>
      <c r="M100" s="33"/>
    </row>
    <row r="101" spans="3:13" ht="25.8">
      <c r="C101" s="33"/>
      <c r="D101" s="33" t="s">
        <v>23</v>
      </c>
      <c r="E101" s="33" t="s">
        <v>4</v>
      </c>
      <c r="F101" s="50"/>
      <c r="G101" s="33"/>
      <c r="H101" s="33"/>
      <c r="I101" s="34"/>
      <c r="J101" s="34"/>
      <c r="L101" s="33"/>
      <c r="M101" s="33"/>
    </row>
    <row r="102" spans="3:13" ht="25.8">
      <c r="C102" s="33"/>
      <c r="D102" s="33" t="s">
        <v>23</v>
      </c>
      <c r="E102" s="33" t="s">
        <v>4</v>
      </c>
      <c r="F102" s="50"/>
      <c r="G102" s="33"/>
      <c r="H102" s="33"/>
      <c r="I102" s="34"/>
      <c r="J102" s="34"/>
      <c r="L102" s="33"/>
      <c r="M102" s="33"/>
    </row>
    <row r="103" spans="3:13" ht="25.8">
      <c r="C103" s="33"/>
      <c r="D103" s="33" t="s">
        <v>23</v>
      </c>
      <c r="E103" s="33" t="s">
        <v>4</v>
      </c>
      <c r="F103" s="50"/>
      <c r="G103" s="33"/>
      <c r="H103" s="33"/>
      <c r="I103" s="34"/>
      <c r="J103" s="34"/>
      <c r="L103" s="33"/>
      <c r="M103" s="33"/>
    </row>
    <row r="104" spans="3:13" ht="25.8">
      <c r="C104" s="33"/>
      <c r="D104" s="33" t="s">
        <v>23</v>
      </c>
      <c r="E104" s="33" t="s">
        <v>4</v>
      </c>
      <c r="F104" s="50"/>
      <c r="G104" s="33"/>
      <c r="H104" s="33"/>
      <c r="I104" s="34"/>
      <c r="J104" s="34"/>
      <c r="L104" s="33"/>
      <c r="M104" s="33"/>
    </row>
    <row r="105" spans="3:13" ht="25.8">
      <c r="C105" s="33"/>
      <c r="D105" s="33" t="s">
        <v>23</v>
      </c>
      <c r="E105" s="33" t="s">
        <v>4</v>
      </c>
      <c r="F105" s="50"/>
      <c r="G105" s="33"/>
      <c r="H105" s="33"/>
      <c r="I105" s="34"/>
      <c r="J105" s="34"/>
      <c r="L105" s="33"/>
      <c r="M105" s="33"/>
    </row>
    <row r="106" spans="3:13" ht="25.8">
      <c r="C106" s="33"/>
      <c r="D106" s="33" t="s">
        <v>23</v>
      </c>
      <c r="E106" s="33" t="s">
        <v>4</v>
      </c>
      <c r="F106" s="50"/>
      <c r="G106" s="33"/>
      <c r="H106" s="33"/>
      <c r="I106" s="34"/>
      <c r="J106" s="34"/>
      <c r="L106" s="33"/>
      <c r="M106" s="33"/>
    </row>
    <row r="107" spans="3:13" ht="25.8">
      <c r="C107" s="33"/>
      <c r="D107" s="33" t="s">
        <v>23</v>
      </c>
      <c r="E107" s="33" t="s">
        <v>4</v>
      </c>
      <c r="F107" s="50"/>
      <c r="G107" s="33"/>
      <c r="H107" s="33"/>
      <c r="I107" s="34"/>
      <c r="J107" s="34"/>
      <c r="L107" s="33"/>
      <c r="M107" s="33"/>
    </row>
    <row r="108" spans="3:13" ht="25.8">
      <c r="C108" s="33"/>
      <c r="D108" s="33" t="s">
        <v>23</v>
      </c>
      <c r="E108" s="33" t="s">
        <v>4</v>
      </c>
      <c r="F108" s="50"/>
      <c r="G108" s="33"/>
      <c r="H108" s="33"/>
      <c r="I108" s="34"/>
      <c r="J108" s="34"/>
      <c r="L108" s="33"/>
      <c r="M108" s="33"/>
    </row>
    <row r="109" spans="3:13" ht="25.8">
      <c r="C109" s="33"/>
      <c r="D109" s="33" t="s">
        <v>23</v>
      </c>
      <c r="E109" s="33" t="s">
        <v>4</v>
      </c>
      <c r="F109" s="50"/>
      <c r="G109" s="33"/>
      <c r="H109" s="33"/>
      <c r="I109" s="34"/>
      <c r="J109" s="34"/>
      <c r="L109" s="33"/>
      <c r="M109" s="33"/>
    </row>
    <row r="110" spans="3:13" ht="25.8">
      <c r="C110" s="33"/>
      <c r="D110" s="33" t="s">
        <v>23</v>
      </c>
      <c r="E110" s="33" t="s">
        <v>4</v>
      </c>
      <c r="F110" s="50"/>
      <c r="G110" s="33"/>
      <c r="H110" s="33"/>
      <c r="I110" s="34"/>
      <c r="J110" s="34"/>
      <c r="L110" s="33"/>
      <c r="M110" s="33"/>
    </row>
    <row r="111" spans="3:13" ht="25.8">
      <c r="C111" s="33"/>
      <c r="D111" s="33" t="s">
        <v>23</v>
      </c>
      <c r="E111" s="33" t="s">
        <v>4</v>
      </c>
      <c r="F111" s="50"/>
      <c r="G111" s="33"/>
      <c r="H111" s="33"/>
      <c r="I111" s="34"/>
      <c r="J111" s="34"/>
      <c r="L111" s="33"/>
      <c r="M111" s="33"/>
    </row>
    <row r="112" spans="3:13" ht="25.8">
      <c r="C112" s="33"/>
      <c r="D112" s="33" t="s">
        <v>23</v>
      </c>
      <c r="E112" s="33" t="s">
        <v>4</v>
      </c>
      <c r="F112" s="50"/>
      <c r="G112" s="33"/>
      <c r="H112" s="33"/>
      <c r="I112" s="34"/>
      <c r="J112" s="34"/>
      <c r="L112" s="33"/>
      <c r="M112" s="33"/>
    </row>
    <row r="113" spans="3:13" ht="25.8">
      <c r="C113" s="33"/>
      <c r="D113" s="33" t="s">
        <v>23</v>
      </c>
      <c r="E113" s="33" t="s">
        <v>4</v>
      </c>
      <c r="F113" s="50"/>
      <c r="G113" s="33"/>
      <c r="H113" s="33"/>
      <c r="I113" s="34"/>
      <c r="J113" s="34"/>
      <c r="L113" s="33"/>
      <c r="M113" s="33"/>
    </row>
    <row r="114" spans="3:13" ht="25.8">
      <c r="C114" s="33"/>
      <c r="D114" s="33" t="s">
        <v>23</v>
      </c>
      <c r="E114" s="33" t="s">
        <v>4</v>
      </c>
      <c r="F114" s="50"/>
      <c r="G114" s="33"/>
      <c r="H114" s="33"/>
      <c r="I114" s="34"/>
      <c r="J114" s="34"/>
      <c r="L114" s="33"/>
      <c r="M114" s="33"/>
    </row>
    <row r="115" spans="3:13" ht="25.8">
      <c r="C115" s="33"/>
      <c r="D115" s="33" t="s">
        <v>23</v>
      </c>
      <c r="E115" s="33" t="s">
        <v>4</v>
      </c>
      <c r="F115" s="50"/>
      <c r="G115" s="33"/>
      <c r="H115" s="33"/>
      <c r="I115" s="34"/>
      <c r="J115" s="34"/>
      <c r="L115" s="33"/>
      <c r="M115" s="33"/>
    </row>
    <row r="116" spans="3:13" ht="25.8">
      <c r="C116" s="33"/>
      <c r="D116" s="33" t="s">
        <v>23</v>
      </c>
      <c r="E116" s="33" t="s">
        <v>4</v>
      </c>
      <c r="F116" s="50"/>
      <c r="G116" s="33"/>
      <c r="H116" s="33"/>
      <c r="I116" s="34"/>
      <c r="J116" s="34"/>
      <c r="L116" s="33"/>
      <c r="M116" s="33"/>
    </row>
    <row r="117" spans="3:13" ht="25.8">
      <c r="C117" s="33"/>
      <c r="D117" s="33" t="s">
        <v>23</v>
      </c>
      <c r="E117" s="33" t="s">
        <v>4</v>
      </c>
      <c r="F117" s="50"/>
      <c r="G117" s="33"/>
      <c r="H117" s="33"/>
      <c r="I117" s="34"/>
      <c r="J117" s="34"/>
      <c r="L117" s="33"/>
      <c r="M117" s="33"/>
    </row>
    <row r="118" spans="3:13" ht="25.8">
      <c r="C118" s="33"/>
      <c r="D118" s="33" t="s">
        <v>23</v>
      </c>
      <c r="E118" s="33" t="s">
        <v>4</v>
      </c>
      <c r="F118" s="50"/>
      <c r="G118" s="33"/>
      <c r="H118" s="33"/>
      <c r="I118" s="34"/>
      <c r="J118" s="34"/>
      <c r="L118" s="33"/>
      <c r="M118" s="33"/>
    </row>
    <row r="119" spans="3:13" ht="25.8">
      <c r="C119" s="33"/>
      <c r="D119" s="33" t="s">
        <v>23</v>
      </c>
      <c r="E119" s="33" t="s">
        <v>4</v>
      </c>
      <c r="F119" s="50"/>
      <c r="G119" s="33"/>
      <c r="H119" s="33"/>
      <c r="I119" s="34"/>
      <c r="J119" s="34"/>
      <c r="L119" s="33"/>
      <c r="M119" s="33"/>
    </row>
    <row r="120" spans="3:13" ht="25.8">
      <c r="C120" s="33"/>
      <c r="D120" s="33" t="s">
        <v>23</v>
      </c>
      <c r="E120" s="33" t="s">
        <v>4</v>
      </c>
      <c r="F120" s="50"/>
      <c r="G120" s="33"/>
      <c r="H120" s="33"/>
      <c r="I120" s="34"/>
      <c r="J120" s="34"/>
      <c r="L120" s="33"/>
      <c r="M120" s="33"/>
    </row>
    <row r="121" spans="3:13" ht="25.8">
      <c r="C121" s="33"/>
      <c r="D121" s="33" t="s">
        <v>23</v>
      </c>
      <c r="E121" s="33" t="s">
        <v>4</v>
      </c>
      <c r="F121" s="50"/>
      <c r="G121" s="33"/>
      <c r="H121" s="33"/>
      <c r="I121" s="34"/>
      <c r="J121" s="34"/>
      <c r="L121" s="33"/>
      <c r="M121" s="33"/>
    </row>
    <row r="122" spans="3:13" ht="25.8">
      <c r="C122" s="33"/>
      <c r="D122" s="33" t="s">
        <v>23</v>
      </c>
      <c r="E122" s="33" t="s">
        <v>4</v>
      </c>
      <c r="F122" s="50"/>
      <c r="G122" s="33"/>
      <c r="H122" s="33"/>
      <c r="I122" s="34"/>
      <c r="J122" s="34"/>
      <c r="L122" s="33"/>
      <c r="M122" s="33"/>
    </row>
    <row r="123" spans="3:13" ht="25.8">
      <c r="C123" s="33"/>
      <c r="D123" s="33" t="s">
        <v>23</v>
      </c>
      <c r="E123" s="33" t="s">
        <v>4</v>
      </c>
      <c r="F123" s="50"/>
      <c r="G123" s="33"/>
      <c r="H123" s="33"/>
      <c r="I123" s="34"/>
      <c r="J123" s="34"/>
      <c r="L123" s="33"/>
      <c r="M123" s="33"/>
    </row>
    <row r="124" spans="3:13" ht="25.8">
      <c r="C124" s="33"/>
      <c r="D124" s="33" t="s">
        <v>23</v>
      </c>
      <c r="E124" s="33" t="s">
        <v>4</v>
      </c>
      <c r="F124" s="50"/>
      <c r="G124" s="33"/>
      <c r="H124" s="33"/>
      <c r="I124" s="34"/>
      <c r="J124" s="34"/>
      <c r="L124" s="33"/>
      <c r="M124" s="33"/>
    </row>
    <row r="125" spans="3:13" ht="25.8">
      <c r="C125" s="33"/>
      <c r="D125" s="33" t="s">
        <v>23</v>
      </c>
      <c r="E125" s="33" t="s">
        <v>4</v>
      </c>
      <c r="F125" s="50"/>
      <c r="G125" s="33"/>
      <c r="H125" s="33"/>
      <c r="I125" s="34"/>
      <c r="J125" s="34"/>
      <c r="L125" s="33"/>
      <c r="M125" s="33"/>
    </row>
    <row r="126" spans="3:13" ht="25.8">
      <c r="C126" s="33"/>
      <c r="D126" s="33" t="s">
        <v>23</v>
      </c>
      <c r="E126" s="33" t="s">
        <v>4</v>
      </c>
      <c r="F126" s="50"/>
      <c r="G126" s="33"/>
      <c r="H126" s="33"/>
      <c r="I126" s="34"/>
      <c r="J126" s="34"/>
      <c r="L126" s="33"/>
      <c r="M126" s="33"/>
    </row>
    <row r="127" spans="3:13" ht="25.8">
      <c r="C127" s="33"/>
      <c r="D127" s="33" t="s">
        <v>23</v>
      </c>
      <c r="E127" s="33" t="s">
        <v>4</v>
      </c>
      <c r="F127" s="50"/>
      <c r="G127" s="33"/>
      <c r="H127" s="33"/>
      <c r="I127" s="34"/>
      <c r="J127" s="34"/>
      <c r="L127" s="33"/>
      <c r="M127" s="33"/>
    </row>
    <row r="128" spans="3:13" ht="25.8">
      <c r="C128" s="33"/>
      <c r="D128" s="33" t="s">
        <v>23</v>
      </c>
      <c r="E128" s="33" t="s">
        <v>4</v>
      </c>
      <c r="F128" s="50"/>
      <c r="G128" s="33"/>
      <c r="H128" s="33"/>
      <c r="I128" s="34"/>
      <c r="J128" s="34"/>
      <c r="L128" s="33"/>
      <c r="M128" s="33"/>
    </row>
    <row r="129" spans="3:13" ht="25.8">
      <c r="C129" s="33"/>
      <c r="D129" s="33" t="s">
        <v>23</v>
      </c>
      <c r="E129" s="33" t="s">
        <v>4</v>
      </c>
      <c r="F129" s="50"/>
      <c r="G129" s="33"/>
      <c r="H129" s="33"/>
      <c r="I129" s="34"/>
      <c r="J129" s="34"/>
      <c r="L129" s="33"/>
      <c r="M129" s="33"/>
    </row>
    <row r="130" spans="3:13" ht="25.8">
      <c r="C130" s="33"/>
      <c r="D130" s="33" t="s">
        <v>23</v>
      </c>
      <c r="E130" s="33" t="s">
        <v>4</v>
      </c>
      <c r="F130" s="50"/>
      <c r="G130" s="33"/>
      <c r="H130" s="33"/>
      <c r="I130" s="34"/>
      <c r="J130" s="34"/>
      <c r="L130" s="33"/>
      <c r="M130" s="33"/>
    </row>
    <row r="131" spans="3:13" ht="25.8">
      <c r="C131" s="33"/>
      <c r="D131" s="33" t="s">
        <v>23</v>
      </c>
      <c r="E131" s="33" t="s">
        <v>4</v>
      </c>
      <c r="F131" s="50"/>
      <c r="G131" s="33"/>
      <c r="H131" s="33"/>
      <c r="I131" s="34"/>
      <c r="J131" s="34"/>
      <c r="L131" s="33"/>
      <c r="M131" s="33"/>
    </row>
    <row r="132" spans="3:13" ht="25.8">
      <c r="C132" s="33"/>
      <c r="D132" s="33" t="s">
        <v>23</v>
      </c>
      <c r="E132" s="33" t="s">
        <v>4</v>
      </c>
      <c r="F132" s="50"/>
      <c r="G132" s="33"/>
      <c r="H132" s="33"/>
      <c r="I132" s="34"/>
      <c r="J132" s="34"/>
      <c r="L132" s="33"/>
      <c r="M132" s="33"/>
    </row>
    <row r="133" spans="3:13" ht="25.8">
      <c r="C133" s="33"/>
      <c r="D133" s="33" t="s">
        <v>23</v>
      </c>
      <c r="E133" s="33" t="s">
        <v>4</v>
      </c>
      <c r="F133" s="50"/>
      <c r="G133" s="33"/>
      <c r="H133" s="33"/>
      <c r="I133" s="34"/>
      <c r="J133" s="34"/>
      <c r="L133" s="33"/>
      <c r="M133" s="33"/>
    </row>
    <row r="134" spans="3:13" ht="25.8">
      <c r="C134" s="33"/>
      <c r="D134" s="33" t="s">
        <v>23</v>
      </c>
      <c r="E134" s="33" t="s">
        <v>4</v>
      </c>
      <c r="F134" s="50"/>
      <c r="G134" s="33"/>
      <c r="H134" s="33"/>
      <c r="I134" s="34"/>
      <c r="J134" s="34"/>
      <c r="L134" s="33"/>
      <c r="M134" s="33"/>
    </row>
    <row r="135" spans="3:13" ht="25.8">
      <c r="C135" s="33"/>
      <c r="D135" s="33" t="s">
        <v>23</v>
      </c>
      <c r="E135" s="33" t="s">
        <v>4</v>
      </c>
      <c r="F135" s="50"/>
      <c r="G135" s="33"/>
      <c r="H135" s="33"/>
      <c r="I135" s="34"/>
      <c r="J135" s="34"/>
      <c r="L135" s="33"/>
      <c r="M135" s="33"/>
    </row>
    <row r="136" spans="3:13" ht="25.8">
      <c r="C136" s="33"/>
      <c r="D136" s="33" t="s">
        <v>23</v>
      </c>
      <c r="E136" s="33" t="s">
        <v>4</v>
      </c>
      <c r="F136" s="50"/>
      <c r="G136" s="33"/>
      <c r="H136" s="33"/>
      <c r="I136" s="34"/>
      <c r="J136" s="34"/>
      <c r="L136" s="33"/>
      <c r="M136" s="33"/>
    </row>
    <row r="137" spans="3:13" ht="25.8">
      <c r="C137" s="33"/>
      <c r="D137" s="33" t="s">
        <v>23</v>
      </c>
      <c r="E137" s="33" t="s">
        <v>4</v>
      </c>
      <c r="F137" s="50"/>
      <c r="G137" s="33"/>
      <c r="H137" s="33"/>
      <c r="I137" s="34"/>
      <c r="J137" s="34"/>
      <c r="L137" s="33"/>
      <c r="M137" s="33"/>
    </row>
    <row r="138" spans="3:13" ht="25.8">
      <c r="C138" s="33"/>
      <c r="D138" s="33" t="s">
        <v>23</v>
      </c>
      <c r="E138" s="33" t="s">
        <v>4</v>
      </c>
      <c r="F138" s="50"/>
      <c r="G138" s="33"/>
      <c r="H138" s="33"/>
      <c r="I138" s="34"/>
      <c r="J138" s="34"/>
      <c r="L138" s="33"/>
      <c r="M138" s="33"/>
    </row>
    <row r="139" spans="3:13" ht="25.8">
      <c r="C139" s="33"/>
      <c r="D139" s="33" t="s">
        <v>23</v>
      </c>
      <c r="E139" s="33" t="s">
        <v>4</v>
      </c>
      <c r="F139" s="50"/>
      <c r="G139" s="33"/>
      <c r="H139" s="33"/>
      <c r="I139" s="34"/>
      <c r="J139" s="34"/>
      <c r="L139" s="33"/>
      <c r="M139" s="33"/>
    </row>
    <row r="140" spans="3:13" ht="25.8">
      <c r="C140" s="33"/>
      <c r="D140" s="33" t="s">
        <v>23</v>
      </c>
      <c r="E140" s="33" t="s">
        <v>4</v>
      </c>
      <c r="F140" s="50"/>
      <c r="G140" s="33"/>
      <c r="H140" s="33"/>
      <c r="I140" s="34"/>
      <c r="J140" s="34"/>
      <c r="L140" s="33"/>
      <c r="M140" s="33"/>
    </row>
    <row r="141" spans="3:13" ht="25.8">
      <c r="C141" s="33"/>
      <c r="D141" s="33" t="s">
        <v>23</v>
      </c>
      <c r="E141" s="33" t="s">
        <v>4</v>
      </c>
      <c r="F141" s="50"/>
      <c r="G141" s="33"/>
      <c r="H141" s="33"/>
      <c r="I141" s="34"/>
      <c r="J141" s="34"/>
      <c r="L141" s="33"/>
      <c r="M141" s="33"/>
    </row>
    <row r="142" spans="3:13" ht="25.8">
      <c r="C142" s="33"/>
      <c r="D142" s="33" t="s">
        <v>23</v>
      </c>
      <c r="E142" s="33" t="s">
        <v>4</v>
      </c>
      <c r="F142" s="50"/>
      <c r="G142" s="33"/>
      <c r="H142" s="33"/>
      <c r="I142" s="34"/>
      <c r="J142" s="34"/>
      <c r="L142" s="33"/>
      <c r="M142" s="33"/>
    </row>
    <row r="143" spans="3:13" ht="25.8">
      <c r="C143" s="33"/>
      <c r="D143" s="33" t="s">
        <v>23</v>
      </c>
      <c r="E143" s="33" t="s">
        <v>4</v>
      </c>
      <c r="F143" s="50"/>
      <c r="G143" s="33"/>
      <c r="H143" s="33"/>
      <c r="I143" s="34"/>
      <c r="J143" s="34"/>
      <c r="L143" s="33"/>
      <c r="M143" s="33"/>
    </row>
    <row r="144" spans="3:13" ht="25.8">
      <c r="C144" s="33"/>
      <c r="D144" s="33" t="s">
        <v>23</v>
      </c>
      <c r="E144" s="33" t="s">
        <v>4</v>
      </c>
      <c r="F144" s="50"/>
      <c r="G144" s="33"/>
      <c r="H144" s="33"/>
      <c r="I144" s="34"/>
      <c r="J144" s="34"/>
      <c r="L144" s="33"/>
      <c r="M144" s="33"/>
    </row>
    <row r="145" spans="3:13" ht="25.8">
      <c r="C145" s="33"/>
      <c r="D145" s="33" t="s">
        <v>23</v>
      </c>
      <c r="E145" s="33" t="s">
        <v>4</v>
      </c>
      <c r="F145" s="50"/>
      <c r="G145" s="33"/>
      <c r="H145" s="33"/>
      <c r="I145" s="34"/>
      <c r="J145" s="34"/>
      <c r="L145" s="33"/>
      <c r="M145" s="33"/>
    </row>
    <row r="146" spans="3:13" ht="25.8">
      <c r="C146" s="33"/>
      <c r="D146" s="33" t="s">
        <v>23</v>
      </c>
      <c r="E146" s="33" t="s">
        <v>4</v>
      </c>
      <c r="F146" s="50"/>
      <c r="G146" s="33"/>
      <c r="H146" s="33"/>
      <c r="I146" s="34"/>
      <c r="J146" s="34"/>
      <c r="L146" s="33"/>
      <c r="M146" s="33"/>
    </row>
    <row r="147" spans="3:13" ht="25.8">
      <c r="C147" s="33"/>
      <c r="D147" s="33" t="s">
        <v>23</v>
      </c>
      <c r="E147" s="33" t="s">
        <v>4</v>
      </c>
      <c r="F147" s="50"/>
      <c r="G147" s="33"/>
      <c r="H147" s="33"/>
      <c r="I147" s="34"/>
      <c r="J147" s="34"/>
      <c r="L147" s="33"/>
      <c r="M147" s="33"/>
    </row>
    <row r="148" spans="3:13" ht="25.8">
      <c r="C148" s="33"/>
      <c r="D148" s="33" t="s">
        <v>23</v>
      </c>
      <c r="E148" s="33" t="s">
        <v>4</v>
      </c>
      <c r="F148" s="50"/>
      <c r="G148" s="33"/>
      <c r="H148" s="33"/>
      <c r="I148" s="34"/>
      <c r="J148" s="34"/>
      <c r="L148" s="33"/>
      <c r="M148" s="33"/>
    </row>
    <row r="149" spans="3:13" ht="25.8">
      <c r="C149" s="33"/>
      <c r="D149" s="33" t="s">
        <v>23</v>
      </c>
      <c r="E149" s="33" t="s">
        <v>4</v>
      </c>
      <c r="F149" s="50"/>
      <c r="G149" s="33"/>
      <c r="H149" s="33"/>
      <c r="I149" s="34"/>
      <c r="J149" s="34"/>
      <c r="L149" s="33"/>
      <c r="M149" s="33"/>
    </row>
    <row r="150" spans="3:13" ht="25.8">
      <c r="C150" s="33"/>
      <c r="D150" s="33" t="s">
        <v>23</v>
      </c>
      <c r="E150" s="33" t="s">
        <v>4</v>
      </c>
      <c r="F150" s="50"/>
      <c r="G150" s="33"/>
      <c r="H150" s="33"/>
      <c r="I150" s="34"/>
      <c r="J150" s="34"/>
      <c r="L150" s="33"/>
      <c r="M150" s="33"/>
    </row>
    <row r="151" spans="3:13" ht="25.8">
      <c r="C151" s="33"/>
      <c r="D151" s="33" t="s">
        <v>23</v>
      </c>
      <c r="E151" s="33" t="s">
        <v>4</v>
      </c>
      <c r="F151" s="50"/>
      <c r="G151" s="33"/>
      <c r="H151" s="33"/>
      <c r="I151" s="34"/>
      <c r="J151" s="34"/>
      <c r="L151" s="33"/>
      <c r="M151" s="33"/>
    </row>
    <row r="152" spans="3:13" ht="25.8">
      <c r="C152" s="33"/>
      <c r="D152" s="33" t="s">
        <v>23</v>
      </c>
      <c r="E152" s="33" t="s">
        <v>4</v>
      </c>
      <c r="F152" s="50"/>
      <c r="G152" s="33"/>
      <c r="H152" s="33"/>
      <c r="I152" s="34"/>
      <c r="J152" s="34"/>
      <c r="L152" s="33"/>
      <c r="M152" s="33"/>
    </row>
    <row r="153" spans="3:13" ht="25.8">
      <c r="C153" s="33"/>
      <c r="D153" s="33" t="s">
        <v>23</v>
      </c>
      <c r="E153" s="33" t="s">
        <v>4</v>
      </c>
      <c r="F153" s="50"/>
      <c r="G153" s="33"/>
      <c r="H153" s="33"/>
      <c r="I153" s="34"/>
      <c r="J153" s="34"/>
      <c r="L153" s="33"/>
      <c r="M153" s="33"/>
    </row>
    <row r="154" spans="3:13" ht="25.8">
      <c r="C154" s="33"/>
      <c r="D154" s="33" t="s">
        <v>23</v>
      </c>
      <c r="E154" s="33" t="s">
        <v>4</v>
      </c>
      <c r="F154" s="50"/>
      <c r="G154" s="33"/>
      <c r="H154" s="33"/>
      <c r="I154" s="34"/>
      <c r="J154" s="34"/>
      <c r="L154" s="33"/>
      <c r="M154" s="33"/>
    </row>
    <row r="155" spans="3:13" ht="25.8">
      <c r="C155" s="33"/>
      <c r="D155" s="33" t="s">
        <v>23</v>
      </c>
      <c r="E155" s="33" t="s">
        <v>4</v>
      </c>
      <c r="F155" s="50"/>
      <c r="G155" s="33"/>
      <c r="H155" s="33"/>
      <c r="I155" s="34"/>
      <c r="J155" s="34"/>
      <c r="L155" s="33"/>
      <c r="M155" s="33"/>
    </row>
    <row r="156" spans="3:13" ht="25.8">
      <c r="C156" s="33"/>
      <c r="D156" s="33" t="s">
        <v>23</v>
      </c>
      <c r="E156" s="33" t="s">
        <v>4</v>
      </c>
      <c r="F156" s="50"/>
      <c r="G156" s="33"/>
      <c r="H156" s="33"/>
      <c r="I156" s="34"/>
      <c r="J156" s="34"/>
      <c r="L156" s="33"/>
      <c r="M156" s="33"/>
    </row>
    <row r="157" spans="3:13" ht="25.8">
      <c r="C157" s="33"/>
      <c r="D157" s="33" t="s">
        <v>23</v>
      </c>
      <c r="E157" s="33" t="s">
        <v>4</v>
      </c>
      <c r="F157" s="50"/>
      <c r="G157" s="33"/>
      <c r="H157" s="33"/>
      <c r="I157" s="34"/>
      <c r="J157" s="34"/>
      <c r="L157" s="33"/>
      <c r="M157" s="33"/>
    </row>
    <row r="158" spans="3:13" ht="25.8">
      <c r="C158" s="33"/>
      <c r="D158" s="33" t="s">
        <v>23</v>
      </c>
      <c r="E158" s="33" t="s">
        <v>4</v>
      </c>
      <c r="F158" s="50"/>
      <c r="G158" s="33"/>
      <c r="H158" s="33"/>
      <c r="I158" s="34"/>
      <c r="J158" s="34"/>
      <c r="L158" s="33"/>
      <c r="M158" s="33"/>
    </row>
    <row r="159" spans="3:13" ht="25.8">
      <c r="C159" s="33"/>
      <c r="D159" s="33" t="s">
        <v>23</v>
      </c>
      <c r="E159" s="33" t="s">
        <v>4</v>
      </c>
      <c r="F159" s="50"/>
      <c r="G159" s="33"/>
      <c r="H159" s="33"/>
      <c r="I159" s="34"/>
      <c r="J159" s="34"/>
      <c r="L159" s="33"/>
      <c r="M159" s="33"/>
    </row>
    <row r="160" spans="3:13" ht="25.8">
      <c r="C160" s="33"/>
      <c r="D160" s="33" t="s">
        <v>23</v>
      </c>
      <c r="E160" s="33" t="s">
        <v>4</v>
      </c>
      <c r="F160" s="50"/>
      <c r="G160" s="33"/>
      <c r="H160" s="33"/>
      <c r="I160" s="34"/>
      <c r="J160" s="34"/>
      <c r="L160" s="33"/>
      <c r="M160" s="33"/>
    </row>
    <row r="161" spans="3:13" ht="25.8">
      <c r="C161" s="33"/>
      <c r="D161" s="33" t="s">
        <v>23</v>
      </c>
      <c r="E161" s="33" t="s">
        <v>4</v>
      </c>
      <c r="F161" s="50"/>
      <c r="G161" s="33"/>
      <c r="H161" s="33"/>
      <c r="I161" s="34"/>
      <c r="J161" s="34"/>
      <c r="L161" s="33"/>
      <c r="M161" s="33"/>
    </row>
    <row r="162" spans="3:13" ht="25.8">
      <c r="C162" s="33"/>
      <c r="D162" s="33" t="s">
        <v>23</v>
      </c>
      <c r="E162" s="33" t="s">
        <v>4</v>
      </c>
      <c r="F162" s="50"/>
      <c r="G162" s="33"/>
      <c r="H162" s="33"/>
      <c r="I162" s="34"/>
      <c r="J162" s="34"/>
      <c r="L162" s="33"/>
      <c r="M162" s="33"/>
    </row>
    <row r="163" spans="3:13" ht="25.8">
      <c r="C163" s="33"/>
      <c r="D163" s="33" t="s">
        <v>23</v>
      </c>
      <c r="E163" s="33" t="s">
        <v>4</v>
      </c>
      <c r="F163" s="50"/>
      <c r="G163" s="33"/>
      <c r="H163" s="33"/>
      <c r="I163" s="34"/>
      <c r="J163" s="34"/>
      <c r="L163" s="33"/>
      <c r="M163" s="33"/>
    </row>
    <row r="164" spans="3:13" ht="25.8">
      <c r="C164" s="33"/>
      <c r="D164" s="33" t="s">
        <v>23</v>
      </c>
      <c r="E164" s="33" t="s">
        <v>4</v>
      </c>
      <c r="F164" s="50"/>
      <c r="G164" s="33"/>
      <c r="H164" s="33"/>
      <c r="I164" s="34"/>
      <c r="J164" s="34"/>
      <c r="L164" s="33"/>
      <c r="M164" s="33"/>
    </row>
    <row r="165" spans="3:13" ht="25.8">
      <c r="C165" s="33"/>
      <c r="D165" s="33" t="s">
        <v>23</v>
      </c>
      <c r="E165" s="33" t="s">
        <v>4</v>
      </c>
      <c r="F165" s="50"/>
      <c r="G165" s="33"/>
      <c r="H165" s="33"/>
      <c r="I165" s="34"/>
      <c r="J165" s="34"/>
      <c r="L165" s="33"/>
      <c r="M165" s="33"/>
    </row>
    <row r="166" spans="3:13" ht="25.8">
      <c r="C166" s="33"/>
      <c r="D166" s="33" t="s">
        <v>23</v>
      </c>
      <c r="E166" s="33" t="s">
        <v>4</v>
      </c>
      <c r="F166" s="50"/>
      <c r="G166" s="33"/>
      <c r="H166" s="33"/>
      <c r="I166" s="34"/>
      <c r="J166" s="34"/>
      <c r="L166" s="33"/>
      <c r="M166" s="33"/>
    </row>
    <row r="167" spans="3:13" ht="25.8">
      <c r="C167" s="33"/>
      <c r="D167" s="33" t="s">
        <v>23</v>
      </c>
      <c r="E167" s="33" t="s">
        <v>4</v>
      </c>
      <c r="F167" s="50"/>
      <c r="G167" s="33"/>
      <c r="H167" s="33"/>
      <c r="I167" s="34"/>
      <c r="J167" s="34"/>
      <c r="L167" s="33"/>
      <c r="M167" s="33"/>
    </row>
    <row r="168" spans="3:13" ht="25.8">
      <c r="C168" s="33"/>
      <c r="D168" s="33" t="s">
        <v>23</v>
      </c>
      <c r="E168" s="33" t="s">
        <v>4</v>
      </c>
      <c r="F168" s="50"/>
      <c r="G168" s="33"/>
      <c r="H168" s="33"/>
      <c r="I168" s="34"/>
      <c r="J168" s="34"/>
      <c r="L168" s="33"/>
      <c r="M168" s="33"/>
    </row>
    <row r="169" spans="3:13" ht="25.8">
      <c r="C169" s="33"/>
      <c r="D169" s="33" t="s">
        <v>23</v>
      </c>
      <c r="E169" s="33" t="s">
        <v>4</v>
      </c>
      <c r="F169" s="50"/>
      <c r="G169" s="33"/>
      <c r="H169" s="33"/>
      <c r="I169" s="34"/>
      <c r="J169" s="34"/>
      <c r="L169" s="33"/>
      <c r="M169" s="33"/>
    </row>
    <row r="170" spans="3:13" ht="25.8">
      <c r="C170" s="33"/>
      <c r="D170" s="33" t="s">
        <v>23</v>
      </c>
      <c r="E170" s="33" t="s">
        <v>4</v>
      </c>
      <c r="F170" s="50"/>
      <c r="G170" s="33"/>
      <c r="H170" s="33"/>
      <c r="I170" s="34"/>
      <c r="J170" s="34"/>
      <c r="L170" s="33"/>
      <c r="M170" s="33"/>
    </row>
    <row r="171" spans="3:13" ht="25.8">
      <c r="C171" s="33"/>
      <c r="D171" s="33" t="s">
        <v>23</v>
      </c>
      <c r="E171" s="33" t="s">
        <v>4</v>
      </c>
      <c r="F171" s="50"/>
      <c r="G171" s="33"/>
      <c r="H171" s="33"/>
      <c r="I171" s="34"/>
      <c r="J171" s="34"/>
      <c r="L171" s="33"/>
      <c r="M171" s="33"/>
    </row>
    <row r="172" spans="3:13" ht="25.8">
      <c r="C172" s="33"/>
      <c r="D172" s="33" t="s">
        <v>23</v>
      </c>
      <c r="E172" s="33" t="s">
        <v>4</v>
      </c>
      <c r="F172" s="50"/>
      <c r="G172" s="33"/>
      <c r="H172" s="33"/>
      <c r="I172" s="34"/>
      <c r="J172" s="34"/>
      <c r="L172" s="33"/>
      <c r="M172" s="33"/>
    </row>
    <row r="173" spans="3:13" ht="25.8">
      <c r="C173" s="33"/>
      <c r="D173" s="33" t="s">
        <v>23</v>
      </c>
      <c r="E173" s="33" t="s">
        <v>4</v>
      </c>
      <c r="F173" s="50"/>
      <c r="G173" s="33"/>
      <c r="H173" s="33"/>
      <c r="I173" s="34"/>
      <c r="J173" s="34"/>
      <c r="L173" s="33"/>
      <c r="M173" s="33"/>
    </row>
    <row r="174" spans="3:13" ht="25.8">
      <c r="C174" s="33"/>
      <c r="D174" s="33" t="s">
        <v>23</v>
      </c>
      <c r="E174" s="33" t="s">
        <v>4</v>
      </c>
      <c r="F174" s="50"/>
      <c r="G174" s="33"/>
      <c r="H174" s="33"/>
      <c r="I174" s="34"/>
      <c r="J174" s="34"/>
      <c r="L174" s="33"/>
      <c r="M174" s="33"/>
    </row>
    <row r="175" spans="3:13" ht="25.8">
      <c r="C175" s="33"/>
      <c r="D175" s="33" t="s">
        <v>23</v>
      </c>
      <c r="E175" s="33" t="s">
        <v>4</v>
      </c>
      <c r="F175" s="50"/>
      <c r="G175" s="33"/>
      <c r="H175" s="33"/>
      <c r="I175" s="34"/>
      <c r="J175" s="34"/>
      <c r="L175" s="33"/>
      <c r="M175" s="33"/>
    </row>
    <row r="176" spans="3:13" ht="25.8">
      <c r="C176" s="33"/>
      <c r="D176" s="33" t="s">
        <v>23</v>
      </c>
      <c r="E176" s="33" t="s">
        <v>4</v>
      </c>
      <c r="F176" s="50"/>
      <c r="G176" s="33"/>
      <c r="H176" s="33"/>
      <c r="I176" s="34"/>
      <c r="J176" s="34"/>
      <c r="L176" s="33"/>
      <c r="M176" s="33"/>
    </row>
    <row r="177" spans="3:13" ht="25.8">
      <c r="C177" s="33"/>
      <c r="D177" s="33" t="s">
        <v>23</v>
      </c>
      <c r="E177" s="33" t="s">
        <v>4</v>
      </c>
      <c r="F177" s="50"/>
      <c r="G177" s="33"/>
      <c r="H177" s="33"/>
      <c r="I177" s="34"/>
      <c r="J177" s="34"/>
      <c r="L177" s="33"/>
      <c r="M177" s="33"/>
    </row>
    <row r="178" spans="3:13" ht="25.8">
      <c r="C178" s="33"/>
      <c r="D178" s="33" t="s">
        <v>23</v>
      </c>
      <c r="E178" s="33" t="s">
        <v>4</v>
      </c>
      <c r="F178" s="50"/>
      <c r="G178" s="33"/>
      <c r="H178" s="33"/>
      <c r="I178" s="34"/>
      <c r="J178" s="34"/>
      <c r="L178" s="33"/>
      <c r="M178" s="33"/>
    </row>
    <row r="179" spans="3:13" ht="25.8">
      <c r="C179" s="33"/>
      <c r="D179" s="33" t="s">
        <v>23</v>
      </c>
      <c r="E179" s="33" t="s">
        <v>4</v>
      </c>
      <c r="F179" s="50"/>
      <c r="G179" s="33"/>
      <c r="H179" s="33"/>
      <c r="I179" s="34"/>
      <c r="J179" s="34"/>
      <c r="L179" s="33"/>
      <c r="M179" s="33"/>
    </row>
    <row r="180" spans="3:13" ht="25.8">
      <c r="C180" s="33"/>
      <c r="D180" s="33" t="s">
        <v>23</v>
      </c>
      <c r="E180" s="33" t="s">
        <v>4</v>
      </c>
      <c r="F180" s="50"/>
      <c r="G180" s="33"/>
      <c r="H180" s="33"/>
      <c r="I180" s="34"/>
      <c r="J180" s="34"/>
      <c r="L180" s="33"/>
      <c r="M180" s="33"/>
    </row>
    <row r="181" spans="3:13" ht="25.8">
      <c r="C181" s="33"/>
      <c r="D181" s="33" t="s">
        <v>23</v>
      </c>
      <c r="E181" s="33" t="s">
        <v>4</v>
      </c>
      <c r="F181" s="50"/>
      <c r="G181" s="33"/>
      <c r="H181" s="33"/>
      <c r="I181" s="34"/>
      <c r="J181" s="34"/>
      <c r="L181" s="33"/>
      <c r="M181" s="33"/>
    </row>
    <row r="182" spans="3:13" ht="25.8">
      <c r="C182" s="33"/>
      <c r="D182" s="33" t="s">
        <v>23</v>
      </c>
      <c r="E182" s="33" t="s">
        <v>4</v>
      </c>
      <c r="F182" s="50"/>
      <c r="G182" s="33"/>
      <c r="H182" s="33"/>
      <c r="I182" s="34"/>
      <c r="J182" s="34"/>
      <c r="L182" s="33"/>
      <c r="M182" s="33"/>
    </row>
    <row r="183" spans="3:13" ht="25.8">
      <c r="C183" s="33"/>
      <c r="D183" s="33" t="s">
        <v>23</v>
      </c>
      <c r="E183" s="33" t="s">
        <v>4</v>
      </c>
      <c r="F183" s="50"/>
      <c r="G183" s="33"/>
      <c r="H183" s="33"/>
      <c r="I183" s="34"/>
      <c r="J183" s="34"/>
      <c r="L183" s="33"/>
      <c r="M183" s="33"/>
    </row>
    <row r="184" spans="3:13" ht="25.8">
      <c r="C184" s="33"/>
      <c r="D184" s="33" t="s">
        <v>23</v>
      </c>
      <c r="E184" s="33" t="s">
        <v>4</v>
      </c>
      <c r="F184" s="50"/>
      <c r="G184" s="33"/>
      <c r="H184" s="33"/>
      <c r="I184" s="34"/>
      <c r="J184" s="34"/>
      <c r="L184" s="33"/>
      <c r="M184" s="33"/>
    </row>
    <row r="185" spans="3:13" ht="25.8">
      <c r="C185" s="33"/>
      <c r="D185" s="33" t="s">
        <v>23</v>
      </c>
      <c r="E185" s="33" t="s">
        <v>4</v>
      </c>
      <c r="F185" s="50"/>
      <c r="G185" s="33"/>
      <c r="H185" s="33"/>
      <c r="I185" s="34"/>
      <c r="J185" s="34"/>
      <c r="L185" s="33"/>
      <c r="M185" s="33"/>
    </row>
    <row r="186" spans="3:13" ht="25.8">
      <c r="C186" s="33"/>
      <c r="D186" s="33" t="s">
        <v>23</v>
      </c>
      <c r="E186" s="33" t="s">
        <v>4</v>
      </c>
      <c r="F186" s="50"/>
      <c r="G186" s="33"/>
      <c r="H186" s="33"/>
      <c r="I186" s="34"/>
      <c r="J186" s="34"/>
      <c r="L186" s="33"/>
      <c r="M186" s="33"/>
    </row>
    <row r="187" spans="3:13" ht="25.8">
      <c r="C187" s="33"/>
      <c r="D187" s="33" t="s">
        <v>23</v>
      </c>
      <c r="E187" s="33" t="s">
        <v>4</v>
      </c>
      <c r="F187" s="50"/>
      <c r="G187" s="33"/>
      <c r="H187" s="33"/>
      <c r="I187" s="34"/>
      <c r="J187" s="34"/>
      <c r="L187" s="33"/>
      <c r="M187" s="33"/>
    </row>
    <row r="188" spans="3:13" ht="25.8">
      <c r="C188" s="33"/>
      <c r="D188" s="33" t="s">
        <v>23</v>
      </c>
      <c r="E188" s="33" t="s">
        <v>4</v>
      </c>
      <c r="F188" s="50"/>
      <c r="G188" s="33"/>
      <c r="H188" s="33"/>
      <c r="I188" s="34"/>
      <c r="J188" s="34"/>
      <c r="L188" s="33"/>
      <c r="M188" s="33"/>
    </row>
    <row r="189" spans="3:13" ht="25.8">
      <c r="C189" s="33"/>
      <c r="D189" s="33" t="s">
        <v>23</v>
      </c>
      <c r="E189" s="33" t="s">
        <v>4</v>
      </c>
      <c r="F189" s="50"/>
      <c r="G189" s="33"/>
      <c r="H189" s="33"/>
      <c r="I189" s="34"/>
      <c r="J189" s="34"/>
      <c r="L189" s="33"/>
      <c r="M189" s="33"/>
    </row>
    <row r="190" spans="3:13" ht="25.8">
      <c r="C190" s="33"/>
      <c r="D190" s="33" t="s">
        <v>23</v>
      </c>
      <c r="E190" s="33" t="s">
        <v>4</v>
      </c>
      <c r="F190" s="50"/>
      <c r="G190" s="33"/>
      <c r="H190" s="33"/>
      <c r="I190" s="34"/>
      <c r="J190" s="34"/>
      <c r="L190" s="33"/>
      <c r="M190" s="33"/>
    </row>
    <row r="191" spans="3:13" ht="25.8">
      <c r="C191" s="33"/>
      <c r="D191" s="33" t="s">
        <v>23</v>
      </c>
      <c r="E191" s="33" t="s">
        <v>4</v>
      </c>
      <c r="F191" s="50"/>
      <c r="G191" s="33"/>
      <c r="H191" s="33"/>
      <c r="I191" s="34"/>
      <c r="J191" s="34"/>
      <c r="L191" s="33"/>
      <c r="M191" s="33"/>
    </row>
    <row r="192" spans="3:13" ht="25.8">
      <c r="C192" s="33"/>
      <c r="D192" s="33" t="s">
        <v>23</v>
      </c>
      <c r="E192" s="33" t="s">
        <v>4</v>
      </c>
      <c r="F192" s="50"/>
      <c r="G192" s="33"/>
      <c r="H192" s="33"/>
      <c r="I192" s="34"/>
      <c r="J192" s="34"/>
      <c r="L192" s="33"/>
      <c r="M192" s="33"/>
    </row>
    <row r="193" spans="3:13" ht="25.8">
      <c r="C193" s="33"/>
      <c r="D193" s="33" t="s">
        <v>23</v>
      </c>
      <c r="E193" s="33" t="s">
        <v>4</v>
      </c>
      <c r="F193" s="50"/>
      <c r="G193" s="33"/>
      <c r="H193" s="33"/>
      <c r="I193" s="34"/>
      <c r="J193" s="34"/>
      <c r="L193" s="33"/>
      <c r="M193" s="33"/>
    </row>
    <row r="194" spans="3:13" ht="25.8">
      <c r="C194" s="33"/>
      <c r="D194" s="33" t="s">
        <v>23</v>
      </c>
      <c r="E194" s="33" t="s">
        <v>4</v>
      </c>
      <c r="F194" s="50"/>
      <c r="G194" s="33"/>
      <c r="H194" s="33"/>
      <c r="I194" s="34"/>
      <c r="J194" s="34"/>
      <c r="L194" s="33"/>
      <c r="M194" s="33"/>
    </row>
    <row r="195" spans="3:13" ht="25.8">
      <c r="C195" s="33"/>
      <c r="D195" s="33" t="s">
        <v>23</v>
      </c>
      <c r="E195" s="33" t="s">
        <v>4</v>
      </c>
      <c r="F195" s="50"/>
      <c r="G195" s="33"/>
      <c r="H195" s="33"/>
      <c r="I195" s="34"/>
      <c r="J195" s="34"/>
      <c r="L195" s="33"/>
      <c r="M195" s="33"/>
    </row>
    <row r="196" spans="3:13" ht="25.8">
      <c r="C196" s="33"/>
      <c r="D196" s="33" t="s">
        <v>23</v>
      </c>
      <c r="E196" s="33" t="s">
        <v>4</v>
      </c>
      <c r="F196" s="50"/>
      <c r="G196" s="33"/>
      <c r="H196" s="33"/>
      <c r="I196" s="34"/>
      <c r="J196" s="34"/>
      <c r="L196" s="33"/>
      <c r="M196" s="33"/>
    </row>
    <row r="197" spans="3:13" ht="25.8">
      <c r="C197" s="33"/>
      <c r="D197" s="33" t="s">
        <v>23</v>
      </c>
      <c r="E197" s="33" t="s">
        <v>4</v>
      </c>
      <c r="F197" s="50"/>
      <c r="G197" s="33"/>
      <c r="H197" s="33"/>
      <c r="I197" s="34"/>
      <c r="J197" s="34"/>
      <c r="L197" s="33"/>
      <c r="M197" s="33"/>
    </row>
    <row r="198" spans="3:13" ht="25.8">
      <c r="C198" s="33"/>
      <c r="D198" s="33" t="s">
        <v>23</v>
      </c>
      <c r="E198" s="33" t="s">
        <v>4</v>
      </c>
      <c r="F198" s="50"/>
      <c r="G198" s="33"/>
      <c r="H198" s="33"/>
      <c r="I198" s="34"/>
      <c r="J198" s="34"/>
      <c r="L198" s="33"/>
      <c r="M198" s="33"/>
    </row>
    <row r="199" spans="3:13" ht="25.8">
      <c r="C199" s="33"/>
      <c r="D199" s="33" t="s">
        <v>23</v>
      </c>
      <c r="E199" s="33" t="s">
        <v>4</v>
      </c>
      <c r="F199" s="50"/>
      <c r="G199" s="33"/>
      <c r="H199" s="33"/>
      <c r="I199" s="34"/>
      <c r="J199" s="34"/>
      <c r="L199" s="33"/>
      <c r="M199" s="33"/>
    </row>
    <row r="200" spans="3:13" ht="25.8">
      <c r="C200" s="33"/>
      <c r="D200" s="33" t="s">
        <v>23</v>
      </c>
      <c r="E200" s="33" t="s">
        <v>4</v>
      </c>
      <c r="F200" s="50"/>
      <c r="G200" s="33"/>
      <c r="H200" s="33"/>
      <c r="I200" s="34"/>
      <c r="J200" s="34"/>
      <c r="L200" s="33"/>
      <c r="M200" s="33"/>
    </row>
    <row r="201" spans="3:13" ht="25.8">
      <c r="C201" s="33"/>
      <c r="D201" s="33" t="s">
        <v>23</v>
      </c>
      <c r="E201" s="33" t="s">
        <v>4</v>
      </c>
      <c r="F201" s="50"/>
      <c r="G201" s="33"/>
      <c r="H201" s="33"/>
      <c r="I201" s="34"/>
      <c r="J201" s="34"/>
      <c r="L201" s="33"/>
      <c r="M201" s="33"/>
    </row>
    <row r="202" spans="3:13" ht="25.8">
      <c r="C202" s="33"/>
      <c r="D202" s="33" t="s">
        <v>23</v>
      </c>
      <c r="E202" s="33" t="s">
        <v>4</v>
      </c>
      <c r="F202" s="50"/>
      <c r="G202" s="33"/>
      <c r="H202" s="33"/>
      <c r="I202" s="34"/>
      <c r="J202" s="34"/>
      <c r="L202" s="33"/>
      <c r="M202" s="33"/>
    </row>
    <row r="203" spans="3:13" ht="25.8">
      <c r="C203" s="33"/>
      <c r="D203" s="33" t="s">
        <v>23</v>
      </c>
      <c r="E203" s="33" t="s">
        <v>4</v>
      </c>
      <c r="F203" s="50"/>
      <c r="G203" s="33"/>
      <c r="H203" s="33"/>
      <c r="I203" s="34"/>
      <c r="J203" s="34"/>
      <c r="L203" s="33"/>
      <c r="M203" s="33"/>
    </row>
    <row r="204" spans="3:13" ht="25.8">
      <c r="C204" s="33"/>
      <c r="D204" s="33" t="s">
        <v>23</v>
      </c>
      <c r="E204" s="33" t="s">
        <v>4</v>
      </c>
      <c r="F204" s="50"/>
      <c r="G204" s="33"/>
      <c r="H204" s="33"/>
      <c r="I204" s="34"/>
      <c r="J204" s="34"/>
      <c r="L204" s="33"/>
      <c r="M204" s="33"/>
    </row>
    <row r="205" spans="3:13" ht="25.8">
      <c r="C205" s="33"/>
      <c r="D205" s="33" t="s">
        <v>23</v>
      </c>
      <c r="E205" s="33" t="s">
        <v>4</v>
      </c>
      <c r="F205" s="50"/>
      <c r="G205" s="33"/>
      <c r="H205" s="33"/>
      <c r="I205" s="34"/>
      <c r="J205" s="34"/>
      <c r="L205" s="33"/>
      <c r="M205" s="33"/>
    </row>
    <row r="206" spans="3:13" ht="25.8">
      <c r="C206" s="33"/>
      <c r="D206" s="33" t="s">
        <v>23</v>
      </c>
      <c r="E206" s="33" t="s">
        <v>4</v>
      </c>
      <c r="F206" s="50"/>
      <c r="G206" s="33"/>
      <c r="H206" s="33"/>
      <c r="I206" s="34"/>
      <c r="J206" s="34"/>
      <c r="L206" s="33"/>
      <c r="M206" s="33"/>
    </row>
    <row r="207" spans="3:13" ht="25.8">
      <c r="C207" s="33"/>
      <c r="D207" s="33" t="s">
        <v>23</v>
      </c>
      <c r="E207" s="33" t="s">
        <v>4</v>
      </c>
      <c r="F207" s="50"/>
      <c r="G207" s="33"/>
      <c r="H207" s="33"/>
      <c r="I207" s="34"/>
      <c r="J207" s="34"/>
      <c r="L207" s="33"/>
      <c r="M207" s="33"/>
    </row>
    <row r="208" spans="3:13" ht="25.8">
      <c r="C208" s="33"/>
      <c r="D208" s="33" t="s">
        <v>23</v>
      </c>
      <c r="E208" s="33" t="s">
        <v>4</v>
      </c>
      <c r="F208" s="50"/>
      <c r="G208" s="33"/>
      <c r="H208" s="33"/>
      <c r="I208" s="34"/>
      <c r="J208" s="34"/>
      <c r="L208" s="33"/>
      <c r="M208" s="33"/>
    </row>
    <row r="209" spans="3:13" ht="25.8">
      <c r="C209" s="33"/>
      <c r="D209" s="33" t="s">
        <v>23</v>
      </c>
      <c r="E209" s="33" t="s">
        <v>4</v>
      </c>
      <c r="F209" s="50"/>
      <c r="G209" s="33"/>
      <c r="H209" s="33"/>
      <c r="I209" s="34"/>
      <c r="J209" s="34"/>
      <c r="L209" s="33"/>
      <c r="M209" s="33"/>
    </row>
    <row r="210" spans="3:13" ht="25.8">
      <c r="C210" s="33"/>
      <c r="D210" s="33" t="s">
        <v>23</v>
      </c>
      <c r="E210" s="33" t="s">
        <v>4</v>
      </c>
      <c r="F210" s="50"/>
      <c r="G210" s="33"/>
      <c r="H210" s="33"/>
      <c r="I210" s="34"/>
      <c r="J210" s="34"/>
      <c r="L210" s="33"/>
      <c r="M210" s="33"/>
    </row>
    <row r="211" spans="3:13" ht="25.8">
      <c r="C211" s="33"/>
      <c r="D211" s="33" t="s">
        <v>23</v>
      </c>
      <c r="E211" s="33" t="s">
        <v>4</v>
      </c>
      <c r="F211" s="50"/>
      <c r="G211" s="33"/>
      <c r="H211" s="33"/>
      <c r="I211" s="34"/>
      <c r="J211" s="34"/>
      <c r="L211" s="33"/>
      <c r="M211" s="33"/>
    </row>
    <row r="212" spans="3:13" ht="25.8">
      <c r="C212" s="33"/>
      <c r="D212" s="33" t="s">
        <v>23</v>
      </c>
      <c r="E212" s="33" t="s">
        <v>4</v>
      </c>
      <c r="F212" s="50"/>
      <c r="G212" s="33"/>
      <c r="H212" s="33"/>
      <c r="I212" s="34"/>
      <c r="J212" s="34"/>
      <c r="L212" s="33"/>
      <c r="M212" s="33"/>
    </row>
    <row r="213" spans="3:13" ht="25.8">
      <c r="C213" s="33"/>
      <c r="D213" s="33" t="s">
        <v>23</v>
      </c>
      <c r="E213" s="33" t="s">
        <v>4</v>
      </c>
      <c r="F213" s="50"/>
      <c r="G213" s="33"/>
      <c r="H213" s="33"/>
      <c r="I213" s="34"/>
      <c r="J213" s="34"/>
      <c r="L213" s="33"/>
      <c r="M213" s="33"/>
    </row>
    <row r="214" spans="3:13" ht="25.8">
      <c r="C214" s="33"/>
      <c r="D214" s="33" t="s">
        <v>23</v>
      </c>
      <c r="E214" s="33" t="s">
        <v>4</v>
      </c>
      <c r="F214" s="50"/>
      <c r="G214" s="33"/>
      <c r="H214" s="33"/>
      <c r="I214" s="34"/>
      <c r="J214" s="34"/>
      <c r="L214" s="33"/>
      <c r="M214" s="33"/>
    </row>
    <row r="215" spans="3:13" ht="25.8">
      <c r="C215" s="33"/>
      <c r="D215" s="33" t="s">
        <v>23</v>
      </c>
      <c r="E215" s="33" t="s">
        <v>4</v>
      </c>
      <c r="F215" s="50"/>
      <c r="G215" s="33"/>
      <c r="H215" s="33"/>
      <c r="I215" s="34"/>
      <c r="J215" s="34"/>
      <c r="L215" s="33"/>
      <c r="M215" s="33"/>
    </row>
    <row r="216" spans="3:13" ht="25.8">
      <c r="C216" s="33"/>
      <c r="D216" s="33" t="s">
        <v>23</v>
      </c>
      <c r="E216" s="33" t="s">
        <v>4</v>
      </c>
      <c r="F216" s="50"/>
      <c r="G216" s="33"/>
      <c r="H216" s="33"/>
      <c r="I216" s="34"/>
      <c r="J216" s="34"/>
      <c r="L216" s="33"/>
      <c r="M216" s="33"/>
    </row>
    <row r="217" spans="3:13" ht="25.8">
      <c r="C217" s="33"/>
      <c r="D217" s="33" t="s">
        <v>23</v>
      </c>
      <c r="E217" s="33" t="s">
        <v>4</v>
      </c>
      <c r="F217" s="50"/>
      <c r="G217" s="33"/>
      <c r="H217" s="33"/>
      <c r="I217" s="34"/>
      <c r="J217" s="34"/>
      <c r="L217" s="33"/>
      <c r="M217" s="33"/>
    </row>
    <row r="218" spans="3:13" ht="25.8">
      <c r="C218" s="33"/>
      <c r="D218" s="33" t="s">
        <v>23</v>
      </c>
      <c r="E218" s="33" t="s">
        <v>4</v>
      </c>
      <c r="F218" s="50"/>
      <c r="G218" s="33"/>
      <c r="H218" s="33"/>
      <c r="I218" s="34"/>
      <c r="J218" s="34"/>
      <c r="L218" s="33"/>
      <c r="M218" s="33"/>
    </row>
    <row r="219" spans="3:13" ht="25.8">
      <c r="C219" s="33"/>
      <c r="D219" s="33" t="s">
        <v>23</v>
      </c>
      <c r="E219" s="33" t="s">
        <v>4</v>
      </c>
      <c r="F219" s="50"/>
      <c r="G219" s="33"/>
      <c r="H219" s="33"/>
      <c r="I219" s="34"/>
      <c r="J219" s="34"/>
      <c r="L219" s="33"/>
      <c r="M219" s="33"/>
    </row>
    <row r="220" spans="3:13" ht="25.8">
      <c r="C220" s="33"/>
      <c r="D220" s="33" t="s">
        <v>23</v>
      </c>
      <c r="E220" s="33" t="s">
        <v>4</v>
      </c>
      <c r="F220" s="50"/>
      <c r="G220" s="33"/>
      <c r="H220" s="33"/>
      <c r="I220" s="34"/>
      <c r="J220" s="34"/>
      <c r="L220" s="33"/>
      <c r="M220" s="33"/>
    </row>
    <row r="221" spans="3:13" ht="25.8">
      <c r="C221" s="33"/>
      <c r="D221" s="33" t="s">
        <v>23</v>
      </c>
      <c r="E221" s="33" t="s">
        <v>4</v>
      </c>
      <c r="F221" s="50"/>
      <c r="G221" s="33"/>
      <c r="H221" s="33"/>
      <c r="I221" s="34"/>
      <c r="J221" s="34"/>
      <c r="L221" s="33"/>
      <c r="M221" s="33"/>
    </row>
    <row r="222" spans="3:13" ht="25.8">
      <c r="C222" s="33"/>
      <c r="D222" s="33" t="s">
        <v>23</v>
      </c>
      <c r="E222" s="33" t="s">
        <v>4</v>
      </c>
      <c r="F222" s="50"/>
      <c r="G222" s="33"/>
      <c r="H222" s="33"/>
      <c r="I222" s="34"/>
      <c r="J222" s="34"/>
      <c r="L222" s="33"/>
      <c r="M222" s="33"/>
    </row>
    <row r="223" spans="3:13" ht="25.8">
      <c r="C223" s="33"/>
      <c r="D223" s="33" t="s">
        <v>23</v>
      </c>
      <c r="E223" s="33" t="s">
        <v>4</v>
      </c>
      <c r="F223" s="50"/>
      <c r="G223" s="33"/>
      <c r="H223" s="33"/>
      <c r="I223" s="34"/>
      <c r="J223" s="34"/>
      <c r="L223" s="33"/>
      <c r="M223" s="33"/>
    </row>
    <row r="224" spans="3:13" ht="25.8">
      <c r="C224" s="33"/>
      <c r="D224" s="33" t="s">
        <v>23</v>
      </c>
      <c r="E224" s="33" t="s">
        <v>4</v>
      </c>
      <c r="F224" s="50"/>
      <c r="G224" s="33"/>
      <c r="H224" s="33"/>
      <c r="I224" s="34"/>
      <c r="J224" s="34"/>
      <c r="L224" s="33"/>
      <c r="M224" s="33"/>
    </row>
    <row r="225" spans="3:13" ht="25.8">
      <c r="C225" s="33"/>
      <c r="D225" s="33" t="s">
        <v>23</v>
      </c>
      <c r="E225" s="33" t="s">
        <v>4</v>
      </c>
      <c r="F225" s="50"/>
      <c r="G225" s="33"/>
      <c r="H225" s="33"/>
      <c r="I225" s="34"/>
      <c r="J225" s="34"/>
      <c r="L225" s="33"/>
      <c r="M225" s="33"/>
    </row>
    <row r="226" spans="3:13" ht="25.8">
      <c r="C226" s="33"/>
      <c r="D226" s="33" t="s">
        <v>23</v>
      </c>
      <c r="E226" s="33" t="s">
        <v>4</v>
      </c>
      <c r="F226" s="50"/>
      <c r="G226" s="33"/>
      <c r="H226" s="33"/>
      <c r="I226" s="34"/>
      <c r="J226" s="34"/>
      <c r="L226" s="33"/>
      <c r="M226" s="33"/>
    </row>
    <row r="227" spans="3:13" ht="25.8">
      <c r="C227" s="33"/>
      <c r="D227" s="33" t="s">
        <v>23</v>
      </c>
      <c r="E227" s="33" t="s">
        <v>4</v>
      </c>
      <c r="F227" s="50"/>
      <c r="G227" s="33"/>
      <c r="H227" s="33"/>
      <c r="I227" s="34"/>
      <c r="J227" s="34"/>
      <c r="L227" s="33"/>
      <c r="M227" s="33"/>
    </row>
    <row r="228" spans="3:13" ht="25.8">
      <c r="C228" s="33"/>
      <c r="D228" s="33" t="s">
        <v>23</v>
      </c>
      <c r="E228" s="33" t="s">
        <v>4</v>
      </c>
      <c r="F228" s="50"/>
      <c r="G228" s="33"/>
      <c r="H228" s="33"/>
      <c r="I228" s="34"/>
      <c r="J228" s="34"/>
      <c r="L228" s="33"/>
      <c r="M228" s="33"/>
    </row>
    <row r="229" spans="3:13" ht="25.8">
      <c r="C229" s="33"/>
      <c r="D229" s="33" t="s">
        <v>23</v>
      </c>
      <c r="E229" s="33" t="s">
        <v>4</v>
      </c>
      <c r="F229" s="50"/>
      <c r="G229" s="33"/>
      <c r="H229" s="33"/>
      <c r="I229" s="34"/>
      <c r="J229" s="34"/>
      <c r="L229" s="33"/>
      <c r="M229" s="33"/>
    </row>
    <row r="230" spans="3:13" ht="25.8">
      <c r="C230" s="33"/>
      <c r="D230" s="33" t="s">
        <v>23</v>
      </c>
      <c r="E230" s="33" t="s">
        <v>4</v>
      </c>
      <c r="F230" s="50"/>
      <c r="G230" s="33"/>
      <c r="H230" s="33"/>
      <c r="I230" s="34"/>
      <c r="J230" s="34"/>
      <c r="L230" s="33"/>
      <c r="M230" s="33"/>
    </row>
    <row r="231" spans="3:13" ht="25.8">
      <c r="C231" s="33"/>
      <c r="D231" s="33" t="s">
        <v>23</v>
      </c>
      <c r="E231" s="33" t="s">
        <v>4</v>
      </c>
      <c r="F231" s="50"/>
      <c r="G231" s="33"/>
      <c r="H231" s="33"/>
      <c r="I231" s="34"/>
      <c r="J231" s="34"/>
      <c r="L231" s="33"/>
      <c r="M231" s="33"/>
    </row>
    <row r="232" spans="3:13" ht="25.8">
      <c r="C232" s="33"/>
      <c r="D232" s="33" t="s">
        <v>23</v>
      </c>
      <c r="E232" s="33" t="s">
        <v>4</v>
      </c>
      <c r="F232" s="50"/>
      <c r="G232" s="33"/>
      <c r="H232" s="33"/>
      <c r="I232" s="34"/>
      <c r="J232" s="34"/>
      <c r="L232" s="33"/>
      <c r="M232" s="33"/>
    </row>
    <row r="233" spans="3:13" ht="25.8">
      <c r="C233" s="33"/>
      <c r="D233" s="33" t="s">
        <v>23</v>
      </c>
      <c r="E233" s="33" t="s">
        <v>4</v>
      </c>
      <c r="F233" s="50"/>
      <c r="G233" s="33"/>
      <c r="H233" s="33"/>
      <c r="I233" s="34"/>
      <c r="J233" s="34"/>
      <c r="L233" s="33"/>
      <c r="M233" s="33"/>
    </row>
    <row r="234" spans="3:13" ht="25.8">
      <c r="C234" s="33"/>
      <c r="D234" s="33" t="s">
        <v>23</v>
      </c>
      <c r="E234" s="33" t="s">
        <v>4</v>
      </c>
      <c r="F234" s="50"/>
      <c r="G234" s="33"/>
      <c r="H234" s="33"/>
      <c r="I234" s="34"/>
      <c r="J234" s="34"/>
      <c r="L234" s="33"/>
      <c r="M234" s="33"/>
    </row>
    <row r="235" spans="3:13" ht="25.8">
      <c r="C235" s="33"/>
      <c r="D235" s="33" t="s">
        <v>23</v>
      </c>
      <c r="E235" s="33" t="s">
        <v>4</v>
      </c>
      <c r="F235" s="50"/>
      <c r="G235" s="33"/>
      <c r="H235" s="33"/>
      <c r="I235" s="34"/>
      <c r="J235" s="34"/>
      <c r="L235" s="33"/>
      <c r="M235" s="33"/>
    </row>
    <row r="236" spans="3:13" ht="25.8">
      <c r="C236" s="33"/>
      <c r="D236" s="33" t="s">
        <v>23</v>
      </c>
      <c r="E236" s="33" t="s">
        <v>4</v>
      </c>
      <c r="F236" s="50"/>
      <c r="G236" s="33"/>
      <c r="H236" s="33"/>
      <c r="I236" s="34"/>
      <c r="J236" s="34"/>
      <c r="L236" s="33"/>
      <c r="M236" s="33"/>
    </row>
    <row r="237" spans="3:13" ht="25.8">
      <c r="C237" s="33"/>
      <c r="D237" s="33" t="s">
        <v>23</v>
      </c>
      <c r="E237" s="33" t="s">
        <v>4</v>
      </c>
      <c r="F237" s="50"/>
      <c r="G237" s="33"/>
      <c r="H237" s="33"/>
      <c r="I237" s="34"/>
      <c r="J237" s="34"/>
      <c r="L237" s="33"/>
      <c r="M237" s="33"/>
    </row>
    <row r="238" spans="3:13" ht="25.8">
      <c r="C238" s="33"/>
      <c r="D238" s="33" t="s">
        <v>23</v>
      </c>
      <c r="E238" s="33" t="s">
        <v>4</v>
      </c>
      <c r="F238" s="50"/>
      <c r="G238" s="33"/>
      <c r="H238" s="33"/>
      <c r="I238" s="34"/>
      <c r="J238" s="34"/>
      <c r="L238" s="33"/>
      <c r="M238" s="33"/>
    </row>
    <row r="239" spans="3:13" ht="25.8">
      <c r="C239" s="33"/>
      <c r="D239" s="33" t="s">
        <v>23</v>
      </c>
      <c r="E239" s="33" t="s">
        <v>4</v>
      </c>
      <c r="F239" s="50"/>
      <c r="G239" s="33"/>
      <c r="H239" s="33"/>
      <c r="I239" s="34"/>
      <c r="J239" s="34"/>
      <c r="L239" s="33"/>
      <c r="M239" s="33"/>
    </row>
    <row r="240" spans="3:13" ht="25.8">
      <c r="C240" s="33"/>
      <c r="D240" s="33" t="s">
        <v>23</v>
      </c>
      <c r="E240" s="33" t="s">
        <v>4</v>
      </c>
      <c r="F240" s="50"/>
      <c r="G240" s="33"/>
      <c r="H240" s="33"/>
      <c r="I240" s="34"/>
      <c r="J240" s="34"/>
      <c r="L240" s="33"/>
      <c r="M240" s="33"/>
    </row>
    <row r="241" spans="3:13" ht="25.8">
      <c r="C241" s="33"/>
      <c r="D241" s="33" t="s">
        <v>23</v>
      </c>
      <c r="E241" s="33" t="s">
        <v>4</v>
      </c>
      <c r="F241" s="50"/>
      <c r="G241" s="33"/>
      <c r="H241" s="33"/>
      <c r="I241" s="34"/>
      <c r="J241" s="34"/>
      <c r="L241" s="33"/>
      <c r="M241" s="33"/>
    </row>
    <row r="242" spans="3:13" ht="25.8">
      <c r="C242" s="33"/>
      <c r="D242" s="33" t="s">
        <v>23</v>
      </c>
      <c r="E242" s="33" t="s">
        <v>4</v>
      </c>
      <c r="F242" s="50"/>
      <c r="G242" s="33"/>
      <c r="H242" s="33"/>
      <c r="I242" s="34"/>
      <c r="J242" s="34"/>
      <c r="L242" s="33"/>
      <c r="M242" s="33"/>
    </row>
    <row r="243" spans="3:13" ht="25.8">
      <c r="C243" s="33"/>
      <c r="D243" s="33" t="s">
        <v>23</v>
      </c>
      <c r="E243" s="33" t="s">
        <v>4</v>
      </c>
      <c r="F243" s="50"/>
      <c r="G243" s="33"/>
      <c r="H243" s="33"/>
      <c r="I243" s="34"/>
      <c r="J243" s="34"/>
      <c r="L243" s="33"/>
      <c r="M243" s="33"/>
    </row>
    <row r="244" spans="3:13" ht="25.8">
      <c r="C244" s="33"/>
      <c r="D244" s="33" t="s">
        <v>23</v>
      </c>
      <c r="E244" s="33" t="s">
        <v>4</v>
      </c>
      <c r="F244" s="50"/>
      <c r="G244" s="33"/>
      <c r="H244" s="33"/>
      <c r="I244" s="34"/>
      <c r="J244" s="34"/>
      <c r="L244" s="33"/>
      <c r="M244" s="33"/>
    </row>
    <row r="245" spans="3:13" ht="25.8">
      <c r="C245" s="33"/>
      <c r="D245" s="33" t="s">
        <v>23</v>
      </c>
      <c r="E245" s="33" t="s">
        <v>4</v>
      </c>
      <c r="F245" s="50"/>
      <c r="G245" s="33"/>
      <c r="H245" s="33"/>
      <c r="I245" s="34"/>
      <c r="J245" s="34"/>
      <c r="L245" s="33"/>
      <c r="M245" s="33"/>
    </row>
    <row r="246" spans="3:13" ht="25.8">
      <c r="C246" s="33"/>
      <c r="D246" s="33" t="s">
        <v>23</v>
      </c>
      <c r="E246" s="33" t="s">
        <v>4</v>
      </c>
      <c r="F246" s="50"/>
      <c r="G246" s="33"/>
      <c r="H246" s="33"/>
      <c r="I246" s="34"/>
      <c r="J246" s="34"/>
      <c r="L246" s="33"/>
      <c r="M246" s="33"/>
    </row>
    <row r="247" spans="3:13" ht="25.8">
      <c r="C247" s="33"/>
      <c r="D247" s="33" t="s">
        <v>23</v>
      </c>
      <c r="E247" s="33" t="s">
        <v>4</v>
      </c>
      <c r="F247" s="50"/>
      <c r="G247" s="33"/>
      <c r="H247" s="33"/>
      <c r="I247" s="34"/>
      <c r="J247" s="34"/>
      <c r="L247" s="33"/>
      <c r="M247" s="33"/>
    </row>
    <row r="248" spans="3:13" ht="25.8">
      <c r="C248" s="33"/>
      <c r="D248" s="33" t="s">
        <v>23</v>
      </c>
      <c r="E248" s="33" t="s">
        <v>4</v>
      </c>
      <c r="F248" s="50"/>
      <c r="G248" s="33"/>
      <c r="H248" s="33"/>
      <c r="I248" s="34"/>
      <c r="J248" s="34"/>
      <c r="L248" s="33"/>
      <c r="M248" s="33"/>
    </row>
    <row r="249" spans="3:13" ht="25.8">
      <c r="C249" s="33"/>
      <c r="D249" s="33" t="s">
        <v>23</v>
      </c>
      <c r="E249" s="33" t="s">
        <v>4</v>
      </c>
      <c r="F249" s="50"/>
      <c r="G249" s="33"/>
      <c r="H249" s="33"/>
      <c r="I249" s="34"/>
      <c r="J249" s="34"/>
      <c r="L249" s="33"/>
      <c r="M249" s="33"/>
    </row>
    <row r="250" spans="3:13" ht="25.8">
      <c r="C250" s="33"/>
      <c r="D250" s="33" t="s">
        <v>23</v>
      </c>
      <c r="E250" s="33" t="s">
        <v>4</v>
      </c>
      <c r="F250" s="50"/>
      <c r="G250" s="33"/>
      <c r="H250" s="33"/>
      <c r="I250" s="34"/>
      <c r="J250" s="34"/>
      <c r="L250" s="33"/>
      <c r="M250" s="33"/>
    </row>
    <row r="251" spans="3:13" ht="25.8">
      <c r="C251" s="33"/>
      <c r="D251" s="33" t="s">
        <v>23</v>
      </c>
      <c r="E251" s="33" t="s">
        <v>4</v>
      </c>
      <c r="F251" s="50"/>
      <c r="G251" s="33"/>
      <c r="H251" s="33"/>
      <c r="I251" s="34"/>
      <c r="J251" s="34"/>
      <c r="L251" s="33"/>
      <c r="M251" s="33"/>
    </row>
    <row r="252" spans="3:13" ht="25.8">
      <c r="C252" s="33"/>
      <c r="D252" s="33" t="s">
        <v>23</v>
      </c>
      <c r="E252" s="33" t="s">
        <v>4</v>
      </c>
      <c r="F252" s="50"/>
      <c r="G252" s="33"/>
      <c r="H252" s="33"/>
      <c r="I252" s="34"/>
      <c r="J252" s="34"/>
      <c r="L252" s="33"/>
      <c r="M252" s="33"/>
    </row>
    <row r="253" spans="3:13" ht="25.8">
      <c r="C253" s="33"/>
      <c r="D253" s="33" t="s">
        <v>23</v>
      </c>
      <c r="E253" s="33" t="s">
        <v>4</v>
      </c>
      <c r="F253" s="50"/>
      <c r="G253" s="33"/>
      <c r="H253" s="33"/>
      <c r="I253" s="34"/>
      <c r="J253" s="34"/>
      <c r="L253" s="33"/>
      <c r="M253" s="33"/>
    </row>
    <row r="254" spans="3:13" ht="25.8">
      <c r="C254" s="33"/>
      <c r="D254" s="33" t="s">
        <v>23</v>
      </c>
      <c r="E254" s="33" t="s">
        <v>4</v>
      </c>
      <c r="F254" s="50"/>
      <c r="G254" s="33"/>
      <c r="H254" s="33"/>
      <c r="I254" s="34"/>
      <c r="J254" s="34"/>
      <c r="L254" s="33"/>
      <c r="M254" s="33"/>
    </row>
    <row r="255" spans="3:13" ht="25.8">
      <c r="C255" s="33"/>
      <c r="D255" s="33" t="s">
        <v>23</v>
      </c>
      <c r="E255" s="33" t="s">
        <v>4</v>
      </c>
      <c r="F255" s="50"/>
      <c r="G255" s="33"/>
      <c r="H255" s="33"/>
      <c r="I255" s="34"/>
      <c r="J255" s="34"/>
      <c r="L255" s="33"/>
      <c r="M255" s="33"/>
    </row>
    <row r="256" spans="3:13" ht="25.8">
      <c r="C256" s="33"/>
      <c r="D256" s="33" t="s">
        <v>23</v>
      </c>
      <c r="E256" s="33" t="s">
        <v>4</v>
      </c>
      <c r="F256" s="50"/>
      <c r="G256" s="33"/>
      <c r="H256" s="33"/>
      <c r="I256" s="34"/>
      <c r="J256" s="34"/>
      <c r="L256" s="33"/>
      <c r="M256" s="33"/>
    </row>
    <row r="257" spans="3:13" ht="25.8">
      <c r="C257" s="33"/>
      <c r="D257" s="33" t="s">
        <v>23</v>
      </c>
      <c r="E257" s="33" t="s">
        <v>4</v>
      </c>
      <c r="F257" s="50"/>
      <c r="G257" s="33"/>
      <c r="H257" s="33"/>
      <c r="I257" s="34"/>
      <c r="J257" s="34"/>
      <c r="L257" s="33"/>
      <c r="M257" s="33"/>
    </row>
    <row r="258" spans="3:13" ht="25.8">
      <c r="C258" s="33"/>
      <c r="D258" s="33" t="s">
        <v>23</v>
      </c>
      <c r="E258" s="33" t="s">
        <v>4</v>
      </c>
      <c r="F258" s="50"/>
      <c r="G258" s="33"/>
      <c r="H258" s="33"/>
      <c r="I258" s="34"/>
      <c r="J258" s="34"/>
      <c r="L258" s="33"/>
      <c r="M258" s="33"/>
    </row>
    <row r="259" spans="3:13" ht="25.8">
      <c r="C259" s="33"/>
      <c r="D259" s="33" t="s">
        <v>23</v>
      </c>
      <c r="E259" s="33" t="s">
        <v>4</v>
      </c>
      <c r="F259" s="50"/>
      <c r="G259" s="33"/>
      <c r="H259" s="33"/>
      <c r="I259" s="34"/>
      <c r="J259" s="34"/>
      <c r="L259" s="33"/>
      <c r="M259" s="33"/>
    </row>
    <row r="260" spans="3:13" ht="25.8">
      <c r="C260" s="33"/>
      <c r="D260" s="33" t="s">
        <v>23</v>
      </c>
      <c r="E260" s="33" t="s">
        <v>4</v>
      </c>
      <c r="F260" s="50"/>
      <c r="G260" s="33"/>
      <c r="H260" s="33"/>
      <c r="I260" s="34"/>
      <c r="J260" s="34"/>
      <c r="L260" s="33"/>
      <c r="M260" s="33"/>
    </row>
    <row r="261" spans="3:13" ht="25.8">
      <c r="C261" s="33"/>
      <c r="D261" s="33" t="s">
        <v>23</v>
      </c>
      <c r="E261" s="33" t="s">
        <v>4</v>
      </c>
      <c r="F261" s="50"/>
      <c r="G261" s="33"/>
      <c r="H261" s="33"/>
      <c r="I261" s="34"/>
      <c r="J261" s="34"/>
      <c r="L261" s="33"/>
      <c r="M261" s="33"/>
    </row>
    <row r="262" spans="3:13" ht="25.8">
      <c r="C262" s="33"/>
      <c r="D262" s="33" t="s">
        <v>23</v>
      </c>
      <c r="E262" s="33" t="s">
        <v>4</v>
      </c>
      <c r="F262" s="50"/>
      <c r="G262" s="33"/>
      <c r="H262" s="33"/>
      <c r="I262" s="34"/>
      <c r="J262" s="34"/>
      <c r="L262" s="33"/>
      <c r="M262" s="33"/>
    </row>
    <row r="263" spans="3:13" ht="25.8">
      <c r="C263" s="33"/>
      <c r="D263" s="33" t="s">
        <v>23</v>
      </c>
      <c r="E263" s="33" t="s">
        <v>4</v>
      </c>
      <c r="F263" s="50"/>
      <c r="G263" s="33"/>
      <c r="H263" s="33"/>
      <c r="I263" s="34"/>
      <c r="J263" s="34"/>
      <c r="L263" s="33"/>
      <c r="M263" s="33"/>
    </row>
    <row r="264" spans="3:13" ht="25.8">
      <c r="C264" s="33"/>
      <c r="D264" s="33" t="s">
        <v>23</v>
      </c>
      <c r="E264" s="33" t="s">
        <v>4</v>
      </c>
      <c r="F264" s="50"/>
      <c r="G264" s="33"/>
      <c r="H264" s="33"/>
      <c r="I264" s="34"/>
      <c r="J264" s="34"/>
      <c r="L264" s="33"/>
      <c r="M264" s="33"/>
    </row>
    <row r="265" spans="3:13" ht="25.8">
      <c r="C265" s="33"/>
      <c r="D265" s="33" t="s">
        <v>23</v>
      </c>
      <c r="E265" s="33" t="s">
        <v>4</v>
      </c>
      <c r="F265" s="50"/>
      <c r="G265" s="33"/>
      <c r="H265" s="33"/>
      <c r="I265" s="34"/>
      <c r="J265" s="34"/>
      <c r="L265" s="33"/>
      <c r="M265" s="33"/>
    </row>
    <row r="266" spans="3:13" ht="25.8">
      <c r="C266" s="33"/>
      <c r="D266" s="33" t="s">
        <v>23</v>
      </c>
      <c r="E266" s="33" t="s">
        <v>4</v>
      </c>
      <c r="F266" s="50"/>
      <c r="G266" s="33"/>
      <c r="H266" s="33"/>
      <c r="I266" s="34"/>
      <c r="J266" s="34"/>
      <c r="L266" s="33"/>
      <c r="M266" s="33"/>
    </row>
    <row r="267" spans="3:13" ht="25.8">
      <c r="C267" s="33"/>
      <c r="D267" s="33" t="s">
        <v>23</v>
      </c>
      <c r="E267" s="33" t="s">
        <v>4</v>
      </c>
      <c r="F267" s="50"/>
      <c r="G267" s="33"/>
      <c r="H267" s="33"/>
      <c r="I267" s="34"/>
      <c r="J267" s="34"/>
      <c r="L267" s="33"/>
      <c r="M267" s="33"/>
    </row>
    <row r="268" spans="3:13" ht="25.8">
      <c r="C268" s="33"/>
      <c r="D268" s="33" t="s">
        <v>23</v>
      </c>
      <c r="E268" s="33" t="s">
        <v>4</v>
      </c>
      <c r="F268" s="50"/>
      <c r="G268" s="33"/>
      <c r="H268" s="33"/>
      <c r="I268" s="34"/>
      <c r="J268" s="34"/>
      <c r="L268" s="33"/>
      <c r="M268" s="33"/>
    </row>
    <row r="269" spans="3:13" ht="25.8">
      <c r="C269" s="33"/>
      <c r="D269" s="33" t="s">
        <v>23</v>
      </c>
      <c r="E269" s="33" t="s">
        <v>4</v>
      </c>
      <c r="F269" s="50"/>
      <c r="G269" s="33"/>
      <c r="H269" s="33"/>
      <c r="I269" s="34"/>
      <c r="J269" s="34"/>
      <c r="L269" s="33"/>
      <c r="M269" s="33"/>
    </row>
    <row r="270" spans="3:13" ht="25.8">
      <c r="C270" s="33"/>
      <c r="D270" s="33" t="s">
        <v>23</v>
      </c>
      <c r="E270" s="33" t="s">
        <v>4</v>
      </c>
      <c r="F270" s="50"/>
      <c r="G270" s="33"/>
      <c r="H270" s="33"/>
      <c r="I270" s="34"/>
      <c r="J270" s="34"/>
      <c r="L270" s="33"/>
      <c r="M270" s="33"/>
    </row>
    <row r="271" spans="3:13" ht="25.8">
      <c r="C271" s="33"/>
      <c r="D271" s="33" t="s">
        <v>23</v>
      </c>
      <c r="E271" s="33" t="s">
        <v>4</v>
      </c>
      <c r="F271" s="50"/>
      <c r="G271" s="33"/>
      <c r="H271" s="33"/>
      <c r="I271" s="34"/>
      <c r="J271" s="34"/>
      <c r="L271" s="33"/>
      <c r="M271" s="33"/>
    </row>
    <row r="272" spans="3:13" ht="25.8">
      <c r="C272" s="33"/>
      <c r="D272" s="33" t="s">
        <v>23</v>
      </c>
      <c r="E272" s="33" t="s">
        <v>4</v>
      </c>
      <c r="F272" s="50"/>
      <c r="G272" s="33"/>
      <c r="H272" s="33"/>
      <c r="I272" s="34"/>
      <c r="J272" s="34"/>
      <c r="L272" s="33"/>
      <c r="M272" s="33"/>
    </row>
    <row r="273" spans="3:13" ht="25.8">
      <c r="C273" s="33"/>
      <c r="D273" s="33" t="s">
        <v>23</v>
      </c>
      <c r="E273" s="33" t="s">
        <v>4</v>
      </c>
      <c r="F273" s="50"/>
      <c r="G273" s="33"/>
      <c r="H273" s="33"/>
      <c r="I273" s="34"/>
      <c r="J273" s="34"/>
      <c r="L273" s="33"/>
      <c r="M273" s="33"/>
    </row>
    <row r="274" spans="3:13" ht="25.8">
      <c r="C274" s="33"/>
      <c r="D274" s="33" t="s">
        <v>23</v>
      </c>
      <c r="E274" s="33" t="s">
        <v>4</v>
      </c>
      <c r="F274" s="50"/>
      <c r="G274" s="33"/>
      <c r="H274" s="33"/>
      <c r="I274" s="34"/>
      <c r="J274" s="34"/>
      <c r="L274" s="33"/>
      <c r="M274" s="33"/>
    </row>
    <row r="275" spans="3:13" ht="25.8">
      <c r="C275" s="33"/>
      <c r="D275" s="33" t="s">
        <v>23</v>
      </c>
      <c r="E275" s="33" t="s">
        <v>4</v>
      </c>
      <c r="F275" s="50"/>
      <c r="G275" s="33"/>
      <c r="H275" s="33"/>
      <c r="I275" s="34"/>
      <c r="J275" s="34"/>
      <c r="L275" s="33"/>
      <c r="M275" s="33"/>
    </row>
    <row r="276" spans="3:13" ht="25.8">
      <c r="C276" s="33"/>
      <c r="D276" s="33" t="s">
        <v>23</v>
      </c>
      <c r="E276" s="33" t="s">
        <v>4</v>
      </c>
      <c r="F276" s="50"/>
      <c r="G276" s="33"/>
      <c r="H276" s="33"/>
      <c r="I276" s="34"/>
      <c r="J276" s="34"/>
      <c r="L276" s="33"/>
      <c r="M276" s="33"/>
    </row>
    <row r="277" spans="3:13" ht="25.8">
      <c r="C277" s="33"/>
      <c r="D277" s="33" t="s">
        <v>23</v>
      </c>
      <c r="E277" s="33" t="s">
        <v>4</v>
      </c>
      <c r="F277" s="50"/>
      <c r="G277" s="33"/>
      <c r="H277" s="33"/>
      <c r="I277" s="34"/>
      <c r="J277" s="34"/>
      <c r="L277" s="33"/>
      <c r="M277" s="33"/>
    </row>
    <row r="278" spans="3:13" ht="25.8">
      <c r="C278" s="33"/>
      <c r="D278" s="33" t="s">
        <v>23</v>
      </c>
      <c r="E278" s="33" t="s">
        <v>4</v>
      </c>
      <c r="F278" s="50"/>
      <c r="G278" s="33"/>
      <c r="H278" s="33"/>
      <c r="I278" s="34"/>
      <c r="J278" s="34"/>
      <c r="L278" s="33"/>
      <c r="M278" s="33"/>
    </row>
    <row r="279" spans="3:13" ht="25.8">
      <c r="C279" s="33"/>
      <c r="D279" s="33" t="s">
        <v>23</v>
      </c>
      <c r="E279" s="33" t="s">
        <v>4</v>
      </c>
      <c r="F279" s="50"/>
      <c r="G279" s="33"/>
      <c r="H279" s="33"/>
      <c r="I279" s="34"/>
      <c r="J279" s="34"/>
      <c r="L279" s="33"/>
      <c r="M279" s="33"/>
    </row>
    <row r="280" spans="3:13" ht="25.8">
      <c r="C280" s="33"/>
      <c r="D280" s="33" t="s">
        <v>23</v>
      </c>
      <c r="E280" s="33" t="s">
        <v>4</v>
      </c>
      <c r="F280" s="50"/>
      <c r="G280" s="33"/>
      <c r="H280" s="33"/>
      <c r="I280" s="34"/>
      <c r="J280" s="34"/>
      <c r="L280" s="33"/>
      <c r="M280" s="33"/>
    </row>
    <row r="281" spans="3:13" ht="25.8">
      <c r="C281" s="33"/>
      <c r="D281" s="33" t="s">
        <v>23</v>
      </c>
      <c r="E281" s="33" t="s">
        <v>4</v>
      </c>
      <c r="F281" s="50"/>
      <c r="G281" s="33"/>
      <c r="H281" s="33"/>
      <c r="I281" s="34"/>
      <c r="J281" s="34"/>
      <c r="L281" s="33"/>
      <c r="M281" s="33"/>
    </row>
    <row r="282" spans="3:13" ht="25.8">
      <c r="C282" s="33"/>
      <c r="D282" s="33" t="s">
        <v>23</v>
      </c>
      <c r="E282" s="33" t="s">
        <v>4</v>
      </c>
      <c r="F282" s="50"/>
      <c r="G282" s="33"/>
      <c r="H282" s="33"/>
      <c r="I282" s="34"/>
      <c r="J282" s="34"/>
      <c r="L282" s="33"/>
      <c r="M282" s="33"/>
    </row>
    <row r="283" spans="3:13" ht="25.8">
      <c r="C283" s="33"/>
      <c r="D283" s="33" t="s">
        <v>23</v>
      </c>
      <c r="E283" s="33" t="s">
        <v>4</v>
      </c>
      <c r="F283" s="50"/>
      <c r="G283" s="33"/>
      <c r="H283" s="33"/>
      <c r="I283" s="34"/>
      <c r="J283" s="34"/>
      <c r="L283" s="33"/>
      <c r="M283" s="33"/>
    </row>
    <row r="284" spans="3:13" ht="25.8">
      <c r="C284" s="33"/>
      <c r="D284" s="33" t="s">
        <v>23</v>
      </c>
      <c r="E284" s="33" t="s">
        <v>4</v>
      </c>
      <c r="F284" s="50"/>
      <c r="G284" s="33"/>
      <c r="H284" s="33"/>
      <c r="I284" s="34"/>
      <c r="J284" s="34"/>
      <c r="L284" s="33"/>
      <c r="M284" s="33"/>
    </row>
    <row r="285" spans="3:13" ht="25.8">
      <c r="C285" s="33"/>
      <c r="D285" s="33" t="s">
        <v>23</v>
      </c>
      <c r="E285" s="33" t="s">
        <v>4</v>
      </c>
      <c r="F285" s="50"/>
      <c r="G285" s="33"/>
      <c r="H285" s="33"/>
      <c r="I285" s="34"/>
      <c r="J285" s="34"/>
      <c r="L285" s="33"/>
      <c r="M285" s="33"/>
    </row>
    <row r="286" spans="3:13" ht="25.8">
      <c r="C286" s="33"/>
      <c r="D286" s="33" t="s">
        <v>23</v>
      </c>
      <c r="E286" s="33" t="s">
        <v>4</v>
      </c>
      <c r="F286" s="50"/>
      <c r="G286" s="33"/>
      <c r="H286" s="33"/>
      <c r="I286" s="34"/>
      <c r="J286" s="34"/>
      <c r="L286" s="33"/>
      <c r="M286" s="33"/>
    </row>
    <row r="287" spans="3:13" ht="25.8">
      <c r="C287" s="33"/>
      <c r="D287" s="33" t="s">
        <v>23</v>
      </c>
      <c r="E287" s="33" t="s">
        <v>4</v>
      </c>
      <c r="F287" s="50"/>
      <c r="G287" s="33"/>
      <c r="H287" s="33"/>
      <c r="I287" s="34"/>
      <c r="J287" s="34"/>
      <c r="L287" s="33"/>
      <c r="M287" s="33"/>
    </row>
    <row r="288" spans="3:13" ht="25.8">
      <c r="C288" s="33"/>
      <c r="D288" s="33" t="s">
        <v>23</v>
      </c>
      <c r="E288" s="33" t="s">
        <v>4</v>
      </c>
      <c r="F288" s="50"/>
      <c r="G288" s="33"/>
      <c r="H288" s="33"/>
      <c r="I288" s="34"/>
      <c r="J288" s="34"/>
      <c r="L288" s="33"/>
      <c r="M288" s="33"/>
    </row>
    <row r="289" spans="3:13" ht="25.8">
      <c r="C289" s="33"/>
      <c r="D289" s="33" t="s">
        <v>23</v>
      </c>
      <c r="E289" s="33" t="s">
        <v>4</v>
      </c>
      <c r="F289" s="50"/>
      <c r="G289" s="33"/>
      <c r="H289" s="33"/>
      <c r="I289" s="34"/>
      <c r="J289" s="34"/>
      <c r="L289" s="33"/>
      <c r="M289" s="33"/>
    </row>
    <row r="290" spans="3:13" ht="25.8">
      <c r="C290" s="33"/>
      <c r="D290" s="33" t="s">
        <v>23</v>
      </c>
      <c r="E290" s="33" t="s">
        <v>4</v>
      </c>
      <c r="F290" s="50"/>
      <c r="G290" s="33"/>
      <c r="H290" s="33"/>
      <c r="I290" s="34"/>
      <c r="J290" s="34"/>
      <c r="L290" s="33"/>
      <c r="M290" s="33"/>
    </row>
    <row r="291" spans="3:13" ht="25.8">
      <c r="C291" s="33"/>
      <c r="D291" s="33" t="s">
        <v>23</v>
      </c>
      <c r="E291" s="33" t="s">
        <v>4</v>
      </c>
      <c r="F291" s="50"/>
      <c r="G291" s="33"/>
      <c r="H291" s="33"/>
      <c r="I291" s="34"/>
      <c r="J291" s="34"/>
      <c r="L291" s="33"/>
      <c r="M291" s="33"/>
    </row>
    <row r="292" spans="3:13" ht="25.8">
      <c r="C292" s="33"/>
      <c r="D292" s="33" t="s">
        <v>23</v>
      </c>
      <c r="E292" s="33" t="s">
        <v>4</v>
      </c>
      <c r="F292" s="50"/>
      <c r="G292" s="33"/>
      <c r="H292" s="33"/>
      <c r="I292" s="34"/>
      <c r="J292" s="34"/>
      <c r="L292" s="33"/>
      <c r="M292" s="33"/>
    </row>
    <row r="293" spans="3:13" ht="25.8">
      <c r="C293" s="33"/>
      <c r="D293" s="33" t="s">
        <v>23</v>
      </c>
      <c r="E293" s="33" t="s">
        <v>4</v>
      </c>
      <c r="F293" s="50"/>
      <c r="G293" s="33"/>
      <c r="H293" s="33"/>
      <c r="I293" s="34"/>
      <c r="J293" s="34"/>
      <c r="L293" s="33"/>
      <c r="M293" s="33"/>
    </row>
    <row r="294" spans="3:13" ht="25.8">
      <c r="C294" s="33"/>
      <c r="D294" s="33" t="s">
        <v>23</v>
      </c>
      <c r="E294" s="33" t="s">
        <v>4</v>
      </c>
      <c r="F294" s="50"/>
      <c r="G294" s="33"/>
      <c r="H294" s="33"/>
      <c r="I294" s="34"/>
      <c r="J294" s="34"/>
      <c r="L294" s="33"/>
      <c r="M294" s="33"/>
    </row>
    <row r="295" spans="3:13" ht="25.8">
      <c r="C295" s="33"/>
      <c r="D295" s="33" t="s">
        <v>23</v>
      </c>
      <c r="E295" s="33" t="s">
        <v>4</v>
      </c>
      <c r="F295" s="50"/>
      <c r="G295" s="33"/>
      <c r="H295" s="33"/>
      <c r="I295" s="34"/>
      <c r="J295" s="34"/>
      <c r="L295" s="33"/>
      <c r="M295" s="33"/>
    </row>
    <row r="296" spans="3:13" ht="25.8">
      <c r="C296" s="33"/>
      <c r="D296" s="33" t="s">
        <v>23</v>
      </c>
      <c r="E296" s="33" t="s">
        <v>4</v>
      </c>
      <c r="F296" s="50"/>
      <c r="G296" s="33"/>
      <c r="H296" s="33"/>
      <c r="I296" s="34"/>
      <c r="J296" s="34"/>
      <c r="L296" s="33"/>
      <c r="M296" s="33"/>
    </row>
    <row r="297" spans="3:13" ht="25.8">
      <c r="C297" s="33"/>
      <c r="D297" s="33" t="s">
        <v>23</v>
      </c>
      <c r="E297" s="33" t="s">
        <v>4</v>
      </c>
      <c r="F297" s="50"/>
      <c r="G297" s="33"/>
      <c r="H297" s="33"/>
      <c r="I297" s="34"/>
      <c r="J297" s="34"/>
      <c r="L297" s="33"/>
      <c r="M297" s="33"/>
    </row>
    <row r="298" spans="3:13" ht="25.8">
      <c r="C298" s="33"/>
      <c r="D298" s="33" t="s">
        <v>23</v>
      </c>
      <c r="E298" s="33" t="s">
        <v>4</v>
      </c>
      <c r="F298" s="50"/>
      <c r="G298" s="33"/>
      <c r="H298" s="33"/>
      <c r="I298" s="34"/>
      <c r="J298" s="34"/>
      <c r="L298" s="33"/>
      <c r="M298" s="33"/>
    </row>
    <row r="299" spans="3:13" ht="25.8">
      <c r="C299" s="33"/>
      <c r="D299" s="33" t="s">
        <v>23</v>
      </c>
      <c r="E299" s="33" t="s">
        <v>4</v>
      </c>
      <c r="F299" s="50"/>
      <c r="G299" s="33"/>
      <c r="H299" s="33"/>
      <c r="I299" s="34"/>
      <c r="J299" s="34"/>
      <c r="L299" s="33"/>
      <c r="M299" s="33"/>
    </row>
    <row r="300" spans="3:13" ht="25.8">
      <c r="C300" s="33"/>
      <c r="D300" s="33" t="s">
        <v>23</v>
      </c>
      <c r="E300" s="33" t="s">
        <v>4</v>
      </c>
      <c r="F300" s="50"/>
      <c r="G300" s="33"/>
      <c r="H300" s="33"/>
      <c r="I300" s="34"/>
      <c r="J300" s="34"/>
      <c r="L300" s="33"/>
      <c r="M300" s="33"/>
    </row>
  </sheetData>
  <mergeCells count="3">
    <mergeCell ref="C2:J4"/>
    <mergeCell ref="L3:M4"/>
    <mergeCell ref="C5:J5"/>
  </mergeCells>
  <phoneticPr fontId="29" type="noConversion"/>
  <conditionalFormatting sqref="F1:F1048576">
    <cfRule type="containsText" dxfId="55" priority="3" operator="containsText" text="Blue +">
      <formula>NOT(ISERROR(SEARCH("Blue +",F1)))</formula>
    </cfRule>
    <cfRule type="containsText" dxfId="54" priority="4" operator="containsText" text="Purple">
      <formula>NOT(ISERROR(SEARCH("Purple",F1)))</formula>
    </cfRule>
    <cfRule type="containsText" dxfId="53" priority="5" operator="containsText" text="Black">
      <formula>NOT(ISERROR(SEARCH("Black",F1)))</formula>
    </cfRule>
    <cfRule type="containsText" dxfId="52" priority="6" operator="containsText" text="Dark Blue">
      <formula>NOT(ISERROR(SEARCH("Dark Blue",F1)))</formula>
    </cfRule>
    <cfRule type="containsText" dxfId="51" priority="7" operator="containsText" text="Gray">
      <formula>NOT(ISERROR(SEARCH("Gray",F1)))</formula>
    </cfRule>
    <cfRule type="containsText" dxfId="50" priority="8" operator="containsText" text="Red">
      <formula>NOT(ISERROR(SEARCH("Red",F1)))</formula>
    </cfRule>
    <cfRule type="containsText" dxfId="49" priority="9" operator="containsText" text="Green">
      <formula>NOT(ISERROR(SEARCH("Green",F1)))</formula>
    </cfRule>
    <cfRule type="containsText" dxfId="48" priority="10" operator="containsText" text="Blue">
      <formula>NOT(ISERROR(SEARCH("Blue",F1)))</formula>
    </cfRule>
  </conditionalFormatting>
  <conditionalFormatting sqref="J1:J1048576">
    <cfRule type="beginsWith" dxfId="47" priority="2" operator="beginsWith" text="0">
      <formula>LEFT(J1,LEN("0"))="0"</formula>
    </cfRule>
  </conditionalFormatting>
  <conditionalFormatting sqref="I1:I1048576">
    <cfRule type="beginsWith" dxfId="46" priority="1" operator="beginsWith" text="0">
      <formula>LEFT(I1,LEN("0"))="0"</formula>
    </cfRule>
  </conditionalFormatting>
  <dataValidations count="4">
    <dataValidation type="list" allowBlank="1" showInputMessage="1" showErrorMessage="1" sqref="E7:E300" xr:uid="{00000000-0002-0000-0500-000000000000}">
      <formula1>"Koptimix"</formula1>
    </dataValidation>
    <dataValidation type="list" allowBlank="1" showInputMessage="1" showErrorMessage="1" sqref="D7:D300" xr:uid="{00000000-0002-0000-0500-000001000000}">
      <formula1>" Lable"</formula1>
    </dataValidation>
    <dataValidation type="list" allowBlank="1" showInputMessage="1" showErrorMessage="1" sqref="G7:G14" xr:uid="{00000000-0002-0000-0500-000002000000}">
      <formula1>"160x240"</formula1>
    </dataValidation>
    <dataValidation type="list" allowBlank="1" showInputMessage="1" showErrorMessage="1" sqref="F7:F1048576 F2:F5" xr:uid="{00000000-0002-0000-0500-000003000000}">
      <formula1>"Blue, Green,Gray,Dark Blue,Black,Purple,Red,Blue+"</formula1>
    </dataValidation>
  </dataValidations>
  <pageMargins left="0.75" right="0.75" top="1" bottom="1" header="0.5" footer="0.5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theme="1"/>
  </sheetPr>
  <dimension ref="C2:M300"/>
  <sheetViews>
    <sheetView zoomScale="70" zoomScaleNormal="70" workbookViewId="0">
      <selection activeCell="C7" sqref="C7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2" spans="3:13" ht="25.8">
      <c r="C2" s="141" t="s">
        <v>66</v>
      </c>
      <c r="D2" s="141"/>
      <c r="E2" s="141"/>
      <c r="F2" s="141"/>
      <c r="G2" s="141"/>
      <c r="H2" s="141"/>
      <c r="I2" s="141"/>
      <c r="J2" s="141"/>
      <c r="K2" s="1"/>
    </row>
    <row r="3" spans="3:13" ht="27.75" customHeight="1">
      <c r="C3" s="141"/>
      <c r="D3" s="141"/>
      <c r="E3" s="141"/>
      <c r="F3" s="141"/>
      <c r="G3" s="141"/>
      <c r="H3" s="141"/>
      <c r="I3" s="141"/>
      <c r="J3" s="141"/>
      <c r="K3" s="1"/>
      <c r="L3" s="134" t="s">
        <v>16</v>
      </c>
      <c r="M3" s="134"/>
    </row>
    <row r="4" spans="3:13" ht="27.75" customHeight="1">
      <c r="C4" s="141"/>
      <c r="D4" s="141"/>
      <c r="E4" s="141"/>
      <c r="F4" s="141"/>
      <c r="G4" s="141"/>
      <c r="H4" s="141"/>
      <c r="I4" s="141"/>
      <c r="J4" s="141"/>
      <c r="K4" s="1"/>
      <c r="L4" s="135"/>
      <c r="M4" s="135"/>
    </row>
    <row r="5" spans="3:13" ht="25.8">
      <c r="C5" s="136"/>
      <c r="D5" s="136"/>
      <c r="E5" s="136"/>
      <c r="F5" s="136"/>
      <c r="G5" s="136"/>
      <c r="H5" s="136"/>
      <c r="I5" s="136"/>
      <c r="J5" s="136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49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33" t="s">
        <v>23</v>
      </c>
      <c r="E7" s="33" t="s">
        <v>65</v>
      </c>
      <c r="F7" s="53" t="s">
        <v>37</v>
      </c>
      <c r="G7" s="33" t="s">
        <v>26</v>
      </c>
      <c r="H7" s="33" t="s">
        <v>86</v>
      </c>
      <c r="I7" s="33">
        <v>31</v>
      </c>
      <c r="J7" s="33">
        <v>31</v>
      </c>
      <c r="K7" s="1"/>
      <c r="L7" s="33"/>
      <c r="M7" s="33"/>
    </row>
    <row r="8" spans="3:13" ht="25.8">
      <c r="C8" s="35"/>
      <c r="D8" s="33"/>
      <c r="E8" s="33"/>
      <c r="F8" s="53"/>
      <c r="G8" s="33"/>
      <c r="H8" s="33"/>
      <c r="I8" s="33"/>
      <c r="J8" s="33"/>
      <c r="K8" s="1"/>
      <c r="L8" s="33"/>
      <c r="M8" s="33"/>
    </row>
    <row r="9" spans="3:13" ht="25.8">
      <c r="C9" s="57"/>
      <c r="D9" s="33"/>
      <c r="E9" s="33"/>
      <c r="F9" s="53"/>
      <c r="G9" s="33"/>
      <c r="H9" s="33"/>
      <c r="I9" s="33"/>
      <c r="J9" s="33"/>
      <c r="K9" s="1"/>
      <c r="L9" s="33"/>
      <c r="M9" s="33"/>
    </row>
    <row r="10" spans="3:13" ht="25.8">
      <c r="C10" s="35"/>
      <c r="D10" s="33"/>
      <c r="E10" s="33"/>
      <c r="F10" s="53"/>
      <c r="G10" s="33"/>
      <c r="H10" s="33"/>
      <c r="I10" s="33"/>
      <c r="J10" s="33"/>
      <c r="K10" s="1"/>
      <c r="L10" s="33"/>
      <c r="M10" s="33"/>
    </row>
    <row r="11" spans="3:13" ht="25.8">
      <c r="C11" s="57"/>
      <c r="D11" s="33"/>
      <c r="E11" s="33"/>
      <c r="F11" s="53"/>
      <c r="G11" s="33"/>
      <c r="H11" s="33"/>
      <c r="I11" s="33"/>
      <c r="J11" s="33"/>
      <c r="K11" s="1"/>
      <c r="L11" s="33"/>
      <c r="M11" s="33"/>
    </row>
    <row r="12" spans="3:13" ht="25.8">
      <c r="C12" s="35"/>
      <c r="D12" s="33"/>
      <c r="E12" s="33"/>
      <c r="F12" s="53"/>
      <c r="G12" s="33"/>
      <c r="H12" s="33"/>
      <c r="I12" s="33"/>
      <c r="J12" s="33"/>
      <c r="K12" s="1"/>
      <c r="L12" s="33"/>
      <c r="M12" s="33"/>
    </row>
    <row r="13" spans="3:13" ht="25.8">
      <c r="C13" s="57"/>
      <c r="D13" s="33"/>
      <c r="E13" s="33"/>
      <c r="F13" s="53"/>
      <c r="G13" s="33"/>
      <c r="H13" s="33"/>
      <c r="I13" s="33"/>
      <c r="J13" s="33"/>
      <c r="K13" s="1"/>
      <c r="L13" s="33"/>
      <c r="M13" s="33"/>
    </row>
    <row r="14" spans="3:13" ht="25.8">
      <c r="C14" s="35"/>
      <c r="D14" s="33"/>
      <c r="E14" s="33"/>
      <c r="F14" s="53"/>
      <c r="G14" s="33"/>
      <c r="H14" s="33"/>
      <c r="I14" s="33"/>
      <c r="J14" s="33"/>
      <c r="K14" s="1"/>
      <c r="L14" s="33"/>
      <c r="M14" s="33"/>
    </row>
    <row r="15" spans="3:13" ht="25.8">
      <c r="C15" s="57"/>
      <c r="D15" s="33"/>
      <c r="E15" s="33"/>
      <c r="F15" s="48"/>
      <c r="G15" s="33"/>
      <c r="H15" s="48"/>
      <c r="I15" s="48"/>
      <c r="J15" s="48"/>
      <c r="K15" s="1"/>
      <c r="L15" s="48"/>
      <c r="M15" s="48"/>
    </row>
    <row r="16" spans="3:13" ht="25.8">
      <c r="C16" s="57"/>
      <c r="D16" s="33"/>
      <c r="E16" s="33"/>
      <c r="F16" s="48"/>
      <c r="G16" s="33"/>
      <c r="H16" s="48"/>
      <c r="I16" s="48"/>
      <c r="J16" s="48"/>
      <c r="K16" s="1"/>
      <c r="L16" s="48"/>
      <c r="M16" s="48"/>
    </row>
    <row r="17" spans="3:13" ht="25.8">
      <c r="C17" s="57"/>
      <c r="D17" s="33"/>
      <c r="E17" s="33"/>
      <c r="F17" s="48"/>
      <c r="G17" s="33"/>
      <c r="H17" s="48"/>
      <c r="I17" s="48"/>
      <c r="J17" s="48"/>
      <c r="K17" s="1"/>
      <c r="L17" s="48"/>
      <c r="M17" s="48"/>
    </row>
    <row r="18" spans="3:13" ht="25.8">
      <c r="C18" s="57"/>
      <c r="D18" s="33"/>
      <c r="E18" s="33"/>
      <c r="F18" s="48"/>
      <c r="G18" s="33"/>
      <c r="H18" s="48"/>
      <c r="I18" s="48"/>
      <c r="J18" s="48"/>
      <c r="K18" s="1"/>
      <c r="L18" s="48"/>
      <c r="M18" s="48"/>
    </row>
    <row r="19" spans="3:13" ht="25.8">
      <c r="C19" s="57"/>
      <c r="D19" s="33"/>
      <c r="E19" s="33"/>
      <c r="F19" s="48"/>
      <c r="G19" s="33"/>
      <c r="H19" s="48"/>
      <c r="I19" s="48"/>
      <c r="J19" s="48"/>
      <c r="K19" s="1"/>
      <c r="L19" s="48"/>
      <c r="M19" s="48"/>
    </row>
    <row r="20" spans="3:13" ht="25.8">
      <c r="C20" s="57"/>
      <c r="D20" s="33"/>
      <c r="E20" s="33"/>
      <c r="F20" s="48"/>
      <c r="G20" s="33"/>
      <c r="H20" s="48"/>
      <c r="I20" s="48"/>
      <c r="J20" s="48"/>
      <c r="K20" s="1"/>
      <c r="L20" s="48"/>
      <c r="M20" s="48"/>
    </row>
    <row r="21" spans="3:13" ht="26.25" customHeight="1">
      <c r="C21" s="35"/>
      <c r="D21" s="33"/>
      <c r="E21" s="33"/>
      <c r="F21" s="53"/>
      <c r="G21" s="33"/>
      <c r="H21" s="33"/>
      <c r="I21" s="33"/>
      <c r="J21" s="33"/>
      <c r="K21" s="1"/>
      <c r="L21" s="33"/>
      <c r="M21" s="33"/>
    </row>
    <row r="22" spans="3:13" ht="26.25" customHeight="1">
      <c r="C22" s="35"/>
      <c r="D22" s="33"/>
      <c r="E22" s="33"/>
      <c r="F22" s="53"/>
      <c r="G22" s="33"/>
      <c r="H22" s="33"/>
      <c r="I22" s="33"/>
      <c r="J22" s="33"/>
      <c r="K22" s="1"/>
      <c r="L22" s="33"/>
      <c r="M22" s="33"/>
    </row>
    <row r="23" spans="3:13" ht="26.25" customHeight="1">
      <c r="C23" s="35"/>
      <c r="D23" s="33"/>
      <c r="E23" s="33"/>
      <c r="F23" s="53"/>
      <c r="G23" s="33"/>
      <c r="H23" s="33"/>
      <c r="I23" s="33"/>
      <c r="J23" s="33"/>
      <c r="K23" s="1"/>
      <c r="L23" s="33"/>
      <c r="M23" s="33"/>
    </row>
    <row r="24" spans="3:13" ht="26.25" customHeight="1">
      <c r="C24" s="35"/>
      <c r="D24" s="33"/>
      <c r="E24" s="33"/>
      <c r="F24" s="53"/>
      <c r="G24" s="33"/>
      <c r="H24" s="33"/>
      <c r="I24" s="33"/>
      <c r="J24" s="33"/>
      <c r="K24" s="1"/>
      <c r="L24" s="33"/>
      <c r="M24" s="33"/>
    </row>
    <row r="25" spans="3:13" ht="26.25" customHeight="1">
      <c r="C25" s="35"/>
      <c r="D25" s="33"/>
      <c r="E25" s="33"/>
      <c r="F25" s="53"/>
      <c r="G25" s="33"/>
      <c r="H25" s="33"/>
      <c r="I25" s="33"/>
      <c r="J25" s="33"/>
      <c r="K25" s="1"/>
      <c r="L25" s="33"/>
      <c r="M25" s="33"/>
    </row>
    <row r="26" spans="3:13" ht="26.25" customHeight="1">
      <c r="C26" s="35"/>
      <c r="D26" s="33"/>
      <c r="E26" s="33"/>
      <c r="F26" s="53"/>
      <c r="G26" s="33"/>
      <c r="H26" s="33"/>
      <c r="I26" s="33"/>
      <c r="J26" s="33"/>
      <c r="K26" s="1"/>
      <c r="L26" s="33"/>
      <c r="M26" s="33"/>
    </row>
    <row r="27" spans="3:13" ht="26.25" customHeight="1">
      <c r="C27" s="35"/>
      <c r="D27" s="33"/>
      <c r="E27" s="33"/>
      <c r="F27" s="53"/>
      <c r="G27" s="33"/>
      <c r="H27" s="33"/>
      <c r="I27" s="33"/>
      <c r="J27" s="33"/>
      <c r="K27" s="1"/>
      <c r="L27" s="33"/>
      <c r="M27" s="33"/>
    </row>
    <row r="28" spans="3:13" ht="26.25" customHeight="1">
      <c r="C28" s="35"/>
      <c r="D28" s="33"/>
      <c r="E28" s="33"/>
      <c r="F28" s="53"/>
      <c r="G28" s="33"/>
      <c r="H28" s="33"/>
      <c r="I28" s="33"/>
      <c r="J28" s="33"/>
      <c r="K28" s="1"/>
      <c r="L28" s="33"/>
      <c r="M28" s="33"/>
    </row>
    <row r="29" spans="3:13" ht="26.25" customHeight="1">
      <c r="C29" s="35"/>
      <c r="D29" s="33"/>
      <c r="E29" s="33"/>
      <c r="F29" s="53"/>
      <c r="G29" s="33"/>
      <c r="H29" s="33"/>
      <c r="I29" s="33"/>
      <c r="J29" s="33"/>
      <c r="K29" s="1"/>
      <c r="L29" s="33"/>
      <c r="M29" s="33"/>
    </row>
    <row r="30" spans="3:13" ht="26.25" customHeight="1">
      <c r="C30" s="35"/>
      <c r="D30" s="33"/>
      <c r="E30" s="33"/>
      <c r="F30" s="53"/>
      <c r="G30" s="33"/>
      <c r="H30" s="33"/>
      <c r="I30" s="33"/>
      <c r="J30" s="33"/>
      <c r="K30" s="1"/>
      <c r="L30" s="33"/>
      <c r="M30" s="33"/>
    </row>
    <row r="31" spans="3:13" ht="26.25" customHeight="1">
      <c r="C31" s="35"/>
      <c r="D31" s="33"/>
      <c r="E31" s="33"/>
      <c r="F31" s="53"/>
      <c r="G31" s="33"/>
      <c r="H31" s="33"/>
      <c r="I31" s="33"/>
      <c r="J31" s="33"/>
      <c r="K31" s="1"/>
      <c r="L31" s="33"/>
      <c r="M31" s="33"/>
    </row>
    <row r="32" spans="3:13" ht="26.25" customHeight="1">
      <c r="C32" s="35"/>
      <c r="D32" s="33"/>
      <c r="E32" s="33"/>
      <c r="F32" s="53"/>
      <c r="G32" s="33"/>
      <c r="H32" s="33"/>
      <c r="I32" s="33"/>
      <c r="J32" s="33"/>
      <c r="K32" s="1"/>
      <c r="L32" s="33"/>
      <c r="M32" s="33"/>
    </row>
    <row r="33" spans="3:13" ht="26.25" customHeight="1">
      <c r="C33" s="35"/>
      <c r="D33" s="33"/>
      <c r="E33" s="33"/>
      <c r="F33" s="53"/>
      <c r="G33" s="33"/>
      <c r="H33" s="33"/>
      <c r="I33" s="33"/>
      <c r="J33" s="33"/>
      <c r="K33" s="1"/>
      <c r="L33" s="33"/>
      <c r="M33" s="33"/>
    </row>
    <row r="34" spans="3:13" ht="26.25" customHeight="1">
      <c r="C34" s="35"/>
      <c r="D34" s="33"/>
      <c r="E34" s="33"/>
      <c r="F34" s="53"/>
      <c r="G34" s="33"/>
      <c r="H34" s="33"/>
      <c r="I34" s="33"/>
      <c r="J34" s="33"/>
      <c r="K34" s="1"/>
      <c r="L34" s="33"/>
      <c r="M34" s="33"/>
    </row>
    <row r="35" spans="3:13" ht="26.25" customHeight="1">
      <c r="C35" s="35"/>
      <c r="D35" s="33"/>
      <c r="E35" s="33"/>
      <c r="F35" s="53"/>
      <c r="G35" s="33"/>
      <c r="H35" s="33"/>
      <c r="I35" s="33"/>
      <c r="J35" s="33"/>
      <c r="K35" s="1"/>
      <c r="L35" s="33"/>
      <c r="M35" s="33"/>
    </row>
    <row r="36" spans="3:13" ht="26.25" customHeight="1">
      <c r="C36" s="35"/>
      <c r="D36" s="33"/>
      <c r="E36" s="33"/>
      <c r="F36" s="53"/>
      <c r="G36" s="33"/>
      <c r="H36" s="33"/>
      <c r="I36" s="33"/>
      <c r="J36" s="33"/>
      <c r="K36" s="1"/>
      <c r="L36" s="33"/>
      <c r="M36" s="33"/>
    </row>
    <row r="37" spans="3:13" ht="26.25" customHeight="1">
      <c r="C37" s="35"/>
      <c r="D37" s="33"/>
      <c r="E37" s="33"/>
      <c r="F37" s="53"/>
      <c r="G37" s="33"/>
      <c r="H37" s="33"/>
      <c r="I37" s="33"/>
      <c r="J37" s="33"/>
      <c r="K37" s="1"/>
      <c r="L37" s="33"/>
      <c r="M37" s="33"/>
    </row>
    <row r="38" spans="3:13" ht="25.8">
      <c r="C38" s="33"/>
      <c r="D38" s="33"/>
      <c r="E38" s="33"/>
      <c r="F38" s="33"/>
      <c r="G38" s="33"/>
      <c r="H38" s="33"/>
      <c r="I38" s="33"/>
      <c r="J38" s="33"/>
      <c r="L38" s="33"/>
      <c r="M38" s="33"/>
    </row>
    <row r="39" spans="3:13" ht="25.8">
      <c r="C39" s="33"/>
      <c r="D39" s="33"/>
      <c r="E39" s="33"/>
      <c r="F39" s="33"/>
      <c r="G39" s="33"/>
      <c r="H39" s="33"/>
      <c r="I39" s="33"/>
      <c r="J39" s="33"/>
      <c r="L39" s="33"/>
      <c r="M39" s="33"/>
    </row>
    <row r="40" spans="3:13" ht="25.8">
      <c r="C40" s="33"/>
      <c r="D40" s="33"/>
      <c r="E40" s="33"/>
      <c r="F40" s="33"/>
      <c r="G40" s="33"/>
      <c r="H40" s="33"/>
      <c r="I40" s="33"/>
      <c r="J40" s="33"/>
      <c r="L40" s="33"/>
      <c r="M40" s="33"/>
    </row>
    <row r="41" spans="3:13" ht="25.8">
      <c r="C41" s="33"/>
      <c r="D41" s="33"/>
      <c r="E41" s="33"/>
      <c r="F41" s="33"/>
      <c r="G41" s="33"/>
      <c r="H41" s="33"/>
      <c r="I41" s="33"/>
      <c r="J41" s="33"/>
      <c r="L41" s="33"/>
      <c r="M41" s="33"/>
    </row>
    <row r="42" spans="3:13" ht="25.8">
      <c r="C42" s="33"/>
      <c r="D42" s="33"/>
      <c r="E42" s="33"/>
      <c r="F42" s="33"/>
      <c r="G42" s="33"/>
      <c r="H42" s="33"/>
      <c r="I42" s="33"/>
      <c r="J42" s="33"/>
      <c r="L42" s="33"/>
      <c r="M42" s="33"/>
    </row>
    <row r="43" spans="3:13" ht="25.8">
      <c r="C43" s="33"/>
      <c r="D43" s="33"/>
      <c r="E43" s="33"/>
      <c r="F43" s="33"/>
      <c r="G43" s="33"/>
      <c r="H43" s="33"/>
      <c r="I43" s="33"/>
      <c r="J43" s="33"/>
      <c r="L43" s="33"/>
      <c r="M43" s="33"/>
    </row>
    <row r="44" spans="3:13" ht="25.8">
      <c r="C44" s="33"/>
      <c r="D44" s="33"/>
      <c r="E44" s="33"/>
      <c r="F44" s="33"/>
      <c r="G44" s="33"/>
      <c r="H44" s="33"/>
      <c r="I44" s="33"/>
      <c r="J44" s="33"/>
      <c r="L44" s="33"/>
      <c r="M44" s="33"/>
    </row>
    <row r="45" spans="3:13" ht="25.8">
      <c r="C45" s="33"/>
      <c r="D45" s="33"/>
      <c r="E45" s="33"/>
      <c r="F45" s="33"/>
      <c r="G45" s="33"/>
      <c r="H45" s="33"/>
      <c r="I45" s="33"/>
      <c r="J45" s="33"/>
      <c r="L45" s="33"/>
      <c r="M45" s="33"/>
    </row>
    <row r="46" spans="3:13" ht="25.8">
      <c r="C46" s="33"/>
      <c r="D46" s="33"/>
      <c r="E46" s="33"/>
      <c r="F46" s="33"/>
      <c r="G46" s="33"/>
      <c r="H46" s="33"/>
      <c r="I46" s="33"/>
      <c r="J46" s="33"/>
      <c r="L46" s="33"/>
      <c r="M46" s="33"/>
    </row>
    <row r="47" spans="3:13" ht="25.8">
      <c r="C47" s="33"/>
      <c r="D47" s="33"/>
      <c r="E47" s="33"/>
      <c r="F47" s="33"/>
      <c r="G47" s="33"/>
      <c r="H47" s="33"/>
      <c r="I47" s="33"/>
      <c r="J47" s="33"/>
      <c r="L47" s="33"/>
      <c r="M47" s="33"/>
    </row>
    <row r="48" spans="3:13" ht="25.8">
      <c r="C48" s="33"/>
      <c r="D48" s="33"/>
      <c r="E48" s="33"/>
      <c r="F48" s="33"/>
      <c r="G48" s="33"/>
      <c r="H48" s="33"/>
      <c r="I48" s="33"/>
      <c r="J48" s="33"/>
      <c r="L48" s="33"/>
      <c r="M48" s="33"/>
    </row>
    <row r="49" spans="3:13" ht="25.8">
      <c r="C49" s="33"/>
      <c r="D49" s="33"/>
      <c r="E49" s="33"/>
      <c r="F49" s="33"/>
      <c r="G49" s="33"/>
      <c r="H49" s="33"/>
      <c r="I49" s="33"/>
      <c r="J49" s="33"/>
      <c r="L49" s="33"/>
      <c r="M49" s="33"/>
    </row>
    <row r="50" spans="3:13" ht="25.8">
      <c r="C50" s="33"/>
      <c r="D50" s="33"/>
      <c r="E50" s="33"/>
      <c r="F50" s="33"/>
      <c r="G50" s="33"/>
      <c r="H50" s="33"/>
      <c r="I50" s="33"/>
      <c r="J50" s="33"/>
      <c r="L50" s="33"/>
      <c r="M50" s="33"/>
    </row>
    <row r="51" spans="3:13" ht="25.8">
      <c r="C51" s="33"/>
      <c r="D51" s="33"/>
      <c r="E51" s="33"/>
      <c r="F51" s="33"/>
      <c r="G51" s="33"/>
      <c r="H51" s="33"/>
      <c r="I51" s="33"/>
      <c r="J51" s="33"/>
      <c r="L51" s="33"/>
      <c r="M51" s="33"/>
    </row>
    <row r="52" spans="3:13" ht="25.8">
      <c r="C52" s="33"/>
      <c r="D52" s="33"/>
      <c r="E52" s="33"/>
      <c r="F52" s="33"/>
      <c r="G52" s="33"/>
      <c r="H52" s="33"/>
      <c r="I52" s="33"/>
      <c r="J52" s="33"/>
      <c r="L52" s="33"/>
      <c r="M52" s="33"/>
    </row>
    <row r="53" spans="3:13" ht="25.8">
      <c r="C53" s="33"/>
      <c r="D53" s="33"/>
      <c r="E53" s="33"/>
      <c r="F53" s="33"/>
      <c r="G53" s="33"/>
      <c r="H53" s="33"/>
      <c r="I53" s="33"/>
      <c r="J53" s="33"/>
      <c r="L53" s="33"/>
      <c r="M53" s="33"/>
    </row>
    <row r="54" spans="3:13" ht="25.8">
      <c r="C54" s="33"/>
      <c r="D54" s="33"/>
      <c r="E54" s="33"/>
      <c r="F54" s="33"/>
      <c r="G54" s="33"/>
      <c r="H54" s="33"/>
      <c r="I54" s="33"/>
      <c r="J54" s="33"/>
      <c r="L54" s="33"/>
      <c r="M54" s="33"/>
    </row>
    <row r="55" spans="3:13" ht="25.8">
      <c r="C55" s="33"/>
      <c r="D55" s="33"/>
      <c r="E55" s="33"/>
      <c r="F55" s="33"/>
      <c r="G55" s="33"/>
      <c r="H55" s="33"/>
      <c r="I55" s="33"/>
      <c r="J55" s="33"/>
      <c r="L55" s="33"/>
      <c r="M55" s="33"/>
    </row>
    <row r="56" spans="3:13" ht="25.8">
      <c r="C56" s="33"/>
      <c r="D56" s="33"/>
      <c r="E56" s="33"/>
      <c r="F56" s="33"/>
      <c r="G56" s="33"/>
      <c r="H56" s="33"/>
      <c r="I56" s="33"/>
      <c r="J56" s="33"/>
      <c r="L56" s="33"/>
      <c r="M56" s="33"/>
    </row>
    <row r="57" spans="3:13" ht="25.8">
      <c r="C57" s="33"/>
      <c r="D57" s="33"/>
      <c r="E57" s="33"/>
      <c r="F57" s="33"/>
      <c r="G57" s="33"/>
      <c r="H57" s="33"/>
      <c r="I57" s="33"/>
      <c r="J57" s="33"/>
      <c r="L57" s="33"/>
      <c r="M57" s="33"/>
    </row>
    <row r="58" spans="3:13" ht="25.8">
      <c r="C58" s="33"/>
      <c r="D58" s="33"/>
      <c r="E58" s="33"/>
      <c r="F58" s="33"/>
      <c r="G58" s="33"/>
      <c r="H58" s="33"/>
      <c r="I58" s="33"/>
      <c r="J58" s="33"/>
      <c r="L58" s="33"/>
      <c r="M58" s="33"/>
    </row>
    <row r="59" spans="3:13" ht="25.8">
      <c r="C59" s="33"/>
      <c r="D59" s="33"/>
      <c r="E59" s="33"/>
      <c r="F59" s="33"/>
      <c r="G59" s="33"/>
      <c r="H59" s="33"/>
      <c r="I59" s="33"/>
      <c r="J59" s="33"/>
      <c r="L59" s="33"/>
      <c r="M59" s="33"/>
    </row>
    <row r="60" spans="3:13" ht="25.8">
      <c r="C60" s="33"/>
      <c r="D60" s="33"/>
      <c r="E60" s="33"/>
      <c r="F60" s="33"/>
      <c r="G60" s="33"/>
      <c r="H60" s="33"/>
      <c r="I60" s="33"/>
      <c r="J60" s="33"/>
      <c r="L60" s="33"/>
      <c r="M60" s="33"/>
    </row>
    <row r="61" spans="3:13" ht="25.8">
      <c r="C61" s="33"/>
      <c r="D61" s="33"/>
      <c r="E61" s="33"/>
      <c r="F61" s="33"/>
      <c r="G61" s="33"/>
      <c r="H61" s="33"/>
      <c r="I61" s="33"/>
      <c r="J61" s="33"/>
      <c r="L61" s="33"/>
      <c r="M61" s="33"/>
    </row>
    <row r="62" spans="3:13" ht="25.8">
      <c r="C62" s="33"/>
      <c r="D62" s="33"/>
      <c r="E62" s="33"/>
      <c r="F62" s="33"/>
      <c r="G62" s="33"/>
      <c r="H62" s="33"/>
      <c r="I62" s="33"/>
      <c r="J62" s="33"/>
      <c r="L62" s="33"/>
      <c r="M62" s="33"/>
    </row>
    <row r="63" spans="3:13" ht="25.8">
      <c r="C63" s="33"/>
      <c r="D63" s="33"/>
      <c r="E63" s="33"/>
      <c r="F63" s="33"/>
      <c r="G63" s="33"/>
      <c r="H63" s="33"/>
      <c r="I63" s="33"/>
      <c r="J63" s="33"/>
      <c r="L63" s="33"/>
      <c r="M63" s="33"/>
    </row>
    <row r="64" spans="3:13" ht="25.8">
      <c r="C64" s="33"/>
      <c r="D64" s="33"/>
      <c r="E64" s="33"/>
      <c r="F64" s="33"/>
      <c r="G64" s="33"/>
      <c r="H64" s="33"/>
      <c r="I64" s="33"/>
      <c r="J64" s="33"/>
      <c r="L64" s="33"/>
      <c r="M64" s="33"/>
    </row>
    <row r="65" spans="3:13" ht="25.8">
      <c r="C65" s="33"/>
      <c r="D65" s="33"/>
      <c r="E65" s="33"/>
      <c r="F65" s="33"/>
      <c r="G65" s="33"/>
      <c r="H65" s="33"/>
      <c r="I65" s="33"/>
      <c r="J65" s="33"/>
      <c r="L65" s="33"/>
      <c r="M65" s="33"/>
    </row>
    <row r="66" spans="3:13" ht="25.8">
      <c r="C66" s="33"/>
      <c r="D66" s="33"/>
      <c r="E66" s="33"/>
      <c r="F66" s="33"/>
      <c r="G66" s="33"/>
      <c r="H66" s="33"/>
      <c r="I66" s="33"/>
      <c r="J66" s="33"/>
      <c r="L66" s="33"/>
      <c r="M66" s="33"/>
    </row>
    <row r="67" spans="3:13" ht="25.8">
      <c r="C67" s="33"/>
      <c r="D67" s="33"/>
      <c r="E67" s="33"/>
      <c r="F67" s="33"/>
      <c r="G67" s="33"/>
      <c r="H67" s="33"/>
      <c r="I67" s="33"/>
      <c r="J67" s="33"/>
      <c r="L67" s="33"/>
      <c r="M67" s="33"/>
    </row>
    <row r="68" spans="3:13" ht="25.8">
      <c r="C68" s="33"/>
      <c r="D68" s="33"/>
      <c r="E68" s="33"/>
      <c r="F68" s="33"/>
      <c r="G68" s="33"/>
      <c r="H68" s="33"/>
      <c r="I68" s="33"/>
      <c r="J68" s="33"/>
      <c r="L68" s="33"/>
      <c r="M68" s="33"/>
    </row>
    <row r="69" spans="3:13" ht="25.8">
      <c r="C69" s="33"/>
      <c r="D69" s="33"/>
      <c r="E69" s="33"/>
      <c r="F69" s="33"/>
      <c r="G69" s="33"/>
      <c r="H69" s="33"/>
      <c r="I69" s="33"/>
      <c r="J69" s="33"/>
      <c r="L69" s="33"/>
      <c r="M69" s="33"/>
    </row>
    <row r="70" spans="3:13" ht="25.8">
      <c r="C70" s="33"/>
      <c r="D70" s="33"/>
      <c r="E70" s="33"/>
      <c r="F70" s="33"/>
      <c r="G70" s="33"/>
      <c r="H70" s="33"/>
      <c r="I70" s="33"/>
      <c r="J70" s="33"/>
      <c r="L70" s="33"/>
      <c r="M70" s="33"/>
    </row>
    <row r="71" spans="3:13" ht="25.8">
      <c r="C71" s="33"/>
      <c r="D71" s="33"/>
      <c r="E71" s="33"/>
      <c r="F71" s="33"/>
      <c r="G71" s="33"/>
      <c r="H71" s="33"/>
      <c r="I71" s="33"/>
      <c r="J71" s="33"/>
      <c r="L71" s="33"/>
      <c r="M71" s="33"/>
    </row>
    <row r="72" spans="3:13" ht="25.8">
      <c r="C72" s="33"/>
      <c r="D72" s="33"/>
      <c r="E72" s="33"/>
      <c r="F72" s="33"/>
      <c r="G72" s="33"/>
      <c r="H72" s="33"/>
      <c r="I72" s="33"/>
      <c r="J72" s="33"/>
      <c r="L72" s="33"/>
      <c r="M72" s="33"/>
    </row>
    <row r="73" spans="3:13" ht="25.8">
      <c r="C73" s="33"/>
      <c r="D73" s="33"/>
      <c r="E73" s="33"/>
      <c r="F73" s="33"/>
      <c r="G73" s="33"/>
      <c r="H73" s="33"/>
      <c r="I73" s="33"/>
      <c r="J73" s="33"/>
      <c r="L73" s="33"/>
      <c r="M73" s="33"/>
    </row>
    <row r="74" spans="3:13" ht="25.8">
      <c r="C74" s="33"/>
      <c r="D74" s="33"/>
      <c r="E74" s="33"/>
      <c r="F74" s="33"/>
      <c r="G74" s="33"/>
      <c r="H74" s="33"/>
      <c r="I74" s="33"/>
      <c r="J74" s="33"/>
      <c r="L74" s="33"/>
      <c r="M74" s="33"/>
    </row>
    <row r="75" spans="3:13" ht="25.8">
      <c r="C75" s="33"/>
      <c r="D75" s="33"/>
      <c r="E75" s="33"/>
      <c r="F75" s="33"/>
      <c r="G75" s="33"/>
      <c r="H75" s="33"/>
      <c r="I75" s="33"/>
      <c r="J75" s="33"/>
      <c r="L75" s="33"/>
      <c r="M75" s="33"/>
    </row>
    <row r="76" spans="3:13" ht="25.8">
      <c r="C76" s="33"/>
      <c r="D76" s="33"/>
      <c r="E76" s="33"/>
      <c r="F76" s="33"/>
      <c r="G76" s="33"/>
      <c r="H76" s="33"/>
      <c r="I76" s="33"/>
      <c r="J76" s="33"/>
      <c r="L76" s="33"/>
      <c r="M76" s="33"/>
    </row>
    <row r="77" spans="3:13" ht="25.8">
      <c r="C77" s="33"/>
      <c r="D77" s="33"/>
      <c r="E77" s="33"/>
      <c r="F77" s="33"/>
      <c r="G77" s="33"/>
      <c r="H77" s="33"/>
      <c r="I77" s="33"/>
      <c r="J77" s="33"/>
      <c r="L77" s="33"/>
      <c r="M77" s="33"/>
    </row>
    <row r="78" spans="3:13" ht="25.8">
      <c r="C78" s="33"/>
      <c r="D78" s="33"/>
      <c r="E78" s="33"/>
      <c r="F78" s="33"/>
      <c r="G78" s="33"/>
      <c r="H78" s="33"/>
      <c r="I78" s="33"/>
      <c r="J78" s="33"/>
      <c r="L78" s="33"/>
      <c r="M78" s="33"/>
    </row>
    <row r="79" spans="3:13" ht="25.8">
      <c r="C79" s="33"/>
      <c r="D79" s="33"/>
      <c r="E79" s="33"/>
      <c r="F79" s="33"/>
      <c r="G79" s="33"/>
      <c r="H79" s="33"/>
      <c r="I79" s="33"/>
      <c r="J79" s="33"/>
      <c r="L79" s="33"/>
      <c r="M79" s="33"/>
    </row>
    <row r="80" spans="3:13" ht="25.8">
      <c r="C80" s="33"/>
      <c r="D80" s="33"/>
      <c r="E80" s="33"/>
      <c r="F80" s="33"/>
      <c r="G80" s="33"/>
      <c r="H80" s="33"/>
      <c r="I80" s="33"/>
      <c r="J80" s="33"/>
      <c r="L80" s="33"/>
      <c r="M80" s="33"/>
    </row>
    <row r="81" spans="3:13" ht="25.8">
      <c r="C81" s="33"/>
      <c r="D81" s="33"/>
      <c r="E81" s="33"/>
      <c r="F81" s="33"/>
      <c r="G81" s="33"/>
      <c r="H81" s="33"/>
      <c r="I81" s="33"/>
      <c r="J81" s="33"/>
      <c r="L81" s="33"/>
      <c r="M81" s="33"/>
    </row>
    <row r="82" spans="3:13" ht="25.8">
      <c r="C82" s="33"/>
      <c r="D82" s="33"/>
      <c r="E82" s="33"/>
      <c r="F82" s="33"/>
      <c r="G82" s="33"/>
      <c r="H82" s="33"/>
      <c r="I82" s="33"/>
      <c r="J82" s="33"/>
      <c r="L82" s="33"/>
      <c r="M82" s="33"/>
    </row>
    <row r="83" spans="3:13" ht="25.8">
      <c r="C83" s="33"/>
      <c r="D83" s="33"/>
      <c r="E83" s="33"/>
      <c r="F83" s="33"/>
      <c r="G83" s="33"/>
      <c r="H83" s="33"/>
      <c r="I83" s="33"/>
      <c r="J83" s="33"/>
      <c r="L83" s="33"/>
      <c r="M83" s="33"/>
    </row>
    <row r="84" spans="3:13" ht="25.8">
      <c r="C84" s="33"/>
      <c r="D84" s="33"/>
      <c r="E84" s="33"/>
      <c r="F84" s="33"/>
      <c r="G84" s="33"/>
      <c r="H84" s="33"/>
      <c r="I84" s="33"/>
      <c r="J84" s="33"/>
      <c r="L84" s="33"/>
      <c r="M84" s="33"/>
    </row>
    <row r="85" spans="3:13" ht="25.8">
      <c r="C85" s="33"/>
      <c r="D85" s="33"/>
      <c r="E85" s="33"/>
      <c r="F85" s="33"/>
      <c r="G85" s="33"/>
      <c r="H85" s="33"/>
      <c r="I85" s="33"/>
      <c r="J85" s="33"/>
      <c r="L85" s="33"/>
      <c r="M85" s="33"/>
    </row>
    <row r="86" spans="3:13" ht="25.8">
      <c r="C86" s="33"/>
      <c r="D86" s="33"/>
      <c r="E86" s="33"/>
      <c r="F86" s="33"/>
      <c r="G86" s="33"/>
      <c r="H86" s="33"/>
      <c r="I86" s="33"/>
      <c r="J86" s="33"/>
      <c r="L86" s="33"/>
      <c r="M86" s="33"/>
    </row>
    <row r="87" spans="3:13" ht="25.8">
      <c r="C87" s="33"/>
      <c r="D87" s="33"/>
      <c r="E87" s="33"/>
      <c r="F87" s="33"/>
      <c r="G87" s="33"/>
      <c r="H87" s="33"/>
      <c r="I87" s="33"/>
      <c r="J87" s="33"/>
      <c r="L87" s="33"/>
      <c r="M87" s="33"/>
    </row>
    <row r="88" spans="3:13" ht="25.8">
      <c r="C88" s="33"/>
      <c r="D88" s="33"/>
      <c r="E88" s="33"/>
      <c r="F88" s="33"/>
      <c r="G88" s="33"/>
      <c r="H88" s="33"/>
      <c r="I88" s="33"/>
      <c r="J88" s="33"/>
      <c r="L88" s="33"/>
      <c r="M88" s="33"/>
    </row>
    <row r="89" spans="3:13" ht="25.8">
      <c r="C89" s="33"/>
      <c r="D89" s="33"/>
      <c r="E89" s="33"/>
      <c r="F89" s="33"/>
      <c r="G89" s="33"/>
      <c r="H89" s="33"/>
      <c r="I89" s="33"/>
      <c r="J89" s="33"/>
      <c r="L89" s="33"/>
      <c r="M89" s="33"/>
    </row>
    <row r="90" spans="3:13" ht="25.8">
      <c r="C90" s="33"/>
      <c r="D90" s="33"/>
      <c r="E90" s="33"/>
      <c r="F90" s="33"/>
      <c r="G90" s="33"/>
      <c r="H90" s="33"/>
      <c r="I90" s="33"/>
      <c r="J90" s="33"/>
      <c r="L90" s="33"/>
      <c r="M90" s="33"/>
    </row>
    <row r="91" spans="3:13" ht="25.8">
      <c r="C91" s="33"/>
      <c r="D91" s="33"/>
      <c r="E91" s="33"/>
      <c r="F91" s="33"/>
      <c r="G91" s="33"/>
      <c r="H91" s="33"/>
      <c r="I91" s="33"/>
      <c r="J91" s="33"/>
      <c r="L91" s="33"/>
      <c r="M91" s="33"/>
    </row>
    <row r="92" spans="3:13" ht="25.8">
      <c r="C92" s="33"/>
      <c r="D92" s="33"/>
      <c r="E92" s="33"/>
      <c r="F92" s="33"/>
      <c r="G92" s="33"/>
      <c r="H92" s="33"/>
      <c r="I92" s="33"/>
      <c r="J92" s="33"/>
      <c r="L92" s="33"/>
      <c r="M92" s="33"/>
    </row>
    <row r="93" spans="3:13" ht="25.8">
      <c r="C93" s="33"/>
      <c r="D93" s="33"/>
      <c r="E93" s="33"/>
      <c r="F93" s="33"/>
      <c r="G93" s="33"/>
      <c r="H93" s="33"/>
      <c r="I93" s="33"/>
      <c r="J93" s="33"/>
      <c r="L93" s="33"/>
      <c r="M93" s="33"/>
    </row>
    <row r="94" spans="3:13" ht="25.8">
      <c r="C94" s="33"/>
      <c r="D94" s="33"/>
      <c r="E94" s="33"/>
      <c r="F94" s="33"/>
      <c r="G94" s="33"/>
      <c r="H94" s="33"/>
      <c r="I94" s="33"/>
      <c r="J94" s="33"/>
      <c r="L94" s="33"/>
      <c r="M94" s="33"/>
    </row>
    <row r="95" spans="3:13" ht="25.8">
      <c r="C95" s="33"/>
      <c r="D95" s="33"/>
      <c r="E95" s="33"/>
      <c r="F95" s="33"/>
      <c r="G95" s="33"/>
      <c r="H95" s="33"/>
      <c r="I95" s="33"/>
      <c r="J95" s="33"/>
      <c r="L95" s="33"/>
      <c r="M95" s="33"/>
    </row>
    <row r="96" spans="3:13" ht="25.8">
      <c r="C96" s="33"/>
      <c r="D96" s="33"/>
      <c r="E96" s="33"/>
      <c r="F96" s="33"/>
      <c r="G96" s="33"/>
      <c r="H96" s="33"/>
      <c r="I96" s="33"/>
      <c r="J96" s="33"/>
      <c r="L96" s="33"/>
      <c r="M96" s="33"/>
    </row>
    <row r="97" spans="3:13" ht="25.8">
      <c r="C97" s="33"/>
      <c r="D97" s="33"/>
      <c r="E97" s="33"/>
      <c r="F97" s="33"/>
      <c r="G97" s="33"/>
      <c r="H97" s="33"/>
      <c r="I97" s="33"/>
      <c r="J97" s="33"/>
      <c r="L97" s="33"/>
      <c r="M97" s="33"/>
    </row>
    <row r="98" spans="3:13" ht="25.8">
      <c r="C98" s="33"/>
      <c r="D98" s="33"/>
      <c r="E98" s="33"/>
      <c r="F98" s="33"/>
      <c r="G98" s="33"/>
      <c r="H98" s="33"/>
      <c r="I98" s="33"/>
      <c r="J98" s="33"/>
      <c r="L98" s="33"/>
      <c r="M98" s="33"/>
    </row>
    <row r="99" spans="3:13" ht="25.8">
      <c r="C99" s="33"/>
      <c r="D99" s="33"/>
      <c r="E99" s="33"/>
      <c r="F99" s="33"/>
      <c r="G99" s="33"/>
      <c r="H99" s="33"/>
      <c r="I99" s="33"/>
      <c r="J99" s="33"/>
      <c r="L99" s="33"/>
      <c r="M99" s="33"/>
    </row>
    <row r="100" spans="3:13" ht="25.8">
      <c r="C100" s="33"/>
      <c r="D100" s="33"/>
      <c r="E100" s="33"/>
      <c r="F100" s="33"/>
      <c r="G100" s="33"/>
      <c r="H100" s="33"/>
      <c r="I100" s="33"/>
      <c r="J100" s="33"/>
      <c r="L100" s="33"/>
      <c r="M100" s="33"/>
    </row>
    <row r="101" spans="3:13" ht="25.8">
      <c r="C101" s="33"/>
      <c r="D101" s="33"/>
      <c r="E101" s="33"/>
      <c r="F101" s="33"/>
      <c r="G101" s="33"/>
      <c r="H101" s="33"/>
      <c r="I101" s="33"/>
      <c r="J101" s="33"/>
      <c r="L101" s="33"/>
      <c r="M101" s="33"/>
    </row>
    <row r="102" spans="3:13" ht="25.8">
      <c r="C102" s="33"/>
      <c r="D102" s="33"/>
      <c r="E102" s="33"/>
      <c r="F102" s="33"/>
      <c r="G102" s="33"/>
      <c r="H102" s="33"/>
      <c r="I102" s="33"/>
      <c r="J102" s="33"/>
      <c r="L102" s="33"/>
      <c r="M102" s="33"/>
    </row>
    <row r="103" spans="3:13" ht="25.8">
      <c r="C103" s="33"/>
      <c r="D103" s="33"/>
      <c r="E103" s="33"/>
      <c r="F103" s="33"/>
      <c r="G103" s="33"/>
      <c r="H103" s="33"/>
      <c r="I103" s="33"/>
      <c r="J103" s="33"/>
      <c r="L103" s="33"/>
      <c r="M103" s="33"/>
    </row>
    <row r="104" spans="3:13" ht="25.8">
      <c r="C104" s="33"/>
      <c r="D104" s="33"/>
      <c r="E104" s="33"/>
      <c r="F104" s="33"/>
      <c r="G104" s="33"/>
      <c r="H104" s="33"/>
      <c r="I104" s="33"/>
      <c r="J104" s="33"/>
      <c r="L104" s="33"/>
      <c r="M104" s="33"/>
    </row>
    <row r="105" spans="3:13" ht="25.8">
      <c r="C105" s="33"/>
      <c r="D105" s="33"/>
      <c r="E105" s="33"/>
      <c r="F105" s="33"/>
      <c r="G105" s="33"/>
      <c r="H105" s="33"/>
      <c r="I105" s="33"/>
      <c r="J105" s="33"/>
      <c r="L105" s="33"/>
      <c r="M105" s="33"/>
    </row>
    <row r="106" spans="3:13" ht="25.8">
      <c r="C106" s="33"/>
      <c r="D106" s="33"/>
      <c r="E106" s="33"/>
      <c r="F106" s="33"/>
      <c r="G106" s="33"/>
      <c r="H106" s="33"/>
      <c r="I106" s="33"/>
      <c r="J106" s="33"/>
      <c r="L106" s="33"/>
      <c r="M106" s="33"/>
    </row>
    <row r="107" spans="3:13" ht="25.8">
      <c r="C107" s="33"/>
      <c r="D107" s="33"/>
      <c r="E107" s="33"/>
      <c r="F107" s="33"/>
      <c r="G107" s="33"/>
      <c r="H107" s="33"/>
      <c r="I107" s="33"/>
      <c r="J107" s="33"/>
      <c r="L107" s="33"/>
      <c r="M107" s="33"/>
    </row>
    <row r="108" spans="3:13" ht="25.8">
      <c r="C108" s="33"/>
      <c r="D108" s="33"/>
      <c r="E108" s="33"/>
      <c r="F108" s="33"/>
      <c r="G108" s="33"/>
      <c r="H108" s="33"/>
      <c r="I108" s="33"/>
      <c r="J108" s="33"/>
      <c r="L108" s="33"/>
      <c r="M108" s="33"/>
    </row>
    <row r="109" spans="3:13" ht="25.8">
      <c r="C109" s="33"/>
      <c r="D109" s="33"/>
      <c r="E109" s="33"/>
      <c r="F109" s="33"/>
      <c r="G109" s="33"/>
      <c r="H109" s="33"/>
      <c r="I109" s="33"/>
      <c r="J109" s="33"/>
      <c r="L109" s="33"/>
      <c r="M109" s="33"/>
    </row>
    <row r="110" spans="3:13" ht="25.8">
      <c r="C110" s="33"/>
      <c r="D110" s="33"/>
      <c r="E110" s="33"/>
      <c r="F110" s="33"/>
      <c r="G110" s="33"/>
      <c r="H110" s="33"/>
      <c r="I110" s="33"/>
      <c r="J110" s="33"/>
      <c r="L110" s="33"/>
      <c r="M110" s="33"/>
    </row>
    <row r="111" spans="3:13" ht="25.8">
      <c r="C111" s="33"/>
      <c r="D111" s="33"/>
      <c r="E111" s="33"/>
      <c r="F111" s="33"/>
      <c r="G111" s="33"/>
      <c r="H111" s="33"/>
      <c r="I111" s="33"/>
      <c r="J111" s="33"/>
      <c r="L111" s="33"/>
      <c r="M111" s="33"/>
    </row>
    <row r="112" spans="3:13" ht="25.8">
      <c r="C112" s="33"/>
      <c r="D112" s="33"/>
      <c r="E112" s="33"/>
      <c r="F112" s="33"/>
      <c r="G112" s="33"/>
      <c r="H112" s="33"/>
      <c r="I112" s="33"/>
      <c r="J112" s="33"/>
      <c r="L112" s="33"/>
      <c r="M112" s="33"/>
    </row>
    <row r="113" spans="3:13" ht="25.8">
      <c r="C113" s="33"/>
      <c r="D113" s="33"/>
      <c r="E113" s="33"/>
      <c r="F113" s="33"/>
      <c r="G113" s="33"/>
      <c r="H113" s="33"/>
      <c r="I113" s="33"/>
      <c r="J113" s="33"/>
      <c r="L113" s="33"/>
      <c r="M113" s="33"/>
    </row>
    <row r="114" spans="3:13" ht="25.8">
      <c r="C114" s="33"/>
      <c r="D114" s="33"/>
      <c r="E114" s="33"/>
      <c r="F114" s="33"/>
      <c r="G114" s="33"/>
      <c r="H114" s="33"/>
      <c r="I114" s="33"/>
      <c r="J114" s="33"/>
      <c r="L114" s="33"/>
      <c r="M114" s="33"/>
    </row>
    <row r="115" spans="3:13" ht="25.8">
      <c r="C115" s="33"/>
      <c r="D115" s="33"/>
      <c r="E115" s="33"/>
      <c r="F115" s="33"/>
      <c r="G115" s="33"/>
      <c r="H115" s="33"/>
      <c r="I115" s="33"/>
      <c r="J115" s="33"/>
      <c r="L115" s="33"/>
      <c r="M115" s="33"/>
    </row>
    <row r="116" spans="3:13" ht="25.8">
      <c r="C116" s="33"/>
      <c r="D116" s="33"/>
      <c r="E116" s="33"/>
      <c r="F116" s="33"/>
      <c r="G116" s="33"/>
      <c r="H116" s="33"/>
      <c r="I116" s="33"/>
      <c r="J116" s="33"/>
      <c r="L116" s="33"/>
      <c r="M116" s="33"/>
    </row>
    <row r="117" spans="3:13" ht="25.8">
      <c r="C117" s="33"/>
      <c r="D117" s="33"/>
      <c r="E117" s="33"/>
      <c r="F117" s="33"/>
      <c r="G117" s="33"/>
      <c r="H117" s="33"/>
      <c r="I117" s="33"/>
      <c r="J117" s="33"/>
      <c r="L117" s="33"/>
      <c r="M117" s="33"/>
    </row>
    <row r="118" spans="3:13" ht="25.8">
      <c r="C118" s="33"/>
      <c r="D118" s="33"/>
      <c r="E118" s="33"/>
      <c r="F118" s="33"/>
      <c r="G118" s="33"/>
      <c r="H118" s="33"/>
      <c r="I118" s="33"/>
      <c r="J118" s="33"/>
      <c r="L118" s="33"/>
      <c r="M118" s="33"/>
    </row>
    <row r="119" spans="3:13" ht="25.8">
      <c r="C119" s="33"/>
      <c r="D119" s="33"/>
      <c r="E119" s="33"/>
      <c r="F119" s="33"/>
      <c r="G119" s="33"/>
      <c r="H119" s="33"/>
      <c r="I119" s="33"/>
      <c r="J119" s="33"/>
      <c r="L119" s="33"/>
      <c r="M119" s="33"/>
    </row>
    <row r="120" spans="3:13" ht="25.8">
      <c r="C120" s="33"/>
      <c r="D120" s="33"/>
      <c r="E120" s="33"/>
      <c r="F120" s="33"/>
      <c r="G120" s="33"/>
      <c r="H120" s="33"/>
      <c r="I120" s="33"/>
      <c r="J120" s="33"/>
      <c r="L120" s="33"/>
      <c r="M120" s="33"/>
    </row>
    <row r="121" spans="3:13" ht="25.8">
      <c r="C121" s="33"/>
      <c r="D121" s="33"/>
      <c r="E121" s="33"/>
      <c r="F121" s="33"/>
      <c r="G121" s="33"/>
      <c r="H121" s="33"/>
      <c r="I121" s="33"/>
      <c r="J121" s="33"/>
      <c r="L121" s="33"/>
      <c r="M121" s="33"/>
    </row>
    <row r="122" spans="3:13" ht="25.8">
      <c r="C122" s="33"/>
      <c r="D122" s="33"/>
      <c r="E122" s="33"/>
      <c r="F122" s="33"/>
      <c r="G122" s="33"/>
      <c r="H122" s="33"/>
      <c r="I122" s="33"/>
      <c r="J122" s="33"/>
      <c r="L122" s="33"/>
      <c r="M122" s="33"/>
    </row>
    <row r="123" spans="3:13" ht="25.8">
      <c r="C123" s="33"/>
      <c r="D123" s="33"/>
      <c r="E123" s="33"/>
      <c r="F123" s="33"/>
      <c r="G123" s="33"/>
      <c r="H123" s="33"/>
      <c r="I123" s="33"/>
      <c r="J123" s="33"/>
      <c r="L123" s="33"/>
      <c r="M123" s="33"/>
    </row>
    <row r="124" spans="3:13" ht="25.8">
      <c r="C124" s="33"/>
      <c r="D124" s="33"/>
      <c r="E124" s="33"/>
      <c r="F124" s="33"/>
      <c r="G124" s="33"/>
      <c r="H124" s="33"/>
      <c r="I124" s="33"/>
      <c r="J124" s="33"/>
      <c r="L124" s="33"/>
      <c r="M124" s="33"/>
    </row>
    <row r="125" spans="3:13" ht="25.8">
      <c r="C125" s="33"/>
      <c r="D125" s="33"/>
      <c r="E125" s="33"/>
      <c r="F125" s="33"/>
      <c r="G125" s="33"/>
      <c r="H125" s="33"/>
      <c r="I125" s="33"/>
      <c r="J125" s="33"/>
      <c r="L125" s="33"/>
      <c r="M125" s="33"/>
    </row>
    <row r="126" spans="3:13" ht="25.8">
      <c r="C126" s="33"/>
      <c r="D126" s="33"/>
      <c r="E126" s="33"/>
      <c r="F126" s="33"/>
      <c r="G126" s="33"/>
      <c r="H126" s="33"/>
      <c r="I126" s="33"/>
      <c r="J126" s="33"/>
      <c r="L126" s="33"/>
      <c r="M126" s="33"/>
    </row>
    <row r="127" spans="3:13" ht="25.8">
      <c r="C127" s="33"/>
      <c r="D127" s="33"/>
      <c r="E127" s="33"/>
      <c r="F127" s="33"/>
      <c r="G127" s="33"/>
      <c r="H127" s="33"/>
      <c r="I127" s="33"/>
      <c r="J127" s="33"/>
      <c r="L127" s="33"/>
      <c r="M127" s="33"/>
    </row>
    <row r="128" spans="3:13" ht="25.8">
      <c r="C128" s="33"/>
      <c r="D128" s="33"/>
      <c r="E128" s="33"/>
      <c r="F128" s="33"/>
      <c r="G128" s="33"/>
      <c r="H128" s="33"/>
      <c r="I128" s="33"/>
      <c r="J128" s="33"/>
      <c r="L128" s="33"/>
      <c r="M128" s="33"/>
    </row>
    <row r="129" spans="3:13" ht="25.8">
      <c r="C129" s="33"/>
      <c r="D129" s="33"/>
      <c r="E129" s="33"/>
      <c r="F129" s="33"/>
      <c r="G129" s="33"/>
      <c r="H129" s="33"/>
      <c r="I129" s="33"/>
      <c r="J129" s="33"/>
      <c r="L129" s="33"/>
      <c r="M129" s="33"/>
    </row>
    <row r="130" spans="3:13" ht="25.8">
      <c r="C130" s="33"/>
      <c r="D130" s="33"/>
      <c r="E130" s="33"/>
      <c r="F130" s="33"/>
      <c r="G130" s="33"/>
      <c r="H130" s="33"/>
      <c r="I130" s="33"/>
      <c r="J130" s="33"/>
      <c r="L130" s="33"/>
      <c r="M130" s="33"/>
    </row>
    <row r="131" spans="3:13" ht="25.8">
      <c r="C131" s="33"/>
      <c r="D131" s="33"/>
      <c r="E131" s="33"/>
      <c r="F131" s="33"/>
      <c r="G131" s="33"/>
      <c r="H131" s="33"/>
      <c r="I131" s="33"/>
      <c r="J131" s="33"/>
      <c r="L131" s="33"/>
      <c r="M131" s="33"/>
    </row>
    <row r="132" spans="3:13" ht="25.8">
      <c r="C132" s="33"/>
      <c r="D132" s="33"/>
      <c r="E132" s="33"/>
      <c r="F132" s="33"/>
      <c r="G132" s="33"/>
      <c r="H132" s="33"/>
      <c r="I132" s="33"/>
      <c r="J132" s="33"/>
      <c r="L132" s="33"/>
      <c r="M132" s="33"/>
    </row>
    <row r="133" spans="3:13" ht="25.8">
      <c r="C133" s="33"/>
      <c r="D133" s="33"/>
      <c r="E133" s="33"/>
      <c r="F133" s="33"/>
      <c r="G133" s="33"/>
      <c r="H133" s="33"/>
      <c r="I133" s="33"/>
      <c r="J133" s="33"/>
      <c r="L133" s="33"/>
      <c r="M133" s="33"/>
    </row>
    <row r="134" spans="3:13" ht="25.8">
      <c r="C134" s="33"/>
      <c r="D134" s="33"/>
      <c r="E134" s="33"/>
      <c r="F134" s="33"/>
      <c r="G134" s="33"/>
      <c r="H134" s="33"/>
      <c r="I134" s="33"/>
      <c r="J134" s="33"/>
      <c r="L134" s="33"/>
      <c r="M134" s="33"/>
    </row>
    <row r="135" spans="3:13" ht="25.8">
      <c r="C135" s="33"/>
      <c r="D135" s="33"/>
      <c r="E135" s="33"/>
      <c r="F135" s="33"/>
      <c r="G135" s="33"/>
      <c r="H135" s="33"/>
      <c r="I135" s="33"/>
      <c r="J135" s="33"/>
      <c r="L135" s="33"/>
      <c r="M135" s="33"/>
    </row>
    <row r="136" spans="3:13" ht="25.8">
      <c r="C136" s="33"/>
      <c r="D136" s="33"/>
      <c r="E136" s="33"/>
      <c r="F136" s="33"/>
      <c r="G136" s="33"/>
      <c r="H136" s="33"/>
      <c r="I136" s="33"/>
      <c r="J136" s="33"/>
      <c r="L136" s="33"/>
      <c r="M136" s="33"/>
    </row>
    <row r="137" spans="3:13" ht="25.8">
      <c r="C137" s="33"/>
      <c r="D137" s="33"/>
      <c r="E137" s="33"/>
      <c r="F137" s="33"/>
      <c r="G137" s="33"/>
      <c r="H137" s="33"/>
      <c r="I137" s="33"/>
      <c r="J137" s="33"/>
      <c r="L137" s="33"/>
      <c r="M137" s="33"/>
    </row>
    <row r="138" spans="3:13" ht="25.8">
      <c r="C138" s="33"/>
      <c r="D138" s="33"/>
      <c r="E138" s="33"/>
      <c r="F138" s="33"/>
      <c r="G138" s="33"/>
      <c r="H138" s="33"/>
      <c r="I138" s="33"/>
      <c r="J138" s="33"/>
      <c r="L138" s="33"/>
      <c r="M138" s="33"/>
    </row>
    <row r="139" spans="3:13" ht="25.8">
      <c r="C139" s="33"/>
      <c r="D139" s="33"/>
      <c r="E139" s="33"/>
      <c r="F139" s="33"/>
      <c r="G139" s="33"/>
      <c r="H139" s="33"/>
      <c r="I139" s="33"/>
      <c r="J139" s="33"/>
      <c r="L139" s="33"/>
      <c r="M139" s="33"/>
    </row>
    <row r="140" spans="3:13" ht="25.8">
      <c r="C140" s="33"/>
      <c r="D140" s="33"/>
      <c r="E140" s="33"/>
      <c r="F140" s="33"/>
      <c r="G140" s="33"/>
      <c r="H140" s="33"/>
      <c r="I140" s="33"/>
      <c r="J140" s="33"/>
      <c r="L140" s="33"/>
      <c r="M140" s="33"/>
    </row>
    <row r="141" spans="3:13" ht="25.8">
      <c r="C141" s="33"/>
      <c r="D141" s="33"/>
      <c r="E141" s="33"/>
      <c r="F141" s="33"/>
      <c r="G141" s="33"/>
      <c r="H141" s="33"/>
      <c r="I141" s="33"/>
      <c r="J141" s="33"/>
      <c r="L141" s="33"/>
      <c r="M141" s="33"/>
    </row>
    <row r="142" spans="3:13" ht="25.8">
      <c r="C142" s="33"/>
      <c r="D142" s="33"/>
      <c r="E142" s="33"/>
      <c r="F142" s="33"/>
      <c r="G142" s="33"/>
      <c r="H142" s="33"/>
      <c r="I142" s="33"/>
      <c r="J142" s="33"/>
      <c r="L142" s="33"/>
      <c r="M142" s="33"/>
    </row>
    <row r="143" spans="3:13" ht="25.8">
      <c r="C143" s="33"/>
      <c r="D143" s="33"/>
      <c r="E143" s="33"/>
      <c r="F143" s="33"/>
      <c r="G143" s="33"/>
      <c r="H143" s="33"/>
      <c r="I143" s="33"/>
      <c r="J143" s="33"/>
      <c r="L143" s="33"/>
      <c r="M143" s="33"/>
    </row>
    <row r="144" spans="3:13" ht="25.8">
      <c r="C144" s="33"/>
      <c r="D144" s="33"/>
      <c r="E144" s="33"/>
      <c r="F144" s="33"/>
      <c r="G144" s="33"/>
      <c r="H144" s="33"/>
      <c r="I144" s="33"/>
      <c r="J144" s="33"/>
      <c r="L144" s="33"/>
      <c r="M144" s="33"/>
    </row>
    <row r="145" spans="3:13" ht="25.8">
      <c r="C145" s="33"/>
      <c r="D145" s="33"/>
      <c r="E145" s="33"/>
      <c r="F145" s="33"/>
      <c r="G145" s="33"/>
      <c r="H145" s="33"/>
      <c r="I145" s="33"/>
      <c r="J145" s="33"/>
      <c r="L145" s="33"/>
      <c r="M145" s="33"/>
    </row>
    <row r="146" spans="3:13" ht="25.8">
      <c r="C146" s="33"/>
      <c r="D146" s="33"/>
      <c r="E146" s="33"/>
      <c r="F146" s="33"/>
      <c r="G146" s="33"/>
      <c r="H146" s="33"/>
      <c r="I146" s="33"/>
      <c r="J146" s="33"/>
      <c r="L146" s="33"/>
      <c r="M146" s="33"/>
    </row>
    <row r="147" spans="3:13" ht="25.8">
      <c r="C147" s="33"/>
      <c r="D147" s="33"/>
      <c r="E147" s="33"/>
      <c r="F147" s="33"/>
      <c r="G147" s="33"/>
      <c r="H147" s="33"/>
      <c r="I147" s="33"/>
      <c r="J147" s="33"/>
      <c r="L147" s="33"/>
      <c r="M147" s="33"/>
    </row>
    <row r="148" spans="3:13" ht="25.8">
      <c r="C148" s="33"/>
      <c r="D148" s="33"/>
      <c r="E148" s="33"/>
      <c r="F148" s="33"/>
      <c r="G148" s="33"/>
      <c r="H148" s="33"/>
      <c r="I148" s="33"/>
      <c r="J148" s="33"/>
      <c r="L148" s="33"/>
      <c r="M148" s="33"/>
    </row>
    <row r="149" spans="3:13" ht="25.8">
      <c r="C149" s="33"/>
      <c r="D149" s="33"/>
      <c r="E149" s="33"/>
      <c r="F149" s="33"/>
      <c r="G149" s="33"/>
      <c r="H149" s="33"/>
      <c r="I149" s="33"/>
      <c r="J149" s="33"/>
      <c r="L149" s="33"/>
      <c r="M149" s="33"/>
    </row>
    <row r="150" spans="3:13" ht="25.8">
      <c r="C150" s="33"/>
      <c r="D150" s="33"/>
      <c r="E150" s="33"/>
      <c r="F150" s="33"/>
      <c r="G150" s="33"/>
      <c r="H150" s="33"/>
      <c r="I150" s="33"/>
      <c r="J150" s="33"/>
      <c r="L150" s="33"/>
      <c r="M150" s="33"/>
    </row>
    <row r="151" spans="3:13" ht="25.8">
      <c r="C151" s="33"/>
      <c r="D151" s="33"/>
      <c r="E151" s="33"/>
      <c r="F151" s="33"/>
      <c r="G151" s="33"/>
      <c r="H151" s="33"/>
      <c r="I151" s="33"/>
      <c r="J151" s="33"/>
      <c r="L151" s="33"/>
      <c r="M151" s="33"/>
    </row>
    <row r="152" spans="3:13" ht="25.8">
      <c r="C152" s="33"/>
      <c r="D152" s="33"/>
      <c r="E152" s="33"/>
      <c r="F152" s="33"/>
      <c r="G152" s="33"/>
      <c r="H152" s="33"/>
      <c r="I152" s="33"/>
      <c r="J152" s="33"/>
      <c r="L152" s="33"/>
      <c r="M152" s="33"/>
    </row>
    <row r="153" spans="3:13" ht="25.8">
      <c r="C153" s="33"/>
      <c r="D153" s="33"/>
      <c r="E153" s="33"/>
      <c r="F153" s="33"/>
      <c r="G153" s="33"/>
      <c r="H153" s="33"/>
      <c r="I153" s="33"/>
      <c r="J153" s="33"/>
      <c r="L153" s="33"/>
      <c r="M153" s="33"/>
    </row>
    <row r="154" spans="3:13" ht="25.8">
      <c r="C154" s="33"/>
      <c r="D154" s="33"/>
      <c r="E154" s="33"/>
      <c r="F154" s="33"/>
      <c r="G154" s="33"/>
      <c r="H154" s="33"/>
      <c r="I154" s="33"/>
      <c r="J154" s="33"/>
      <c r="L154" s="33"/>
      <c r="M154" s="33"/>
    </row>
    <row r="155" spans="3:13" ht="25.8">
      <c r="C155" s="33"/>
      <c r="D155" s="33"/>
      <c r="E155" s="33"/>
      <c r="F155" s="33"/>
      <c r="G155" s="33"/>
      <c r="H155" s="33"/>
      <c r="I155" s="33"/>
      <c r="J155" s="33"/>
      <c r="L155" s="33"/>
      <c r="M155" s="33"/>
    </row>
    <row r="156" spans="3:13" ht="25.8">
      <c r="C156" s="33"/>
      <c r="D156" s="33"/>
      <c r="E156" s="33"/>
      <c r="F156" s="33"/>
      <c r="G156" s="33"/>
      <c r="H156" s="33"/>
      <c r="I156" s="33"/>
      <c r="J156" s="33"/>
      <c r="L156" s="33"/>
      <c r="M156" s="33"/>
    </row>
    <row r="157" spans="3:13" ht="25.8">
      <c r="C157" s="33"/>
      <c r="D157" s="33"/>
      <c r="E157" s="33"/>
      <c r="F157" s="33"/>
      <c r="G157" s="33"/>
      <c r="H157" s="33"/>
      <c r="I157" s="33"/>
      <c r="J157" s="33"/>
      <c r="L157" s="33"/>
      <c r="M157" s="33"/>
    </row>
    <row r="158" spans="3:13" ht="25.8">
      <c r="C158" s="33"/>
      <c r="D158" s="33"/>
      <c r="E158" s="33"/>
      <c r="F158" s="33"/>
      <c r="G158" s="33"/>
      <c r="H158" s="33"/>
      <c r="I158" s="33"/>
      <c r="J158" s="33"/>
      <c r="L158" s="33"/>
      <c r="M158" s="33"/>
    </row>
    <row r="159" spans="3:13" ht="25.8">
      <c r="C159" s="33"/>
      <c r="D159" s="33"/>
      <c r="E159" s="33"/>
      <c r="F159" s="33"/>
      <c r="G159" s="33"/>
      <c r="H159" s="33"/>
      <c r="I159" s="33"/>
      <c r="J159" s="33"/>
      <c r="L159" s="33"/>
      <c r="M159" s="33"/>
    </row>
    <row r="160" spans="3:13" ht="25.8">
      <c r="C160" s="33"/>
      <c r="D160" s="33"/>
      <c r="E160" s="33"/>
      <c r="F160" s="33"/>
      <c r="G160" s="33"/>
      <c r="H160" s="33"/>
      <c r="I160" s="33"/>
      <c r="J160" s="33"/>
      <c r="L160" s="33"/>
      <c r="M160" s="33"/>
    </row>
    <row r="161" spans="3:13" ht="25.8">
      <c r="C161" s="33"/>
      <c r="D161" s="33"/>
      <c r="E161" s="33"/>
      <c r="F161" s="33"/>
      <c r="G161" s="33"/>
      <c r="H161" s="33"/>
      <c r="I161" s="33"/>
      <c r="J161" s="33"/>
      <c r="L161" s="33"/>
      <c r="M161" s="33"/>
    </row>
    <row r="162" spans="3:13" ht="25.8">
      <c r="C162" s="33"/>
      <c r="D162" s="33"/>
      <c r="E162" s="33"/>
      <c r="F162" s="33"/>
      <c r="G162" s="33"/>
      <c r="H162" s="33"/>
      <c r="I162" s="33"/>
      <c r="J162" s="33"/>
      <c r="L162" s="33"/>
      <c r="M162" s="33"/>
    </row>
    <row r="163" spans="3:13" ht="25.8">
      <c r="C163" s="33"/>
      <c r="D163" s="33"/>
      <c r="E163" s="33"/>
      <c r="F163" s="33"/>
      <c r="G163" s="33"/>
      <c r="H163" s="33"/>
      <c r="I163" s="33"/>
      <c r="J163" s="33"/>
      <c r="L163" s="33"/>
      <c r="M163" s="33"/>
    </row>
    <row r="164" spans="3:13" ht="25.8">
      <c r="C164" s="33"/>
      <c r="D164" s="33"/>
      <c r="E164" s="33"/>
      <c r="F164" s="33"/>
      <c r="G164" s="33"/>
      <c r="H164" s="33"/>
      <c r="I164" s="33"/>
      <c r="J164" s="33"/>
      <c r="L164" s="33"/>
      <c r="M164" s="33"/>
    </row>
    <row r="165" spans="3:13" ht="25.8">
      <c r="C165" s="33"/>
      <c r="D165" s="33"/>
      <c r="E165" s="33"/>
      <c r="F165" s="33"/>
      <c r="G165" s="33"/>
      <c r="H165" s="33"/>
      <c r="I165" s="33"/>
      <c r="J165" s="33"/>
      <c r="L165" s="33"/>
      <c r="M165" s="33"/>
    </row>
    <row r="166" spans="3:13" ht="25.8">
      <c r="C166" s="33"/>
      <c r="D166" s="33"/>
      <c r="E166" s="33"/>
      <c r="F166" s="33"/>
      <c r="G166" s="33"/>
      <c r="H166" s="33"/>
      <c r="I166" s="33"/>
      <c r="J166" s="33"/>
      <c r="L166" s="33"/>
      <c r="M166" s="33"/>
    </row>
    <row r="167" spans="3:13" ht="25.8">
      <c r="C167" s="33"/>
      <c r="D167" s="33"/>
      <c r="E167" s="33"/>
      <c r="F167" s="33"/>
      <c r="G167" s="33"/>
      <c r="H167" s="33"/>
      <c r="I167" s="33"/>
      <c r="J167" s="33"/>
      <c r="L167" s="33"/>
      <c r="M167" s="33"/>
    </row>
    <row r="168" spans="3:13" ht="25.8">
      <c r="C168" s="33"/>
      <c r="D168" s="33"/>
      <c r="E168" s="33"/>
      <c r="F168" s="33"/>
      <c r="G168" s="33"/>
      <c r="H168" s="33"/>
      <c r="I168" s="33"/>
      <c r="J168" s="33"/>
      <c r="L168" s="33"/>
      <c r="M168" s="33"/>
    </row>
    <row r="169" spans="3:13" ht="25.8">
      <c r="C169" s="33"/>
      <c r="D169" s="33"/>
      <c r="E169" s="33"/>
      <c r="F169" s="33"/>
      <c r="G169" s="33"/>
      <c r="H169" s="33"/>
      <c r="I169" s="33"/>
      <c r="J169" s="33"/>
      <c r="L169" s="33"/>
      <c r="M169" s="33"/>
    </row>
    <row r="170" spans="3:13" ht="25.8">
      <c r="C170" s="33"/>
      <c r="D170" s="33"/>
      <c r="E170" s="33"/>
      <c r="F170" s="33"/>
      <c r="G170" s="33"/>
      <c r="H170" s="33"/>
      <c r="I170" s="33"/>
      <c r="J170" s="33"/>
      <c r="L170" s="33"/>
      <c r="M170" s="33"/>
    </row>
    <row r="171" spans="3:13" ht="25.8">
      <c r="C171" s="33"/>
      <c r="D171" s="33"/>
      <c r="E171" s="33"/>
      <c r="F171" s="33"/>
      <c r="G171" s="33"/>
      <c r="H171" s="33"/>
      <c r="I171" s="33"/>
      <c r="J171" s="33"/>
      <c r="L171" s="33"/>
      <c r="M171" s="33"/>
    </row>
    <row r="172" spans="3:13" ht="25.8">
      <c r="C172" s="33"/>
      <c r="D172" s="33"/>
      <c r="E172" s="33"/>
      <c r="F172" s="33"/>
      <c r="G172" s="33"/>
      <c r="H172" s="33"/>
      <c r="I172" s="33"/>
      <c r="J172" s="33"/>
      <c r="L172" s="33"/>
      <c r="M172" s="33"/>
    </row>
    <row r="173" spans="3:13" ht="25.8">
      <c r="C173" s="33"/>
      <c r="D173" s="33"/>
      <c r="E173" s="33"/>
      <c r="F173" s="33"/>
      <c r="G173" s="33"/>
      <c r="H173" s="33"/>
      <c r="I173" s="33"/>
      <c r="J173" s="33"/>
      <c r="L173" s="33"/>
      <c r="M173" s="33"/>
    </row>
    <row r="174" spans="3:13" ht="25.8">
      <c r="C174" s="33"/>
      <c r="D174" s="33"/>
      <c r="E174" s="33"/>
      <c r="F174" s="33"/>
      <c r="G174" s="33"/>
      <c r="H174" s="33"/>
      <c r="I174" s="33"/>
      <c r="J174" s="33"/>
      <c r="L174" s="33"/>
      <c r="M174" s="33"/>
    </row>
    <row r="175" spans="3:13" ht="25.8">
      <c r="C175" s="33"/>
      <c r="D175" s="33"/>
      <c r="E175" s="33"/>
      <c r="F175" s="33"/>
      <c r="G175" s="33"/>
      <c r="H175" s="33"/>
      <c r="I175" s="33"/>
      <c r="J175" s="33"/>
      <c r="L175" s="33"/>
      <c r="M175" s="33"/>
    </row>
    <row r="176" spans="3:13" ht="25.8">
      <c r="C176" s="33"/>
      <c r="D176" s="33"/>
      <c r="E176" s="33"/>
      <c r="F176" s="33"/>
      <c r="G176" s="33"/>
      <c r="H176" s="33"/>
      <c r="I176" s="33"/>
      <c r="J176" s="33"/>
      <c r="L176" s="33"/>
      <c r="M176" s="33"/>
    </row>
    <row r="177" spans="3:13" ht="25.8">
      <c r="C177" s="33"/>
      <c r="D177" s="33"/>
      <c r="E177" s="33"/>
      <c r="F177" s="33"/>
      <c r="G177" s="33"/>
      <c r="H177" s="33"/>
      <c r="I177" s="33"/>
      <c r="J177" s="33"/>
      <c r="L177" s="33"/>
      <c r="M177" s="33"/>
    </row>
    <row r="178" spans="3:13" ht="25.8">
      <c r="C178" s="33"/>
      <c r="D178" s="33"/>
      <c r="E178" s="33"/>
      <c r="F178" s="33"/>
      <c r="G178" s="33"/>
      <c r="H178" s="33"/>
      <c r="I178" s="33"/>
      <c r="J178" s="33"/>
      <c r="L178" s="33"/>
      <c r="M178" s="33"/>
    </row>
    <row r="179" spans="3:13" ht="25.8">
      <c r="C179" s="33"/>
      <c r="D179" s="33"/>
      <c r="E179" s="33"/>
      <c r="F179" s="33"/>
      <c r="G179" s="33"/>
      <c r="H179" s="33"/>
      <c r="I179" s="33"/>
      <c r="J179" s="33"/>
      <c r="L179" s="33"/>
      <c r="M179" s="33"/>
    </row>
    <row r="180" spans="3:13" ht="25.8">
      <c r="C180" s="33"/>
      <c r="D180" s="33"/>
      <c r="E180" s="33"/>
      <c r="F180" s="33"/>
      <c r="G180" s="33"/>
      <c r="H180" s="33"/>
      <c r="I180" s="33"/>
      <c r="J180" s="33"/>
      <c r="L180" s="33"/>
      <c r="M180" s="33"/>
    </row>
    <row r="181" spans="3:13" ht="25.8">
      <c r="C181" s="33"/>
      <c r="D181" s="33"/>
      <c r="E181" s="33"/>
      <c r="F181" s="33"/>
      <c r="G181" s="33"/>
      <c r="H181" s="33"/>
      <c r="I181" s="33"/>
      <c r="J181" s="33"/>
      <c r="L181" s="33"/>
      <c r="M181" s="33"/>
    </row>
    <row r="182" spans="3:13" ht="25.8">
      <c r="C182" s="33"/>
      <c r="D182" s="33"/>
      <c r="E182" s="33"/>
      <c r="F182" s="33"/>
      <c r="G182" s="33"/>
      <c r="H182" s="33"/>
      <c r="I182" s="33"/>
      <c r="J182" s="33"/>
      <c r="L182" s="33"/>
      <c r="M182" s="33"/>
    </row>
    <row r="183" spans="3:13" ht="25.8">
      <c r="C183" s="33"/>
      <c r="D183" s="33"/>
      <c r="E183" s="33"/>
      <c r="F183" s="33"/>
      <c r="G183" s="33"/>
      <c r="H183" s="33"/>
      <c r="I183" s="33"/>
      <c r="J183" s="33"/>
      <c r="L183" s="33"/>
      <c r="M183" s="33"/>
    </row>
    <row r="184" spans="3:13" ht="25.8">
      <c r="C184" s="33"/>
      <c r="D184" s="33"/>
      <c r="E184" s="33"/>
      <c r="F184" s="33"/>
      <c r="G184" s="33"/>
      <c r="H184" s="33"/>
      <c r="I184" s="33"/>
      <c r="J184" s="33"/>
      <c r="L184" s="33"/>
      <c r="M184" s="33"/>
    </row>
    <row r="185" spans="3:13" ht="25.8">
      <c r="C185" s="33"/>
      <c r="D185" s="33"/>
      <c r="E185" s="33"/>
      <c r="F185" s="33"/>
      <c r="G185" s="33"/>
      <c r="H185" s="33"/>
      <c r="I185" s="33"/>
      <c r="J185" s="33"/>
      <c r="L185" s="33"/>
      <c r="M185" s="33"/>
    </row>
    <row r="186" spans="3:13" ht="25.8">
      <c r="C186" s="33"/>
      <c r="D186" s="33"/>
      <c r="E186" s="33"/>
      <c r="F186" s="33"/>
      <c r="G186" s="33"/>
      <c r="H186" s="33"/>
      <c r="I186" s="33"/>
      <c r="J186" s="33"/>
      <c r="L186" s="33"/>
      <c r="M186" s="33"/>
    </row>
    <row r="187" spans="3:13" ht="25.8">
      <c r="C187" s="33"/>
      <c r="D187" s="33"/>
      <c r="E187" s="33"/>
      <c r="F187" s="33"/>
      <c r="G187" s="33"/>
      <c r="H187" s="33"/>
      <c r="I187" s="33"/>
      <c r="J187" s="33"/>
      <c r="L187" s="33"/>
      <c r="M187" s="33"/>
    </row>
    <row r="188" spans="3:13" ht="25.8">
      <c r="C188" s="33"/>
      <c r="D188" s="33"/>
      <c r="E188" s="33"/>
      <c r="F188" s="33"/>
      <c r="G188" s="33"/>
      <c r="H188" s="33"/>
      <c r="I188" s="33"/>
      <c r="J188" s="33"/>
      <c r="L188" s="33"/>
      <c r="M188" s="33"/>
    </row>
    <row r="189" spans="3:13" ht="25.8">
      <c r="C189" s="33"/>
      <c r="D189" s="33"/>
      <c r="E189" s="33"/>
      <c r="F189" s="33"/>
      <c r="G189" s="33"/>
      <c r="H189" s="33"/>
      <c r="I189" s="33"/>
      <c r="J189" s="33"/>
      <c r="L189" s="33"/>
      <c r="M189" s="33"/>
    </row>
    <row r="190" spans="3:13" ht="25.8">
      <c r="C190" s="33"/>
      <c r="D190" s="33"/>
      <c r="E190" s="33"/>
      <c r="F190" s="33"/>
      <c r="G190" s="33"/>
      <c r="H190" s="33"/>
      <c r="I190" s="33"/>
      <c r="J190" s="33"/>
      <c r="L190" s="33"/>
      <c r="M190" s="33"/>
    </row>
    <row r="191" spans="3:13" ht="25.8">
      <c r="C191" s="33"/>
      <c r="D191" s="33"/>
      <c r="E191" s="33"/>
      <c r="F191" s="33"/>
      <c r="G191" s="33"/>
      <c r="H191" s="33"/>
      <c r="I191" s="33"/>
      <c r="J191" s="33"/>
      <c r="L191" s="33"/>
      <c r="M191" s="33"/>
    </row>
    <row r="192" spans="3:13" ht="25.8">
      <c r="C192" s="33"/>
      <c r="D192" s="33"/>
      <c r="E192" s="33"/>
      <c r="F192" s="33"/>
      <c r="G192" s="33"/>
      <c r="H192" s="33"/>
      <c r="I192" s="33"/>
      <c r="J192" s="33"/>
      <c r="L192" s="33"/>
      <c r="M192" s="33"/>
    </row>
    <row r="193" spans="3:13" ht="25.8">
      <c r="C193" s="33"/>
      <c r="D193" s="33"/>
      <c r="E193" s="33"/>
      <c r="F193" s="33"/>
      <c r="G193" s="33"/>
      <c r="H193" s="33"/>
      <c r="I193" s="33"/>
      <c r="J193" s="33"/>
      <c r="L193" s="33"/>
      <c r="M193" s="33"/>
    </row>
    <row r="194" spans="3:13" ht="25.8">
      <c r="C194" s="33"/>
      <c r="D194" s="33"/>
      <c r="E194" s="33"/>
      <c r="F194" s="33"/>
      <c r="G194" s="33"/>
      <c r="H194" s="33"/>
      <c r="I194" s="33"/>
      <c r="J194" s="33"/>
      <c r="L194" s="33"/>
      <c r="M194" s="33"/>
    </row>
    <row r="195" spans="3:13" ht="25.8">
      <c r="C195" s="33"/>
      <c r="D195" s="33"/>
      <c r="E195" s="33"/>
      <c r="F195" s="33"/>
      <c r="G195" s="33"/>
      <c r="H195" s="33"/>
      <c r="I195" s="33"/>
      <c r="J195" s="33"/>
      <c r="L195" s="33"/>
      <c r="M195" s="33"/>
    </row>
    <row r="196" spans="3:13" ht="25.8">
      <c r="C196" s="33"/>
      <c r="D196" s="33"/>
      <c r="E196" s="33"/>
      <c r="F196" s="33"/>
      <c r="G196" s="33"/>
      <c r="H196" s="33"/>
      <c r="I196" s="33"/>
      <c r="J196" s="33"/>
      <c r="L196" s="33"/>
      <c r="M196" s="33"/>
    </row>
    <row r="197" spans="3:13" ht="25.8">
      <c r="C197" s="33"/>
      <c r="D197" s="33"/>
      <c r="E197" s="33"/>
      <c r="F197" s="33"/>
      <c r="G197" s="33"/>
      <c r="H197" s="33"/>
      <c r="I197" s="33"/>
      <c r="J197" s="33"/>
      <c r="L197" s="33"/>
      <c r="M197" s="33"/>
    </row>
    <row r="198" spans="3:13" ht="25.8">
      <c r="C198" s="33"/>
      <c r="D198" s="33"/>
      <c r="E198" s="33"/>
      <c r="F198" s="33"/>
      <c r="G198" s="33"/>
      <c r="H198" s="33"/>
      <c r="I198" s="33"/>
      <c r="J198" s="33"/>
      <c r="L198" s="33"/>
      <c r="M198" s="33"/>
    </row>
    <row r="199" spans="3:13" ht="25.8">
      <c r="C199" s="33"/>
      <c r="D199" s="33"/>
      <c r="E199" s="33"/>
      <c r="F199" s="33"/>
      <c r="G199" s="33"/>
      <c r="H199" s="33"/>
      <c r="I199" s="33"/>
      <c r="J199" s="33"/>
      <c r="L199" s="33"/>
      <c r="M199" s="33"/>
    </row>
    <row r="200" spans="3:13" ht="25.8">
      <c r="C200" s="33"/>
      <c r="D200" s="33"/>
      <c r="E200" s="33"/>
      <c r="F200" s="33"/>
      <c r="G200" s="33"/>
      <c r="H200" s="33"/>
      <c r="I200" s="33"/>
      <c r="J200" s="33"/>
      <c r="L200" s="33"/>
      <c r="M200" s="33"/>
    </row>
    <row r="201" spans="3:13" ht="25.8">
      <c r="C201" s="33"/>
      <c r="D201" s="33"/>
      <c r="E201" s="33"/>
      <c r="F201" s="33"/>
      <c r="G201" s="33"/>
      <c r="H201" s="33"/>
      <c r="I201" s="33"/>
      <c r="J201" s="33"/>
      <c r="L201" s="33"/>
      <c r="M201" s="33"/>
    </row>
    <row r="202" spans="3:13" ht="25.8">
      <c r="C202" s="33"/>
      <c r="D202" s="33"/>
      <c r="E202" s="33"/>
      <c r="F202" s="33"/>
      <c r="G202" s="33"/>
      <c r="H202" s="33"/>
      <c r="I202" s="33"/>
      <c r="J202" s="33"/>
      <c r="L202" s="33"/>
      <c r="M202" s="33"/>
    </row>
    <row r="203" spans="3:13" ht="25.8">
      <c r="C203" s="33"/>
      <c r="D203" s="33"/>
      <c r="E203" s="33"/>
      <c r="F203" s="33"/>
      <c r="G203" s="33"/>
      <c r="H203" s="33"/>
      <c r="I203" s="33"/>
      <c r="J203" s="33"/>
      <c r="L203" s="33"/>
      <c r="M203" s="33"/>
    </row>
    <row r="204" spans="3:13" ht="25.8">
      <c r="C204" s="33"/>
      <c r="D204" s="33"/>
      <c r="E204" s="33"/>
      <c r="F204" s="33"/>
      <c r="G204" s="33"/>
      <c r="H204" s="33"/>
      <c r="I204" s="33"/>
      <c r="J204" s="33"/>
      <c r="L204" s="33"/>
      <c r="M204" s="33"/>
    </row>
    <row r="205" spans="3:13" ht="25.8">
      <c r="C205" s="33"/>
      <c r="D205" s="33"/>
      <c r="E205" s="33"/>
      <c r="F205" s="33"/>
      <c r="G205" s="33"/>
      <c r="H205" s="33"/>
      <c r="I205" s="33"/>
      <c r="J205" s="33"/>
      <c r="L205" s="33"/>
      <c r="M205" s="33"/>
    </row>
    <row r="206" spans="3:13" ht="25.8">
      <c r="C206" s="33"/>
      <c r="D206" s="33"/>
      <c r="E206" s="33"/>
      <c r="F206" s="33"/>
      <c r="G206" s="33"/>
      <c r="H206" s="33"/>
      <c r="I206" s="33"/>
      <c r="J206" s="33"/>
      <c r="L206" s="33"/>
      <c r="M206" s="33"/>
    </row>
    <row r="207" spans="3:13" ht="25.8">
      <c r="C207" s="33"/>
      <c r="D207" s="33"/>
      <c r="E207" s="33"/>
      <c r="F207" s="33"/>
      <c r="G207" s="33"/>
      <c r="H207" s="33"/>
      <c r="I207" s="33"/>
      <c r="J207" s="33"/>
      <c r="L207" s="33"/>
      <c r="M207" s="33"/>
    </row>
    <row r="208" spans="3:13" ht="25.8">
      <c r="C208" s="33"/>
      <c r="D208" s="33"/>
      <c r="E208" s="33"/>
      <c r="F208" s="33"/>
      <c r="G208" s="33"/>
      <c r="H208" s="33"/>
      <c r="I208" s="33"/>
      <c r="J208" s="33"/>
      <c r="L208" s="33"/>
      <c r="M208" s="33"/>
    </row>
    <row r="209" spans="3:13" ht="25.8">
      <c r="C209" s="33"/>
      <c r="D209" s="33"/>
      <c r="E209" s="33"/>
      <c r="F209" s="33"/>
      <c r="G209" s="33"/>
      <c r="H209" s="33"/>
      <c r="I209" s="33"/>
      <c r="J209" s="33"/>
      <c r="L209" s="33"/>
      <c r="M209" s="33"/>
    </row>
    <row r="210" spans="3:13" ht="25.8">
      <c r="C210" s="33"/>
      <c r="D210" s="33"/>
      <c r="E210" s="33"/>
      <c r="F210" s="33"/>
      <c r="G210" s="33"/>
      <c r="H210" s="33"/>
      <c r="I210" s="33"/>
      <c r="J210" s="33"/>
      <c r="L210" s="33"/>
      <c r="M210" s="33"/>
    </row>
    <row r="211" spans="3:13" ht="25.8">
      <c r="C211" s="33"/>
      <c r="D211" s="33"/>
      <c r="E211" s="33"/>
      <c r="F211" s="33"/>
      <c r="G211" s="33"/>
      <c r="H211" s="33"/>
      <c r="I211" s="33"/>
      <c r="J211" s="33"/>
      <c r="L211" s="33"/>
      <c r="M211" s="33"/>
    </row>
    <row r="212" spans="3:13" ht="25.8">
      <c r="C212" s="33"/>
      <c r="D212" s="33"/>
      <c r="E212" s="33"/>
      <c r="F212" s="33"/>
      <c r="G212" s="33"/>
      <c r="H212" s="33"/>
      <c r="I212" s="33"/>
      <c r="J212" s="33"/>
      <c r="L212" s="33"/>
      <c r="M212" s="33"/>
    </row>
    <row r="213" spans="3:13" ht="25.8">
      <c r="C213" s="33"/>
      <c r="D213" s="33"/>
      <c r="E213" s="33"/>
      <c r="F213" s="33"/>
      <c r="G213" s="33"/>
      <c r="H213" s="33"/>
      <c r="I213" s="33"/>
      <c r="J213" s="33"/>
      <c r="L213" s="33"/>
      <c r="M213" s="33"/>
    </row>
    <row r="214" spans="3:13" ht="25.8">
      <c r="C214" s="33"/>
      <c r="D214" s="33"/>
      <c r="E214" s="33"/>
      <c r="F214" s="33"/>
      <c r="G214" s="33"/>
      <c r="H214" s="33"/>
      <c r="I214" s="33"/>
      <c r="J214" s="33"/>
      <c r="L214" s="33"/>
      <c r="M214" s="33"/>
    </row>
    <row r="215" spans="3:13" ht="25.8">
      <c r="C215" s="33"/>
      <c r="D215" s="33"/>
      <c r="E215" s="33"/>
      <c r="F215" s="33"/>
      <c r="G215" s="33"/>
      <c r="H215" s="33"/>
      <c r="I215" s="33"/>
      <c r="J215" s="33"/>
      <c r="L215" s="33"/>
      <c r="M215" s="33"/>
    </row>
    <row r="216" spans="3:13" ht="25.8">
      <c r="C216" s="33"/>
      <c r="D216" s="33"/>
      <c r="E216" s="33"/>
      <c r="F216" s="33"/>
      <c r="G216" s="33"/>
      <c r="H216" s="33"/>
      <c r="I216" s="33"/>
      <c r="J216" s="33"/>
      <c r="L216" s="33"/>
      <c r="M216" s="33"/>
    </row>
    <row r="217" spans="3:13" ht="25.8">
      <c r="C217" s="33"/>
      <c r="D217" s="33"/>
      <c r="E217" s="33"/>
      <c r="F217" s="33"/>
      <c r="G217" s="33"/>
      <c r="H217" s="33"/>
      <c r="I217" s="33"/>
      <c r="J217" s="33"/>
      <c r="L217" s="33"/>
      <c r="M217" s="33"/>
    </row>
    <row r="218" spans="3:13" ht="25.8">
      <c r="C218" s="33"/>
      <c r="D218" s="33"/>
      <c r="E218" s="33"/>
      <c r="F218" s="33"/>
      <c r="G218" s="33"/>
      <c r="H218" s="33"/>
      <c r="I218" s="33"/>
      <c r="J218" s="33"/>
      <c r="L218" s="33"/>
      <c r="M218" s="33"/>
    </row>
    <row r="219" spans="3:13" ht="25.8">
      <c r="C219" s="33"/>
      <c r="D219" s="33"/>
      <c r="E219" s="33"/>
      <c r="F219" s="33"/>
      <c r="G219" s="33"/>
      <c r="H219" s="33"/>
      <c r="I219" s="33"/>
      <c r="J219" s="33"/>
      <c r="L219" s="33"/>
      <c r="M219" s="33"/>
    </row>
    <row r="220" spans="3:13" ht="25.8">
      <c r="C220" s="33"/>
      <c r="D220" s="33"/>
      <c r="E220" s="33"/>
      <c r="F220" s="33"/>
      <c r="G220" s="33"/>
      <c r="H220" s="33"/>
      <c r="I220" s="33"/>
      <c r="J220" s="33"/>
      <c r="L220" s="33"/>
      <c r="M220" s="33"/>
    </row>
    <row r="221" spans="3:13" ht="25.8">
      <c r="C221" s="33"/>
      <c r="D221" s="33"/>
      <c r="E221" s="33"/>
      <c r="F221" s="33"/>
      <c r="G221" s="33"/>
      <c r="H221" s="33"/>
      <c r="I221" s="33"/>
      <c r="J221" s="33"/>
      <c r="L221" s="33"/>
      <c r="M221" s="33"/>
    </row>
    <row r="222" spans="3:13" ht="25.8">
      <c r="C222" s="33"/>
      <c r="D222" s="33"/>
      <c r="E222" s="33"/>
      <c r="F222" s="33"/>
      <c r="G222" s="33"/>
      <c r="H222" s="33"/>
      <c r="I222" s="33"/>
      <c r="J222" s="33"/>
      <c r="L222" s="33"/>
      <c r="M222" s="33"/>
    </row>
    <row r="223" spans="3:13" ht="25.8">
      <c r="C223" s="33"/>
      <c r="D223" s="33"/>
      <c r="E223" s="33"/>
      <c r="F223" s="33"/>
      <c r="G223" s="33"/>
      <c r="H223" s="33"/>
      <c r="I223" s="33"/>
      <c r="J223" s="33"/>
      <c r="L223" s="33"/>
      <c r="M223" s="33"/>
    </row>
    <row r="224" spans="3:13" ht="25.8">
      <c r="C224" s="33"/>
      <c r="D224" s="33"/>
      <c r="E224" s="33"/>
      <c r="F224" s="33"/>
      <c r="G224" s="33"/>
      <c r="H224" s="33"/>
      <c r="I224" s="33"/>
      <c r="J224" s="33"/>
      <c r="L224" s="33"/>
      <c r="M224" s="33"/>
    </row>
    <row r="225" spans="3:13" ht="25.8">
      <c r="C225" s="33"/>
      <c r="D225" s="33"/>
      <c r="E225" s="33"/>
      <c r="F225" s="33"/>
      <c r="G225" s="33"/>
      <c r="H225" s="33"/>
      <c r="I225" s="33"/>
      <c r="J225" s="33"/>
      <c r="L225" s="33"/>
      <c r="M225" s="33"/>
    </row>
    <row r="226" spans="3:13" ht="25.8">
      <c r="C226" s="33"/>
      <c r="D226" s="33"/>
      <c r="E226" s="33"/>
      <c r="F226" s="33"/>
      <c r="G226" s="33"/>
      <c r="H226" s="33"/>
      <c r="I226" s="33"/>
      <c r="J226" s="33"/>
      <c r="L226" s="33"/>
      <c r="M226" s="33"/>
    </row>
    <row r="227" spans="3:13" ht="25.8">
      <c r="C227" s="33"/>
      <c r="D227" s="33"/>
      <c r="E227" s="33"/>
      <c r="F227" s="33"/>
      <c r="G227" s="33"/>
      <c r="H227" s="33"/>
      <c r="I227" s="33"/>
      <c r="J227" s="33"/>
      <c r="L227" s="33"/>
      <c r="M227" s="33"/>
    </row>
    <row r="228" spans="3:13" ht="25.8">
      <c r="C228" s="33"/>
      <c r="D228" s="33"/>
      <c r="E228" s="33"/>
      <c r="F228" s="33"/>
      <c r="G228" s="33"/>
      <c r="H228" s="33"/>
      <c r="I228" s="33"/>
      <c r="J228" s="33"/>
      <c r="L228" s="33"/>
      <c r="M228" s="33"/>
    </row>
    <row r="229" spans="3:13" ht="25.8">
      <c r="C229" s="33"/>
      <c r="D229" s="33"/>
      <c r="E229" s="33"/>
      <c r="F229" s="33"/>
      <c r="G229" s="33"/>
      <c r="H229" s="33"/>
      <c r="I229" s="33"/>
      <c r="J229" s="33"/>
      <c r="L229" s="33"/>
      <c r="M229" s="33"/>
    </row>
    <row r="230" spans="3:13" ht="25.8">
      <c r="C230" s="33"/>
      <c r="D230" s="33"/>
      <c r="E230" s="33"/>
      <c r="F230" s="33"/>
      <c r="G230" s="33"/>
      <c r="H230" s="33"/>
      <c r="I230" s="33"/>
      <c r="J230" s="33"/>
      <c r="L230" s="33"/>
      <c r="M230" s="33"/>
    </row>
    <row r="231" spans="3:13" ht="25.8">
      <c r="C231" s="33"/>
      <c r="D231" s="33"/>
      <c r="E231" s="33"/>
      <c r="F231" s="33"/>
      <c r="G231" s="33"/>
      <c r="H231" s="33"/>
      <c r="I231" s="33"/>
      <c r="J231" s="33"/>
      <c r="L231" s="33"/>
      <c r="M231" s="33"/>
    </row>
    <row r="232" spans="3:13" ht="25.8">
      <c r="C232" s="33"/>
      <c r="D232" s="33"/>
      <c r="E232" s="33"/>
      <c r="F232" s="33"/>
      <c r="G232" s="33"/>
      <c r="H232" s="33"/>
      <c r="I232" s="33"/>
      <c r="J232" s="33"/>
      <c r="L232" s="33"/>
      <c r="M232" s="33"/>
    </row>
    <row r="233" spans="3:13" ht="25.8">
      <c r="C233" s="33"/>
      <c r="D233" s="33"/>
      <c r="E233" s="33"/>
      <c r="F233" s="33"/>
      <c r="G233" s="33"/>
      <c r="H233" s="33"/>
      <c r="I233" s="33"/>
      <c r="J233" s="33"/>
      <c r="L233" s="33"/>
      <c r="M233" s="33"/>
    </row>
    <row r="234" spans="3:13" ht="25.8">
      <c r="C234" s="33"/>
      <c r="D234" s="33"/>
      <c r="E234" s="33"/>
      <c r="F234" s="33"/>
      <c r="G234" s="33"/>
      <c r="H234" s="33"/>
      <c r="I234" s="33"/>
      <c r="J234" s="33"/>
      <c r="L234" s="33"/>
      <c r="M234" s="33"/>
    </row>
    <row r="235" spans="3:13" ht="25.8">
      <c r="C235" s="33"/>
      <c r="D235" s="33"/>
      <c r="E235" s="33"/>
      <c r="F235" s="33"/>
      <c r="G235" s="33"/>
      <c r="H235" s="33"/>
      <c r="I235" s="33"/>
      <c r="J235" s="33"/>
      <c r="L235" s="33"/>
      <c r="M235" s="33"/>
    </row>
    <row r="236" spans="3:13" ht="25.8">
      <c r="C236" s="33"/>
      <c r="D236" s="33"/>
      <c r="E236" s="33"/>
      <c r="F236" s="33"/>
      <c r="G236" s="33"/>
      <c r="H236" s="33"/>
      <c r="I236" s="33"/>
      <c r="J236" s="33"/>
      <c r="L236" s="33"/>
      <c r="M236" s="33"/>
    </row>
    <row r="237" spans="3:13" ht="25.8">
      <c r="C237" s="33"/>
      <c r="D237" s="33"/>
      <c r="E237" s="33"/>
      <c r="F237" s="33"/>
      <c r="G237" s="33"/>
      <c r="H237" s="33"/>
      <c r="I237" s="33"/>
      <c r="J237" s="33"/>
      <c r="L237" s="33"/>
      <c r="M237" s="33"/>
    </row>
    <row r="238" spans="3:13" ht="25.8">
      <c r="C238" s="33"/>
      <c r="D238" s="33"/>
      <c r="E238" s="33"/>
      <c r="F238" s="33"/>
      <c r="G238" s="33"/>
      <c r="H238" s="33"/>
      <c r="I238" s="33"/>
      <c r="J238" s="33"/>
      <c r="L238" s="33"/>
      <c r="M238" s="33"/>
    </row>
    <row r="239" spans="3:13" ht="25.8">
      <c r="C239" s="33"/>
      <c r="D239" s="33"/>
      <c r="E239" s="33"/>
      <c r="F239" s="33"/>
      <c r="G239" s="33"/>
      <c r="H239" s="33"/>
      <c r="I239" s="33"/>
      <c r="J239" s="33"/>
      <c r="L239" s="33"/>
      <c r="M239" s="33"/>
    </row>
    <row r="240" spans="3:13" ht="25.8">
      <c r="C240" s="33"/>
      <c r="D240" s="33"/>
      <c r="E240" s="33"/>
      <c r="F240" s="33"/>
      <c r="G240" s="33"/>
      <c r="H240" s="33"/>
      <c r="I240" s="33"/>
      <c r="J240" s="33"/>
      <c r="L240" s="33"/>
      <c r="M240" s="33"/>
    </row>
    <row r="241" spans="3:13" ht="25.8">
      <c r="C241" s="33"/>
      <c r="D241" s="33"/>
      <c r="E241" s="33"/>
      <c r="F241" s="33"/>
      <c r="G241" s="33"/>
      <c r="H241" s="33"/>
      <c r="I241" s="33"/>
      <c r="J241" s="33"/>
      <c r="L241" s="33"/>
      <c r="M241" s="33"/>
    </row>
    <row r="242" spans="3:13" ht="25.8">
      <c r="C242" s="33"/>
      <c r="D242" s="33"/>
      <c r="E242" s="33"/>
      <c r="F242" s="33"/>
      <c r="G242" s="33"/>
      <c r="H242" s="33"/>
      <c r="I242" s="33"/>
      <c r="J242" s="33"/>
      <c r="L242" s="33"/>
      <c r="M242" s="33"/>
    </row>
    <row r="243" spans="3:13" ht="25.8">
      <c r="C243" s="33"/>
      <c r="D243" s="33"/>
      <c r="E243" s="33"/>
      <c r="F243" s="33"/>
      <c r="G243" s="33"/>
      <c r="H243" s="33"/>
      <c r="I243" s="33"/>
      <c r="J243" s="33"/>
      <c r="L243" s="33"/>
      <c r="M243" s="33"/>
    </row>
    <row r="244" spans="3:13" ht="25.8">
      <c r="C244" s="33"/>
      <c r="D244" s="33"/>
      <c r="E244" s="33"/>
      <c r="F244" s="33"/>
      <c r="G244" s="33"/>
      <c r="H244" s="33"/>
      <c r="I244" s="33"/>
      <c r="J244" s="33"/>
      <c r="L244" s="33"/>
      <c r="M244" s="33"/>
    </row>
    <row r="245" spans="3:13" ht="25.8">
      <c r="C245" s="33"/>
      <c r="D245" s="33"/>
      <c r="E245" s="33"/>
      <c r="F245" s="33"/>
      <c r="G245" s="33"/>
      <c r="H245" s="33"/>
      <c r="I245" s="33"/>
      <c r="J245" s="33"/>
      <c r="L245" s="33"/>
      <c r="M245" s="33"/>
    </row>
    <row r="246" spans="3:13" ht="25.8">
      <c r="C246" s="33"/>
      <c r="D246" s="33"/>
      <c r="E246" s="33"/>
      <c r="F246" s="33"/>
      <c r="G246" s="33"/>
      <c r="H246" s="33"/>
      <c r="I246" s="33"/>
      <c r="J246" s="33"/>
      <c r="L246" s="33"/>
      <c r="M246" s="33"/>
    </row>
    <row r="247" spans="3:13" ht="25.8">
      <c r="C247" s="33"/>
      <c r="D247" s="33"/>
      <c r="E247" s="33"/>
      <c r="F247" s="33"/>
      <c r="G247" s="33"/>
      <c r="H247" s="33"/>
      <c r="I247" s="33"/>
      <c r="J247" s="33"/>
      <c r="L247" s="33"/>
      <c r="M247" s="33"/>
    </row>
    <row r="248" spans="3:13" ht="25.8">
      <c r="C248" s="33"/>
      <c r="D248" s="33"/>
      <c r="E248" s="33"/>
      <c r="F248" s="33"/>
      <c r="G248" s="33"/>
      <c r="H248" s="33"/>
      <c r="I248" s="33"/>
      <c r="J248" s="33"/>
      <c r="L248" s="33"/>
      <c r="M248" s="33"/>
    </row>
    <row r="249" spans="3:13" ht="25.8">
      <c r="C249" s="33"/>
      <c r="D249" s="33"/>
      <c r="E249" s="33"/>
      <c r="F249" s="33"/>
      <c r="G249" s="33"/>
      <c r="H249" s="33"/>
      <c r="I249" s="33"/>
      <c r="J249" s="33"/>
      <c r="L249" s="33"/>
      <c r="M249" s="33"/>
    </row>
    <row r="250" spans="3:13" ht="25.8">
      <c r="C250" s="33"/>
      <c r="D250" s="33"/>
      <c r="E250" s="33"/>
      <c r="F250" s="33"/>
      <c r="G250" s="33"/>
      <c r="H250" s="33"/>
      <c r="I250" s="33"/>
      <c r="J250" s="33"/>
      <c r="L250" s="33"/>
      <c r="M250" s="33"/>
    </row>
    <row r="251" spans="3:13" ht="25.8">
      <c r="C251" s="33"/>
      <c r="D251" s="33"/>
      <c r="E251" s="33"/>
      <c r="F251" s="33"/>
      <c r="G251" s="33"/>
      <c r="H251" s="33"/>
      <c r="I251" s="33"/>
      <c r="J251" s="33"/>
      <c r="L251" s="33"/>
      <c r="M251" s="33"/>
    </row>
    <row r="252" spans="3:13" ht="25.8">
      <c r="C252" s="33"/>
      <c r="D252" s="33"/>
      <c r="E252" s="33"/>
      <c r="F252" s="33"/>
      <c r="G252" s="33"/>
      <c r="H252" s="33"/>
      <c r="I252" s="33"/>
      <c r="J252" s="33"/>
      <c r="L252" s="33"/>
      <c r="M252" s="33"/>
    </row>
    <row r="253" spans="3:13" ht="25.8">
      <c r="C253" s="33"/>
      <c r="D253" s="33"/>
      <c r="E253" s="33"/>
      <c r="F253" s="33"/>
      <c r="G253" s="33"/>
      <c r="H253" s="33"/>
      <c r="I253" s="33"/>
      <c r="J253" s="33"/>
      <c r="L253" s="33"/>
      <c r="M253" s="33"/>
    </row>
    <row r="254" spans="3:13" ht="25.8">
      <c r="C254" s="33"/>
      <c r="D254" s="33"/>
      <c r="E254" s="33"/>
      <c r="F254" s="33"/>
      <c r="G254" s="33"/>
      <c r="H254" s="33"/>
      <c r="I254" s="33"/>
      <c r="J254" s="33"/>
      <c r="L254" s="33"/>
      <c r="M254" s="33"/>
    </row>
    <row r="255" spans="3:13" ht="25.8">
      <c r="C255" s="33"/>
      <c r="D255" s="33"/>
      <c r="E255" s="33"/>
      <c r="F255" s="33"/>
      <c r="G255" s="33"/>
      <c r="H255" s="33"/>
      <c r="I255" s="33"/>
      <c r="J255" s="33"/>
      <c r="L255" s="33"/>
      <c r="M255" s="33"/>
    </row>
    <row r="256" spans="3:13" ht="25.8">
      <c r="C256" s="33"/>
      <c r="D256" s="33"/>
      <c r="E256" s="33"/>
      <c r="F256" s="33"/>
      <c r="G256" s="33"/>
      <c r="H256" s="33"/>
      <c r="I256" s="33"/>
      <c r="J256" s="33"/>
      <c r="L256" s="33"/>
      <c r="M256" s="33"/>
    </row>
    <row r="257" spans="3:13" ht="25.8">
      <c r="C257" s="33"/>
      <c r="D257" s="33"/>
      <c r="E257" s="33"/>
      <c r="F257" s="33"/>
      <c r="G257" s="33"/>
      <c r="H257" s="33"/>
      <c r="I257" s="33"/>
      <c r="J257" s="33"/>
      <c r="L257" s="33"/>
      <c r="M257" s="33"/>
    </row>
    <row r="258" spans="3:13" ht="25.8">
      <c r="C258" s="33"/>
      <c r="D258" s="33"/>
      <c r="E258" s="33"/>
      <c r="F258" s="33"/>
      <c r="G258" s="33"/>
      <c r="H258" s="33"/>
      <c r="I258" s="33"/>
      <c r="J258" s="33"/>
      <c r="L258" s="33"/>
      <c r="M258" s="33"/>
    </row>
    <row r="259" spans="3:13" ht="25.8">
      <c r="C259" s="33"/>
      <c r="D259" s="33"/>
      <c r="E259" s="33"/>
      <c r="F259" s="33"/>
      <c r="G259" s="33"/>
      <c r="H259" s="33"/>
      <c r="I259" s="33"/>
      <c r="J259" s="33"/>
      <c r="L259" s="33"/>
      <c r="M259" s="33"/>
    </row>
    <row r="260" spans="3:13" ht="25.8">
      <c r="C260" s="33"/>
      <c r="D260" s="33"/>
      <c r="E260" s="33"/>
      <c r="F260" s="33"/>
      <c r="G260" s="33"/>
      <c r="H260" s="33"/>
      <c r="I260" s="33"/>
      <c r="J260" s="33"/>
      <c r="L260" s="33"/>
      <c r="M260" s="33"/>
    </row>
    <row r="261" spans="3:13" ht="25.8">
      <c r="C261" s="33"/>
      <c r="D261" s="33"/>
      <c r="E261" s="33"/>
      <c r="F261" s="33"/>
      <c r="G261" s="33"/>
      <c r="H261" s="33"/>
      <c r="I261" s="33"/>
      <c r="J261" s="33"/>
      <c r="L261" s="33"/>
      <c r="M261" s="33"/>
    </row>
    <row r="262" spans="3:13" ht="25.8">
      <c r="C262" s="33"/>
      <c r="D262" s="33"/>
      <c r="E262" s="33"/>
      <c r="F262" s="33"/>
      <c r="G262" s="33"/>
      <c r="H262" s="33"/>
      <c r="I262" s="33"/>
      <c r="J262" s="33"/>
      <c r="L262" s="33"/>
      <c r="M262" s="33"/>
    </row>
    <row r="263" spans="3:13" ht="25.8">
      <c r="C263" s="33"/>
      <c r="D263" s="33"/>
      <c r="E263" s="33"/>
      <c r="F263" s="33"/>
      <c r="G263" s="33"/>
      <c r="H263" s="33"/>
      <c r="I263" s="33"/>
      <c r="J263" s="33"/>
      <c r="L263" s="33"/>
      <c r="M263" s="33"/>
    </row>
    <row r="264" spans="3:13" ht="25.8">
      <c r="C264" s="33"/>
      <c r="D264" s="33"/>
      <c r="E264" s="33"/>
      <c r="F264" s="33"/>
      <c r="G264" s="33"/>
      <c r="H264" s="33"/>
      <c r="I264" s="33"/>
      <c r="J264" s="33"/>
      <c r="L264" s="33"/>
      <c r="M264" s="33"/>
    </row>
    <row r="265" spans="3:13" ht="25.8">
      <c r="C265" s="33"/>
      <c r="D265" s="33"/>
      <c r="E265" s="33"/>
      <c r="F265" s="33"/>
      <c r="G265" s="33"/>
      <c r="H265" s="33"/>
      <c r="I265" s="33"/>
      <c r="J265" s="33"/>
      <c r="L265" s="33"/>
      <c r="M265" s="33"/>
    </row>
    <row r="266" spans="3:13" ht="25.8">
      <c r="C266" s="33"/>
      <c r="D266" s="33"/>
      <c r="E266" s="33"/>
      <c r="F266" s="33"/>
      <c r="G266" s="33"/>
      <c r="H266" s="33"/>
      <c r="I266" s="33"/>
      <c r="J266" s="33"/>
      <c r="L266" s="33"/>
      <c r="M266" s="33"/>
    </row>
    <row r="267" spans="3:13" ht="25.8">
      <c r="C267" s="33"/>
      <c r="D267" s="33"/>
      <c r="E267" s="33"/>
      <c r="F267" s="33"/>
      <c r="G267" s="33"/>
      <c r="H267" s="33"/>
      <c r="I267" s="33"/>
      <c r="J267" s="33"/>
      <c r="L267" s="33"/>
      <c r="M267" s="33"/>
    </row>
    <row r="268" spans="3:13" ht="25.8">
      <c r="C268" s="33"/>
      <c r="D268" s="33"/>
      <c r="E268" s="33"/>
      <c r="F268" s="33"/>
      <c r="G268" s="33"/>
      <c r="H268" s="33"/>
      <c r="I268" s="33"/>
      <c r="J268" s="33"/>
      <c r="L268" s="33"/>
      <c r="M268" s="33"/>
    </row>
    <row r="269" spans="3:13" ht="25.8">
      <c r="C269" s="33"/>
      <c r="D269" s="33"/>
      <c r="E269" s="33"/>
      <c r="F269" s="33"/>
      <c r="G269" s="33"/>
      <c r="H269" s="33"/>
      <c r="I269" s="33"/>
      <c r="J269" s="33"/>
      <c r="L269" s="33"/>
      <c r="M269" s="33"/>
    </row>
    <row r="270" spans="3:13" ht="25.8">
      <c r="C270" s="33"/>
      <c r="D270" s="33"/>
      <c r="E270" s="33"/>
      <c r="F270" s="33"/>
      <c r="G270" s="33"/>
      <c r="H270" s="33"/>
      <c r="I270" s="33"/>
      <c r="J270" s="33"/>
      <c r="L270" s="33"/>
      <c r="M270" s="33"/>
    </row>
    <row r="271" spans="3:13" ht="25.8">
      <c r="C271" s="33"/>
      <c r="D271" s="33"/>
      <c r="E271" s="33"/>
      <c r="F271" s="33"/>
      <c r="G271" s="33"/>
      <c r="H271" s="33"/>
      <c r="I271" s="33"/>
      <c r="J271" s="33"/>
      <c r="L271" s="33"/>
      <c r="M271" s="33"/>
    </row>
    <row r="272" spans="3:13" ht="25.8">
      <c r="C272" s="33"/>
      <c r="D272" s="33"/>
      <c r="E272" s="33"/>
      <c r="F272" s="33"/>
      <c r="G272" s="33"/>
      <c r="H272" s="33"/>
      <c r="I272" s="33"/>
      <c r="J272" s="33"/>
      <c r="L272" s="33"/>
      <c r="M272" s="33"/>
    </row>
    <row r="273" spans="3:13" ht="25.8">
      <c r="C273" s="33"/>
      <c r="D273" s="33"/>
      <c r="E273" s="33"/>
      <c r="F273" s="33"/>
      <c r="G273" s="33"/>
      <c r="H273" s="33"/>
      <c r="I273" s="33"/>
      <c r="J273" s="33"/>
      <c r="L273" s="33"/>
      <c r="M273" s="33"/>
    </row>
    <row r="274" spans="3:13" ht="25.8">
      <c r="C274" s="33"/>
      <c r="D274" s="33"/>
      <c r="E274" s="33"/>
      <c r="F274" s="33"/>
      <c r="G274" s="33"/>
      <c r="H274" s="33"/>
      <c r="I274" s="33"/>
      <c r="J274" s="33"/>
      <c r="L274" s="33"/>
      <c r="M274" s="33"/>
    </row>
    <row r="275" spans="3:13" ht="25.8">
      <c r="C275" s="33"/>
      <c r="D275" s="33"/>
      <c r="E275" s="33"/>
      <c r="F275" s="33"/>
      <c r="G275" s="33"/>
      <c r="H275" s="33"/>
      <c r="I275" s="33"/>
      <c r="J275" s="33"/>
      <c r="L275" s="33"/>
      <c r="M275" s="33"/>
    </row>
    <row r="276" spans="3:13" ht="25.8">
      <c r="C276" s="33"/>
      <c r="D276" s="33"/>
      <c r="E276" s="33"/>
      <c r="F276" s="33"/>
      <c r="G276" s="33"/>
      <c r="H276" s="33"/>
      <c r="I276" s="33"/>
      <c r="J276" s="33"/>
      <c r="L276" s="33"/>
      <c r="M276" s="33"/>
    </row>
    <row r="277" spans="3:13" ht="25.8">
      <c r="C277" s="33"/>
      <c r="D277" s="33"/>
      <c r="E277" s="33"/>
      <c r="F277" s="33"/>
      <c r="G277" s="33"/>
      <c r="H277" s="33"/>
      <c r="I277" s="33"/>
      <c r="J277" s="33"/>
      <c r="L277" s="33"/>
      <c r="M277" s="33"/>
    </row>
    <row r="278" spans="3:13" ht="25.8">
      <c r="C278" s="33"/>
      <c r="D278" s="33"/>
      <c r="E278" s="33"/>
      <c r="F278" s="33"/>
      <c r="G278" s="33"/>
      <c r="H278" s="33"/>
      <c r="I278" s="33"/>
      <c r="J278" s="33"/>
      <c r="L278" s="33"/>
      <c r="M278" s="33"/>
    </row>
    <row r="279" spans="3:13" ht="25.8">
      <c r="C279" s="33"/>
      <c r="D279" s="33"/>
      <c r="E279" s="33"/>
      <c r="F279" s="33"/>
      <c r="G279" s="33"/>
      <c r="H279" s="33"/>
      <c r="I279" s="33"/>
      <c r="J279" s="33"/>
      <c r="L279" s="33"/>
      <c r="M279" s="33"/>
    </row>
    <row r="280" spans="3:13" ht="25.8">
      <c r="C280" s="33"/>
      <c r="D280" s="33"/>
      <c r="E280" s="33"/>
      <c r="F280" s="33"/>
      <c r="G280" s="33"/>
      <c r="H280" s="33"/>
      <c r="I280" s="33"/>
      <c r="J280" s="33"/>
      <c r="L280" s="33"/>
      <c r="M280" s="33"/>
    </row>
    <row r="281" spans="3:13" ht="25.8">
      <c r="C281" s="33"/>
      <c r="D281" s="33"/>
      <c r="E281" s="33"/>
      <c r="F281" s="33"/>
      <c r="G281" s="33"/>
      <c r="H281" s="33"/>
      <c r="I281" s="33"/>
      <c r="J281" s="33"/>
      <c r="L281" s="33"/>
      <c r="M281" s="33"/>
    </row>
    <row r="282" spans="3:13" ht="25.8">
      <c r="C282" s="33"/>
      <c r="D282" s="33"/>
      <c r="E282" s="33"/>
      <c r="F282" s="33"/>
      <c r="G282" s="33"/>
      <c r="H282" s="33"/>
      <c r="I282" s="33"/>
      <c r="J282" s="33"/>
      <c r="L282" s="33"/>
      <c r="M282" s="33"/>
    </row>
    <row r="283" spans="3:13" ht="25.8">
      <c r="C283" s="33"/>
      <c r="D283" s="33"/>
      <c r="E283" s="33"/>
      <c r="F283" s="33"/>
      <c r="G283" s="33"/>
      <c r="H283" s="33"/>
      <c r="I283" s="33"/>
      <c r="J283" s="33"/>
      <c r="L283" s="33"/>
      <c r="M283" s="33"/>
    </row>
    <row r="284" spans="3:13" ht="25.8">
      <c r="C284" s="33"/>
      <c r="D284" s="33"/>
      <c r="E284" s="33"/>
      <c r="F284" s="33"/>
      <c r="G284" s="33"/>
      <c r="H284" s="33"/>
      <c r="I284" s="33"/>
      <c r="J284" s="33"/>
      <c r="L284" s="33"/>
      <c r="M284" s="33"/>
    </row>
    <row r="285" spans="3:13" ht="25.8">
      <c r="C285" s="33"/>
      <c r="D285" s="33"/>
      <c r="E285" s="33"/>
      <c r="F285" s="33"/>
      <c r="G285" s="33"/>
      <c r="H285" s="33"/>
      <c r="I285" s="33"/>
      <c r="J285" s="33"/>
      <c r="L285" s="33"/>
      <c r="M285" s="33"/>
    </row>
    <row r="286" spans="3:13" ht="25.8">
      <c r="C286" s="33"/>
      <c r="D286" s="33"/>
      <c r="E286" s="33"/>
      <c r="F286" s="33"/>
      <c r="G286" s="33"/>
      <c r="H286" s="33"/>
      <c r="I286" s="33"/>
      <c r="J286" s="33"/>
      <c r="L286" s="33"/>
      <c r="M286" s="33"/>
    </row>
    <row r="287" spans="3:13" ht="25.8">
      <c r="C287" s="33"/>
      <c r="D287" s="33"/>
      <c r="E287" s="33"/>
      <c r="F287" s="33"/>
      <c r="G287" s="33"/>
      <c r="H287" s="33"/>
      <c r="I287" s="33"/>
      <c r="J287" s="33"/>
      <c r="L287" s="33"/>
      <c r="M287" s="33"/>
    </row>
    <row r="288" spans="3:13" ht="25.8">
      <c r="C288" s="33"/>
      <c r="D288" s="33"/>
      <c r="E288" s="33"/>
      <c r="F288" s="33"/>
      <c r="G288" s="33"/>
      <c r="H288" s="33"/>
      <c r="I288" s="33"/>
      <c r="J288" s="33"/>
      <c r="L288" s="33"/>
      <c r="M288" s="33"/>
    </row>
    <row r="289" spans="3:13" ht="25.8">
      <c r="C289" s="33"/>
      <c r="D289" s="33"/>
      <c r="E289" s="33"/>
      <c r="F289" s="33"/>
      <c r="G289" s="33"/>
      <c r="H289" s="33"/>
      <c r="I289" s="33"/>
      <c r="J289" s="33"/>
      <c r="L289" s="33"/>
      <c r="M289" s="33"/>
    </row>
    <row r="290" spans="3:13" ht="25.8">
      <c r="C290" s="33"/>
      <c r="D290" s="33"/>
      <c r="E290" s="33"/>
      <c r="F290" s="33"/>
      <c r="G290" s="33"/>
      <c r="H290" s="33"/>
      <c r="I290" s="33"/>
      <c r="J290" s="33"/>
      <c r="L290" s="33"/>
      <c r="M290" s="33"/>
    </row>
    <row r="291" spans="3:13" ht="25.8">
      <c r="C291" s="33"/>
      <c r="D291" s="33"/>
      <c r="E291" s="33"/>
      <c r="F291" s="33"/>
      <c r="G291" s="33"/>
      <c r="H291" s="33"/>
      <c r="I291" s="33"/>
      <c r="J291" s="33"/>
      <c r="L291" s="33"/>
      <c r="M291" s="33"/>
    </row>
    <row r="292" spans="3:13" ht="25.8">
      <c r="C292" s="33"/>
      <c r="D292" s="33"/>
      <c r="E292" s="33"/>
      <c r="F292" s="33"/>
      <c r="G292" s="33"/>
      <c r="H292" s="33"/>
      <c r="I292" s="33"/>
      <c r="J292" s="33"/>
      <c r="L292" s="33"/>
      <c r="M292" s="33"/>
    </row>
    <row r="293" spans="3:13" ht="25.8">
      <c r="C293" s="33"/>
      <c r="D293" s="33"/>
      <c r="E293" s="33"/>
      <c r="F293" s="33"/>
      <c r="G293" s="33"/>
      <c r="H293" s="33"/>
      <c r="I293" s="33"/>
      <c r="J293" s="33"/>
      <c r="L293" s="33"/>
      <c r="M293" s="33"/>
    </row>
    <row r="294" spans="3:13" ht="25.8">
      <c r="C294" s="33"/>
      <c r="D294" s="33"/>
      <c r="E294" s="33"/>
      <c r="F294" s="33"/>
      <c r="G294" s="33"/>
      <c r="H294" s="33"/>
      <c r="I294" s="33"/>
      <c r="J294" s="33"/>
      <c r="L294" s="33"/>
      <c r="M294" s="33"/>
    </row>
    <row r="295" spans="3:13" ht="25.8">
      <c r="C295" s="33"/>
      <c r="D295" s="33"/>
      <c r="E295" s="33"/>
      <c r="F295" s="33"/>
      <c r="G295" s="33"/>
      <c r="H295" s="33"/>
      <c r="I295" s="33"/>
      <c r="J295" s="33"/>
      <c r="L295" s="33"/>
      <c r="M295" s="33"/>
    </row>
    <row r="296" spans="3:13" ht="25.8">
      <c r="C296" s="33"/>
      <c r="D296" s="33"/>
      <c r="E296" s="33"/>
      <c r="F296" s="33"/>
      <c r="G296" s="33"/>
      <c r="H296" s="33"/>
      <c r="I296" s="33"/>
      <c r="J296" s="33"/>
      <c r="L296" s="33"/>
      <c r="M296" s="33"/>
    </row>
    <row r="297" spans="3:13" ht="25.8">
      <c r="C297" s="33"/>
      <c r="D297" s="33"/>
      <c r="E297" s="33"/>
      <c r="F297" s="33"/>
      <c r="G297" s="33"/>
      <c r="H297" s="33"/>
      <c r="I297" s="33"/>
      <c r="J297" s="33"/>
      <c r="L297" s="33"/>
      <c r="M297" s="33"/>
    </row>
    <row r="298" spans="3:13" ht="25.8">
      <c r="C298" s="33"/>
      <c r="D298" s="33"/>
      <c r="E298" s="33"/>
      <c r="F298" s="33"/>
      <c r="G298" s="33"/>
      <c r="H298" s="33"/>
      <c r="I298" s="33"/>
      <c r="J298" s="33"/>
      <c r="L298" s="33"/>
      <c r="M298" s="33"/>
    </row>
    <row r="299" spans="3:13" ht="25.8">
      <c r="C299" s="33"/>
      <c r="D299" s="33"/>
      <c r="E299" s="33"/>
      <c r="F299" s="33"/>
      <c r="G299" s="33"/>
      <c r="H299" s="33"/>
      <c r="I299" s="33"/>
      <c r="J299" s="33"/>
      <c r="L299" s="33"/>
      <c r="M299" s="33"/>
    </row>
    <row r="300" spans="3:13" ht="25.8">
      <c r="C300" s="33"/>
      <c r="D300" s="33"/>
      <c r="E300" s="33"/>
      <c r="F300" s="33"/>
      <c r="G300" s="33"/>
      <c r="H300" s="33"/>
      <c r="I300" s="33"/>
      <c r="J300" s="33"/>
      <c r="L300" s="33"/>
      <c r="M300" s="33"/>
    </row>
  </sheetData>
  <mergeCells count="3">
    <mergeCell ref="C2:J4"/>
    <mergeCell ref="L3:M4"/>
    <mergeCell ref="C5:J5"/>
  </mergeCells>
  <conditionalFormatting sqref="F7:F37">
    <cfRule type="containsText" dxfId="45" priority="8" operator="containsText" text="Light Blue">
      <formula>NOT(ISERROR(SEARCH("Light Blue",F7)))</formula>
    </cfRule>
    <cfRule type="containsText" dxfId="44" priority="18" operator="containsText" text="Orange">
      <formula>NOT(ISERROR(SEARCH("Orange",F7)))</formula>
    </cfRule>
    <cfRule type="containsText" dxfId="43" priority="19" operator="containsText" text="Purple">
      <formula>NOT(ISERROR(SEARCH("Purple",F7)))</formula>
    </cfRule>
  </conditionalFormatting>
  <conditionalFormatting sqref="F7:F37">
    <cfRule type="containsText" dxfId="42" priority="6" operator="containsText" text="Light Blue">
      <formula>NOT(ISERROR(SEARCH("Light Blue",F7)))</formula>
    </cfRule>
    <cfRule type="containsText" dxfId="41" priority="9" operator="containsText" text="Dark Blue">
      <formula>NOT(ISERROR(SEARCH("Dark Blue",F7)))</formula>
    </cfRule>
    <cfRule type="containsText" dxfId="40" priority="10" operator="containsText" text="Blue">
      <formula>NOT(ISERROR(SEARCH("Blue",F7)))</formula>
    </cfRule>
    <cfRule type="containsText" dxfId="39" priority="11" operator="containsText" text="Yellow">
      <formula>NOT(ISERROR(SEARCH("Yellow",F7)))</formula>
    </cfRule>
    <cfRule type="containsText" dxfId="38" priority="12" operator="containsText" text="Light Blue">
      <formula>NOT(ISERROR(SEARCH("Light Blue",F7)))</formula>
    </cfRule>
    <cfRule type="containsText" dxfId="37" priority="13" operator="containsText" text="Dark Green">
      <formula>NOT(ISERROR(SEARCH("Dark Green",F7)))</formula>
    </cfRule>
    <cfRule type="containsText" dxfId="36" priority="14" operator="containsText" text="Brown">
      <formula>NOT(ISERROR(SEARCH("Brown",F7)))</formula>
    </cfRule>
    <cfRule type="containsText" dxfId="35" priority="15" operator="containsText" text="Green">
      <formula>NOT(ISERROR(SEARCH("Green",F7)))</formula>
    </cfRule>
    <cfRule type="containsText" dxfId="34" priority="16" operator="containsText" text="Red">
      <formula>NOT(ISERROR(SEARCH("Red",F7)))</formula>
    </cfRule>
    <cfRule type="containsText" dxfId="33" priority="17" operator="containsText" text="Gray">
      <formula>NOT(ISERROR(SEARCH("Gray",F7)))</formula>
    </cfRule>
  </conditionalFormatting>
  <conditionalFormatting sqref="F8">
    <cfRule type="containsText" dxfId="32" priority="7" operator="containsText" text="Orange">
      <formula>NOT(ISERROR(SEARCH("Orange",F8)))</formula>
    </cfRule>
  </conditionalFormatting>
  <conditionalFormatting sqref="F19">
    <cfRule type="containsText" priority="4" operator="containsText" text="White">
      <formula>NOT(ISERROR(SEARCH("White",F19)))</formula>
    </cfRule>
    <cfRule type="containsText" dxfId="31" priority="5" operator="containsText" text="wHITE">
      <formula>NOT(ISERROR(SEARCH("wHITE",F19)))</formula>
    </cfRule>
  </conditionalFormatting>
  <conditionalFormatting sqref="F7:F37">
    <cfRule type="containsText" dxfId="30" priority="3" operator="containsText" text="White">
      <formula>NOT(ISERROR(SEARCH("White",F7)))</formula>
    </cfRule>
  </conditionalFormatting>
  <conditionalFormatting sqref="I1:I1048576">
    <cfRule type="beginsWith" dxfId="29" priority="2" operator="beginsWith" text="0">
      <formula>LEFT(I1,LEN("0"))="0"</formula>
    </cfRule>
  </conditionalFormatting>
  <conditionalFormatting sqref="J1:J1048576">
    <cfRule type="beginsWith" dxfId="28" priority="1" operator="beginsWith" text="0">
      <formula>LEFT(J1,LEN("0"))="0"</formula>
    </cfRule>
  </conditionalFormatting>
  <dataValidations count="4">
    <dataValidation type="list" allowBlank="1" showInputMessage="1" showErrorMessage="1" sqref="D7:D37" xr:uid="{00000000-0002-0000-0600-000000000000}">
      <formula1>" Lable"</formula1>
    </dataValidation>
    <dataValidation type="list" allowBlank="1" showInputMessage="1" showErrorMessage="1" sqref="E7:E37" xr:uid="{00000000-0002-0000-0600-000001000000}">
      <formula1>"EST"</formula1>
    </dataValidation>
    <dataValidation type="list" allowBlank="1" showInputMessage="1" showErrorMessage="1" sqref="F7:F37" xr:uid="{00000000-0002-0000-0600-000002000000}">
      <formula1>"Blue, Green"</formula1>
    </dataValidation>
    <dataValidation type="list" allowBlank="1" showInputMessage="1" showErrorMessage="1" sqref="G7:G37" xr:uid="{00000000-0002-0000-0600-000003000000}">
      <formula1>"140x240"</formula1>
    </dataValidation>
  </dataValidations>
  <pageMargins left="0.75" right="0.75" top="1" bottom="1" header="0.5" footer="0.5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1"/>
  </sheetPr>
  <dimension ref="C1:M300"/>
  <sheetViews>
    <sheetView zoomScale="70" zoomScaleNormal="70" workbookViewId="0">
      <selection activeCell="M21" sqref="M21"/>
    </sheetView>
  </sheetViews>
  <sheetFormatPr defaultRowHeight="14.4"/>
  <cols>
    <col min="3" max="3" width="41.44140625" customWidth="1"/>
    <col min="4" max="4" width="23.33203125" customWidth="1"/>
    <col min="5" max="5" width="21.109375" customWidth="1"/>
    <col min="6" max="6" width="34.109375" customWidth="1"/>
    <col min="7" max="8" width="20.5546875" customWidth="1"/>
    <col min="9" max="9" width="22.88671875" customWidth="1"/>
    <col min="10" max="10" width="42.33203125" customWidth="1"/>
    <col min="12" max="13" width="16.6640625" customWidth="1"/>
  </cols>
  <sheetData>
    <row r="1" spans="3:13" ht="15.75" customHeight="1"/>
    <row r="2" spans="3:13" ht="27" customHeight="1">
      <c r="C2" s="141" t="s">
        <v>70</v>
      </c>
      <c r="D2" s="141"/>
      <c r="E2" s="141"/>
      <c r="F2" s="141"/>
      <c r="G2" s="141"/>
      <c r="H2" s="141"/>
      <c r="I2" s="141"/>
      <c r="J2" s="141"/>
      <c r="K2" s="1"/>
    </row>
    <row r="3" spans="3:13" ht="27.75" customHeight="1">
      <c r="C3" s="141"/>
      <c r="D3" s="141"/>
      <c r="E3" s="141"/>
      <c r="F3" s="141"/>
      <c r="G3" s="141"/>
      <c r="H3" s="141"/>
      <c r="I3" s="141"/>
      <c r="J3" s="141"/>
      <c r="K3" s="1"/>
      <c r="L3" s="134" t="s">
        <v>16</v>
      </c>
      <c r="M3" s="134"/>
    </row>
    <row r="4" spans="3:13" ht="27.75" customHeight="1">
      <c r="C4" s="141"/>
      <c r="D4" s="141"/>
      <c r="E4" s="141"/>
      <c r="F4" s="141"/>
      <c r="G4" s="141"/>
      <c r="H4" s="141"/>
      <c r="I4" s="141"/>
      <c r="J4" s="141"/>
      <c r="K4" s="1"/>
      <c r="L4" s="135"/>
      <c r="M4" s="135"/>
    </row>
    <row r="5" spans="3:13" ht="25.8">
      <c r="C5" s="132"/>
      <c r="D5" s="132"/>
      <c r="E5" s="132"/>
      <c r="F5" s="132"/>
      <c r="G5" s="132"/>
      <c r="H5" s="132"/>
      <c r="I5" s="132"/>
      <c r="J5" s="132"/>
      <c r="K5" s="1"/>
      <c r="L5" s="45"/>
      <c r="M5" s="45"/>
    </row>
    <row r="6" spans="3:13" ht="33" customHeight="1">
      <c r="C6" s="49" t="s">
        <v>17</v>
      </c>
      <c r="D6" s="49" t="s">
        <v>10</v>
      </c>
      <c r="E6" s="49" t="s">
        <v>11</v>
      </c>
      <c r="F6" s="49" t="s">
        <v>12</v>
      </c>
      <c r="G6" s="49" t="s">
        <v>13</v>
      </c>
      <c r="H6" s="49" t="s">
        <v>61</v>
      </c>
      <c r="I6" s="49" t="s">
        <v>14</v>
      </c>
      <c r="J6" s="49" t="s">
        <v>15</v>
      </c>
      <c r="K6" s="1"/>
      <c r="L6" s="66" t="s">
        <v>1</v>
      </c>
      <c r="M6" s="67" t="s">
        <v>0</v>
      </c>
    </row>
    <row r="7" spans="3:13" ht="25.8">
      <c r="C7" s="35">
        <v>46174</v>
      </c>
      <c r="D7" s="43" t="s">
        <v>72</v>
      </c>
      <c r="E7" s="43" t="s">
        <v>71</v>
      </c>
      <c r="F7" s="75" t="s">
        <v>80</v>
      </c>
      <c r="G7" s="43" t="s">
        <v>69</v>
      </c>
      <c r="H7" s="43" t="s">
        <v>86</v>
      </c>
      <c r="I7" s="44">
        <v>1946</v>
      </c>
      <c r="J7" s="44">
        <v>1946</v>
      </c>
      <c r="K7" s="1"/>
      <c r="L7" s="33"/>
      <c r="M7" s="33"/>
    </row>
    <row r="8" spans="3:13" ht="25.8">
      <c r="C8" s="35">
        <v>46174</v>
      </c>
      <c r="D8" s="43" t="s">
        <v>72</v>
      </c>
      <c r="E8" s="33" t="s">
        <v>65</v>
      </c>
      <c r="F8" s="53" t="s">
        <v>79</v>
      </c>
      <c r="G8" s="33" t="s">
        <v>76</v>
      </c>
      <c r="H8" s="43" t="s">
        <v>86</v>
      </c>
      <c r="I8" s="34">
        <v>1396</v>
      </c>
      <c r="J8" s="34">
        <v>1395</v>
      </c>
      <c r="K8" s="1"/>
      <c r="L8" s="33"/>
      <c r="M8" s="33"/>
    </row>
    <row r="9" spans="3:13" ht="25.8">
      <c r="C9" s="35">
        <v>46174</v>
      </c>
      <c r="D9" s="43" t="s">
        <v>72</v>
      </c>
      <c r="E9" s="33" t="s">
        <v>73</v>
      </c>
      <c r="F9" s="53" t="s">
        <v>24</v>
      </c>
      <c r="G9" s="33" t="s">
        <v>76</v>
      </c>
      <c r="H9" s="43" t="s">
        <v>86</v>
      </c>
      <c r="I9" s="34">
        <v>393</v>
      </c>
      <c r="J9" s="34">
        <v>393</v>
      </c>
      <c r="K9" s="1"/>
      <c r="L9" s="33"/>
      <c r="M9" s="33"/>
    </row>
    <row r="10" spans="3:13" ht="25.8">
      <c r="C10" s="35">
        <v>46174</v>
      </c>
      <c r="D10" s="43" t="s">
        <v>72</v>
      </c>
      <c r="E10" s="33" t="s">
        <v>73</v>
      </c>
      <c r="F10" s="53" t="s">
        <v>37</v>
      </c>
      <c r="G10" s="33" t="s">
        <v>76</v>
      </c>
      <c r="H10" s="43" t="s">
        <v>86</v>
      </c>
      <c r="I10" s="34">
        <v>351</v>
      </c>
      <c r="J10" s="34">
        <v>351</v>
      </c>
      <c r="K10" s="1"/>
      <c r="L10" s="33"/>
      <c r="M10" s="33"/>
    </row>
    <row r="11" spans="3:13" ht="25.8">
      <c r="C11" s="35">
        <v>46174</v>
      </c>
      <c r="D11" s="43" t="s">
        <v>72</v>
      </c>
      <c r="E11" s="33" t="s">
        <v>77</v>
      </c>
      <c r="F11" s="53" t="s">
        <v>77</v>
      </c>
      <c r="G11" s="33" t="s">
        <v>78</v>
      </c>
      <c r="H11" s="43" t="s">
        <v>86</v>
      </c>
      <c r="I11" s="34">
        <v>200</v>
      </c>
      <c r="J11" s="34">
        <v>200</v>
      </c>
      <c r="K11" s="1"/>
      <c r="L11" s="33"/>
      <c r="M11" s="33"/>
    </row>
    <row r="12" spans="3:13" ht="25.8">
      <c r="C12" s="35">
        <v>46174</v>
      </c>
      <c r="D12" s="43" t="s">
        <v>72</v>
      </c>
      <c r="E12" s="33" t="s">
        <v>74</v>
      </c>
      <c r="F12" s="53" t="s">
        <v>74</v>
      </c>
      <c r="G12" s="33" t="s">
        <v>75</v>
      </c>
      <c r="H12" s="43" t="s">
        <v>86</v>
      </c>
      <c r="I12" s="34">
        <v>105</v>
      </c>
      <c r="J12" s="34">
        <v>105</v>
      </c>
      <c r="K12" s="1"/>
      <c r="L12" s="33"/>
      <c r="M12" s="33"/>
    </row>
    <row r="13" spans="3:13" ht="25.8">
      <c r="C13" s="35">
        <v>46175</v>
      </c>
      <c r="D13" s="43" t="s">
        <v>72</v>
      </c>
      <c r="E13" s="33" t="s">
        <v>65</v>
      </c>
      <c r="F13" s="53" t="s">
        <v>79</v>
      </c>
      <c r="G13" s="33" t="s">
        <v>76</v>
      </c>
      <c r="H13" s="33" t="s">
        <v>88</v>
      </c>
      <c r="I13" s="69">
        <v>1395</v>
      </c>
      <c r="J13" s="69">
        <v>1393</v>
      </c>
      <c r="K13" s="1"/>
      <c r="L13" s="33"/>
      <c r="M13" s="33"/>
    </row>
    <row r="14" spans="3:13" ht="25.8">
      <c r="C14" s="35">
        <v>46175</v>
      </c>
      <c r="D14" s="43" t="s">
        <v>72</v>
      </c>
      <c r="E14" s="33" t="s">
        <v>71</v>
      </c>
      <c r="F14" s="53" t="s">
        <v>80</v>
      </c>
      <c r="G14" s="33" t="s">
        <v>69</v>
      </c>
      <c r="H14" s="33" t="s">
        <v>88</v>
      </c>
      <c r="I14" s="69">
        <v>1946</v>
      </c>
      <c r="J14" s="69">
        <v>1944</v>
      </c>
      <c r="K14" s="1"/>
      <c r="L14" s="33"/>
      <c r="M14" s="33"/>
    </row>
    <row r="15" spans="3:13" ht="25.8">
      <c r="C15" s="35">
        <v>46175</v>
      </c>
      <c r="D15" s="43" t="s">
        <v>72</v>
      </c>
      <c r="E15" s="33" t="s">
        <v>73</v>
      </c>
      <c r="F15" s="53" t="s">
        <v>24</v>
      </c>
      <c r="G15" s="33" t="s">
        <v>76</v>
      </c>
      <c r="H15" s="33" t="s">
        <v>88</v>
      </c>
      <c r="I15" s="69">
        <v>393</v>
      </c>
      <c r="J15" s="69">
        <v>390</v>
      </c>
      <c r="K15" s="1"/>
      <c r="L15" s="33"/>
      <c r="M15" s="33"/>
    </row>
    <row r="16" spans="3:13" ht="25.8">
      <c r="C16" s="35">
        <v>46176</v>
      </c>
      <c r="D16" s="43" t="s">
        <v>72</v>
      </c>
      <c r="E16" s="33" t="s">
        <v>71</v>
      </c>
      <c r="F16" s="53" t="s">
        <v>80</v>
      </c>
      <c r="G16" s="33" t="s">
        <v>69</v>
      </c>
      <c r="H16" s="33" t="s">
        <v>88</v>
      </c>
      <c r="I16" s="69">
        <v>1944</v>
      </c>
      <c r="J16" s="69">
        <v>1943</v>
      </c>
      <c r="K16" s="1"/>
      <c r="L16" s="33"/>
      <c r="M16" s="33"/>
    </row>
    <row r="17" spans="3:13" ht="25.8">
      <c r="C17" s="35">
        <v>46176</v>
      </c>
      <c r="D17" s="43" t="s">
        <v>72</v>
      </c>
      <c r="E17" s="33" t="s">
        <v>73</v>
      </c>
      <c r="F17" s="53" t="s">
        <v>24</v>
      </c>
      <c r="G17" s="33" t="s">
        <v>76</v>
      </c>
      <c r="H17" s="33" t="s">
        <v>88</v>
      </c>
      <c r="I17" s="69">
        <v>390</v>
      </c>
      <c r="J17" s="69">
        <v>388</v>
      </c>
      <c r="K17" s="1"/>
      <c r="L17" s="33"/>
      <c r="M17" s="33"/>
    </row>
    <row r="18" spans="3:13" ht="25.8">
      <c r="C18" s="35">
        <v>46176</v>
      </c>
      <c r="D18" s="43" t="s">
        <v>72</v>
      </c>
      <c r="E18" s="33" t="s">
        <v>73</v>
      </c>
      <c r="F18" s="53" t="s">
        <v>37</v>
      </c>
      <c r="G18" s="33" t="s">
        <v>76</v>
      </c>
      <c r="H18" s="33" t="s">
        <v>88</v>
      </c>
      <c r="I18" s="69">
        <v>351</v>
      </c>
      <c r="J18" s="69">
        <v>350</v>
      </c>
      <c r="K18" s="1"/>
      <c r="L18" s="33"/>
      <c r="M18" s="33"/>
    </row>
    <row r="19" spans="3:13" ht="25.8">
      <c r="C19" s="35">
        <v>46177</v>
      </c>
      <c r="D19" s="43" t="s">
        <v>72</v>
      </c>
      <c r="E19" s="33" t="s">
        <v>65</v>
      </c>
      <c r="F19" s="53" t="s">
        <v>79</v>
      </c>
      <c r="G19" s="33" t="s">
        <v>76</v>
      </c>
      <c r="H19" s="33" t="s">
        <v>88</v>
      </c>
      <c r="I19" s="69">
        <v>1393</v>
      </c>
      <c r="J19" s="69">
        <v>1383</v>
      </c>
      <c r="K19" s="1"/>
      <c r="L19" s="33"/>
      <c r="M19" s="33"/>
    </row>
    <row r="20" spans="3:13" ht="25.8">
      <c r="C20" s="35">
        <v>46177</v>
      </c>
      <c r="D20" s="43" t="s">
        <v>72</v>
      </c>
      <c r="E20" s="33" t="s">
        <v>71</v>
      </c>
      <c r="F20" s="53" t="s">
        <v>80</v>
      </c>
      <c r="G20" s="33" t="s">
        <v>69</v>
      </c>
      <c r="H20" s="33" t="s">
        <v>88</v>
      </c>
      <c r="I20" s="69">
        <v>1943</v>
      </c>
      <c r="J20" s="69">
        <v>1939</v>
      </c>
      <c r="K20" s="1"/>
      <c r="L20" s="33"/>
      <c r="M20" s="33"/>
    </row>
    <row r="21" spans="3:13" ht="26.25" customHeight="1">
      <c r="C21" s="35"/>
      <c r="D21" s="43" t="s">
        <v>72</v>
      </c>
      <c r="E21" s="33"/>
      <c r="F21" s="53"/>
      <c r="G21" s="33"/>
      <c r="H21" s="33"/>
      <c r="I21" s="69"/>
      <c r="J21" s="69"/>
      <c r="K21" s="1"/>
      <c r="L21" s="33"/>
      <c r="M21" s="33"/>
    </row>
    <row r="22" spans="3:13" ht="26.25" customHeight="1">
      <c r="C22" s="35"/>
      <c r="D22" s="43" t="s">
        <v>72</v>
      </c>
      <c r="E22" s="33"/>
      <c r="F22" s="53"/>
      <c r="G22" s="33"/>
      <c r="H22" s="33"/>
      <c r="I22" s="69"/>
      <c r="J22" s="69"/>
      <c r="K22" s="1"/>
      <c r="L22" s="33"/>
      <c r="M22" s="33"/>
    </row>
    <row r="23" spans="3:13" ht="26.25" customHeight="1">
      <c r="C23" s="35"/>
      <c r="D23" s="43" t="s">
        <v>72</v>
      </c>
      <c r="E23" s="33"/>
      <c r="F23" s="53"/>
      <c r="G23" s="33"/>
      <c r="H23" s="33"/>
      <c r="I23" s="69"/>
      <c r="J23" s="69"/>
      <c r="K23" s="1"/>
      <c r="L23" s="33"/>
      <c r="M23" s="33"/>
    </row>
    <row r="24" spans="3:13" ht="26.25" customHeight="1">
      <c r="C24" s="35"/>
      <c r="D24" s="43" t="s">
        <v>72</v>
      </c>
      <c r="E24" s="33"/>
      <c r="F24" s="53"/>
      <c r="G24" s="33"/>
      <c r="H24" s="33"/>
      <c r="I24" s="69"/>
      <c r="J24" s="69"/>
      <c r="K24" s="1"/>
      <c r="L24" s="33"/>
      <c r="M24" s="33"/>
    </row>
    <row r="25" spans="3:13" ht="26.25" customHeight="1">
      <c r="C25" s="35"/>
      <c r="D25" s="43" t="s">
        <v>72</v>
      </c>
      <c r="E25" s="33"/>
      <c r="F25" s="53"/>
      <c r="G25" s="33"/>
      <c r="H25" s="33"/>
      <c r="I25" s="69"/>
      <c r="J25" s="69"/>
      <c r="K25" s="1"/>
      <c r="L25" s="33"/>
      <c r="M25" s="33"/>
    </row>
    <row r="26" spans="3:13" ht="26.25" customHeight="1">
      <c r="C26" s="35"/>
      <c r="D26" s="43" t="s">
        <v>72</v>
      </c>
      <c r="E26" s="33"/>
      <c r="F26" s="53"/>
      <c r="G26" s="33"/>
      <c r="H26" s="33"/>
      <c r="I26" s="69"/>
      <c r="J26" s="69"/>
      <c r="K26" s="1"/>
      <c r="L26" s="33"/>
      <c r="M26" s="33"/>
    </row>
    <row r="27" spans="3:13" ht="26.25" customHeight="1">
      <c r="C27" s="35"/>
      <c r="D27" s="43" t="s">
        <v>72</v>
      </c>
      <c r="E27" s="33"/>
      <c r="F27" s="53"/>
      <c r="G27" s="33"/>
      <c r="H27" s="33"/>
      <c r="I27" s="69"/>
      <c r="J27" s="69"/>
      <c r="K27" s="1"/>
      <c r="L27" s="33"/>
      <c r="M27" s="33"/>
    </row>
    <row r="28" spans="3:13" ht="26.25" customHeight="1">
      <c r="C28" s="35"/>
      <c r="D28" s="43" t="s">
        <v>72</v>
      </c>
      <c r="E28" s="33"/>
      <c r="F28" s="53"/>
      <c r="G28" s="33"/>
      <c r="H28" s="33"/>
      <c r="I28" s="69"/>
      <c r="J28" s="69"/>
      <c r="K28" s="1"/>
      <c r="L28" s="33"/>
      <c r="M28" s="33"/>
    </row>
    <row r="29" spans="3:13" ht="26.25" customHeight="1">
      <c r="C29" s="35"/>
      <c r="D29" s="43" t="s">
        <v>72</v>
      </c>
      <c r="E29" s="33"/>
      <c r="F29" s="53"/>
      <c r="G29" s="33"/>
      <c r="H29" s="33"/>
      <c r="I29" s="69"/>
      <c r="J29" s="69"/>
      <c r="K29" s="1"/>
      <c r="L29" s="33"/>
      <c r="M29" s="33"/>
    </row>
    <row r="30" spans="3:13" ht="26.25" customHeight="1">
      <c r="C30" s="35"/>
      <c r="D30" s="43" t="s">
        <v>72</v>
      </c>
      <c r="E30" s="33"/>
      <c r="F30" s="53"/>
      <c r="G30" s="33"/>
      <c r="H30" s="33"/>
      <c r="I30" s="69"/>
      <c r="J30" s="69"/>
      <c r="K30" s="1"/>
      <c r="L30" s="33"/>
      <c r="M30" s="33"/>
    </row>
    <row r="31" spans="3:13" ht="26.25" customHeight="1">
      <c r="C31" s="35"/>
      <c r="D31" s="43" t="s">
        <v>72</v>
      </c>
      <c r="E31" s="33"/>
      <c r="F31" s="53"/>
      <c r="G31" s="33"/>
      <c r="H31" s="33"/>
      <c r="I31" s="69"/>
      <c r="J31" s="69"/>
      <c r="K31" s="1"/>
      <c r="L31" s="33"/>
      <c r="M31" s="33"/>
    </row>
    <row r="32" spans="3:13" ht="26.25" customHeight="1">
      <c r="C32" s="57"/>
      <c r="D32" s="43" t="s">
        <v>72</v>
      </c>
      <c r="E32" s="33"/>
      <c r="F32" s="53"/>
      <c r="G32" s="33"/>
      <c r="H32" s="33"/>
      <c r="I32" s="69"/>
      <c r="J32" s="69"/>
      <c r="K32" s="1"/>
      <c r="L32" s="33"/>
      <c r="M32" s="33"/>
    </row>
    <row r="33" spans="3:13" ht="26.25" customHeight="1">
      <c r="C33" s="57"/>
      <c r="D33" s="43" t="s">
        <v>72</v>
      </c>
      <c r="E33" s="33"/>
      <c r="F33" s="53"/>
      <c r="G33" s="33"/>
      <c r="H33" s="33"/>
      <c r="I33" s="69"/>
      <c r="J33" s="69"/>
      <c r="K33" s="1"/>
      <c r="L33" s="33"/>
      <c r="M33" s="33"/>
    </row>
    <row r="34" spans="3:13" ht="26.25" customHeight="1">
      <c r="C34" s="35"/>
      <c r="D34" s="43" t="s">
        <v>72</v>
      </c>
      <c r="E34" s="33"/>
      <c r="F34" s="53"/>
      <c r="G34" s="33"/>
      <c r="H34" s="33"/>
      <c r="I34" s="69"/>
      <c r="J34" s="69"/>
      <c r="K34" s="1"/>
      <c r="L34" s="33"/>
      <c r="M34" s="33"/>
    </row>
    <row r="35" spans="3:13" ht="26.25" customHeight="1">
      <c r="C35" s="35"/>
      <c r="D35" s="43" t="s">
        <v>72</v>
      </c>
      <c r="E35" s="33"/>
      <c r="F35" s="53"/>
      <c r="G35" s="33"/>
      <c r="H35" s="33"/>
      <c r="I35" s="69"/>
      <c r="J35" s="69"/>
      <c r="K35" s="1"/>
      <c r="L35" s="33"/>
      <c r="M35" s="33"/>
    </row>
    <row r="36" spans="3:13" ht="26.25" customHeight="1">
      <c r="C36" s="74"/>
      <c r="D36" s="43" t="s">
        <v>72</v>
      </c>
      <c r="E36" s="33"/>
      <c r="F36" s="53"/>
      <c r="G36" s="33"/>
      <c r="H36" s="33"/>
      <c r="I36" s="34"/>
      <c r="J36" s="34"/>
      <c r="K36" s="1"/>
      <c r="L36" s="33"/>
      <c r="M36" s="33"/>
    </row>
    <row r="37" spans="3:13" ht="26.25" customHeight="1">
      <c r="C37" s="74"/>
      <c r="D37" s="43" t="s">
        <v>72</v>
      </c>
      <c r="E37" s="33"/>
      <c r="F37" s="53"/>
      <c r="G37" s="33"/>
      <c r="H37" s="33"/>
      <c r="I37" s="34"/>
      <c r="J37" s="34"/>
      <c r="K37" s="1"/>
      <c r="L37" s="33"/>
      <c r="M37" s="33"/>
    </row>
    <row r="38" spans="3:13" ht="25.8">
      <c r="C38" s="74"/>
      <c r="D38" s="43" t="s">
        <v>72</v>
      </c>
      <c r="E38" s="33"/>
      <c r="F38" s="33"/>
      <c r="G38" s="33"/>
      <c r="H38" s="33"/>
      <c r="I38" s="34"/>
      <c r="J38" s="34"/>
      <c r="L38" s="33"/>
      <c r="M38" s="33"/>
    </row>
    <row r="39" spans="3:13" ht="25.8">
      <c r="C39" s="74"/>
      <c r="D39" s="43" t="s">
        <v>72</v>
      </c>
      <c r="E39" s="33"/>
      <c r="F39" s="33"/>
      <c r="G39" s="33"/>
      <c r="H39" s="33"/>
      <c r="I39" s="34"/>
      <c r="J39" s="34"/>
      <c r="L39" s="33"/>
      <c r="M39" s="33"/>
    </row>
    <row r="40" spans="3:13" ht="25.8">
      <c r="C40" s="74"/>
      <c r="D40" s="43" t="s">
        <v>72</v>
      </c>
      <c r="E40" s="33"/>
      <c r="F40" s="33"/>
      <c r="G40" s="33"/>
      <c r="H40" s="33"/>
      <c r="I40" s="34"/>
      <c r="J40" s="34"/>
      <c r="L40" s="33"/>
      <c r="M40" s="33"/>
    </row>
    <row r="41" spans="3:13" ht="25.8">
      <c r="C41" s="74"/>
      <c r="D41" s="43" t="s">
        <v>72</v>
      </c>
      <c r="E41" s="33"/>
      <c r="F41" s="33"/>
      <c r="G41" s="33"/>
      <c r="H41" s="33"/>
      <c r="I41" s="34"/>
      <c r="J41" s="34"/>
      <c r="L41" s="33"/>
      <c r="M41" s="33"/>
    </row>
    <row r="42" spans="3:13" ht="25.8">
      <c r="C42" s="74"/>
      <c r="D42" s="43" t="s">
        <v>72</v>
      </c>
      <c r="E42" s="33"/>
      <c r="F42" s="33"/>
      <c r="G42" s="33"/>
      <c r="H42" s="33"/>
      <c r="I42" s="34"/>
      <c r="J42" s="34"/>
      <c r="L42" s="33"/>
      <c r="M42" s="33"/>
    </row>
    <row r="43" spans="3:13" ht="25.8">
      <c r="C43" s="74"/>
      <c r="D43" s="43" t="s">
        <v>72</v>
      </c>
      <c r="E43" s="33"/>
      <c r="F43" s="33"/>
      <c r="G43" s="33"/>
      <c r="H43" s="33"/>
      <c r="I43" s="34"/>
      <c r="J43" s="34"/>
      <c r="L43" s="33"/>
      <c r="M43" s="33"/>
    </row>
    <row r="44" spans="3:13" ht="25.8">
      <c r="C44" s="74"/>
      <c r="D44" s="43" t="s">
        <v>72</v>
      </c>
      <c r="E44" s="33"/>
      <c r="F44" s="33"/>
      <c r="G44" s="33"/>
      <c r="H44" s="33"/>
      <c r="I44" s="34"/>
      <c r="J44" s="34"/>
      <c r="L44" s="33"/>
      <c r="M44" s="33"/>
    </row>
    <row r="45" spans="3:13" ht="25.8">
      <c r="C45" s="74"/>
      <c r="D45" s="43" t="s">
        <v>72</v>
      </c>
      <c r="E45" s="33"/>
      <c r="F45" s="33"/>
      <c r="G45" s="33"/>
      <c r="H45" s="33"/>
      <c r="I45" s="34"/>
      <c r="J45" s="34"/>
      <c r="L45" s="33"/>
      <c r="M45" s="33"/>
    </row>
    <row r="46" spans="3:13" ht="25.8">
      <c r="C46" s="74"/>
      <c r="D46" s="43" t="s">
        <v>72</v>
      </c>
      <c r="E46" s="33"/>
      <c r="F46" s="33"/>
      <c r="G46" s="33"/>
      <c r="H46" s="33"/>
      <c r="I46" s="34"/>
      <c r="J46" s="34"/>
      <c r="L46" s="33"/>
      <c r="M46" s="33"/>
    </row>
    <row r="47" spans="3:13" ht="25.8">
      <c r="C47" s="74"/>
      <c r="D47" s="43" t="s">
        <v>72</v>
      </c>
      <c r="E47" s="33"/>
      <c r="F47" s="33"/>
      <c r="G47" s="33"/>
      <c r="H47" s="33"/>
      <c r="I47" s="34"/>
      <c r="J47" s="34"/>
      <c r="L47" s="33"/>
      <c r="M47" s="33"/>
    </row>
    <row r="48" spans="3:13" ht="25.8">
      <c r="C48" s="74"/>
      <c r="D48" s="43" t="s">
        <v>72</v>
      </c>
      <c r="E48" s="33"/>
      <c r="F48" s="33"/>
      <c r="G48" s="33"/>
      <c r="H48" s="33"/>
      <c r="I48" s="34"/>
      <c r="J48" s="34"/>
      <c r="L48" s="33"/>
      <c r="M48" s="33"/>
    </row>
    <row r="49" spans="3:13" ht="25.8">
      <c r="C49" s="74"/>
      <c r="D49" s="43" t="s">
        <v>72</v>
      </c>
      <c r="E49" s="33"/>
      <c r="F49" s="33"/>
      <c r="G49" s="33"/>
      <c r="H49" s="33"/>
      <c r="I49" s="34"/>
      <c r="J49" s="34"/>
      <c r="L49" s="33"/>
      <c r="M49" s="33"/>
    </row>
    <row r="50" spans="3:13" ht="25.8">
      <c r="C50" s="74"/>
      <c r="D50" s="43" t="s">
        <v>72</v>
      </c>
      <c r="E50" s="33"/>
      <c r="F50" s="33"/>
      <c r="G50" s="33"/>
      <c r="H50" s="33"/>
      <c r="I50" s="34"/>
      <c r="J50" s="34"/>
      <c r="L50" s="33"/>
      <c r="M50" s="33"/>
    </row>
    <row r="51" spans="3:13" ht="25.8">
      <c r="C51" s="74"/>
      <c r="D51" s="43" t="s">
        <v>72</v>
      </c>
      <c r="E51" s="33"/>
      <c r="F51" s="33"/>
      <c r="G51" s="33"/>
      <c r="H51" s="33"/>
      <c r="I51" s="34"/>
      <c r="J51" s="34"/>
      <c r="L51" s="33"/>
      <c r="M51" s="33"/>
    </row>
    <row r="52" spans="3:13" ht="25.8">
      <c r="C52" s="74"/>
      <c r="D52" s="43" t="s">
        <v>72</v>
      </c>
      <c r="E52" s="33"/>
      <c r="F52" s="33"/>
      <c r="G52" s="33"/>
      <c r="H52" s="33"/>
      <c r="I52" s="34"/>
      <c r="J52" s="34"/>
      <c r="L52" s="33"/>
      <c r="M52" s="33"/>
    </row>
    <row r="53" spans="3:13" ht="25.8">
      <c r="C53" s="74"/>
      <c r="D53" s="43" t="s">
        <v>72</v>
      </c>
      <c r="E53" s="33"/>
      <c r="F53" s="33"/>
      <c r="G53" s="33"/>
      <c r="H53" s="33"/>
      <c r="I53" s="34"/>
      <c r="J53" s="34"/>
      <c r="L53" s="33"/>
      <c r="M53" s="33"/>
    </row>
    <row r="54" spans="3:13" ht="25.8">
      <c r="C54" s="74"/>
      <c r="D54" s="43" t="s">
        <v>72</v>
      </c>
      <c r="E54" s="33"/>
      <c r="F54" s="33"/>
      <c r="G54" s="33"/>
      <c r="H54" s="33"/>
      <c r="I54" s="34"/>
      <c r="J54" s="34"/>
      <c r="L54" s="33"/>
      <c r="M54" s="33"/>
    </row>
    <row r="55" spans="3:13" ht="25.8">
      <c r="C55" s="74"/>
      <c r="D55" s="43" t="s">
        <v>72</v>
      </c>
      <c r="E55" s="33"/>
      <c r="F55" s="33"/>
      <c r="G55" s="33"/>
      <c r="H55" s="33"/>
      <c r="I55" s="34"/>
      <c r="J55" s="34"/>
      <c r="L55" s="33"/>
      <c r="M55" s="33"/>
    </row>
    <row r="56" spans="3:13" ht="25.8">
      <c r="C56" s="74"/>
      <c r="D56" s="43" t="s">
        <v>72</v>
      </c>
      <c r="E56" s="33"/>
      <c r="F56" s="33"/>
      <c r="G56" s="33"/>
      <c r="H56" s="33"/>
      <c r="I56" s="34"/>
      <c r="J56" s="34"/>
      <c r="L56" s="33"/>
      <c r="M56" s="33"/>
    </row>
    <row r="57" spans="3:13" ht="25.8">
      <c r="C57" s="74"/>
      <c r="D57" s="43" t="s">
        <v>72</v>
      </c>
      <c r="E57" s="33"/>
      <c r="F57" s="33"/>
      <c r="G57" s="33"/>
      <c r="H57" s="33"/>
      <c r="I57" s="34"/>
      <c r="J57" s="34"/>
      <c r="L57" s="33"/>
      <c r="M57" s="33"/>
    </row>
    <row r="58" spans="3:13" ht="25.8">
      <c r="C58" s="74"/>
      <c r="D58" s="43" t="s">
        <v>72</v>
      </c>
      <c r="E58" s="33"/>
      <c r="F58" s="33"/>
      <c r="G58" s="33"/>
      <c r="H58" s="33"/>
      <c r="I58" s="34"/>
      <c r="J58" s="34"/>
      <c r="L58" s="33"/>
      <c r="M58" s="33"/>
    </row>
    <row r="59" spans="3:13" ht="25.8">
      <c r="C59" s="74"/>
      <c r="D59" s="43" t="s">
        <v>72</v>
      </c>
      <c r="E59" s="33"/>
      <c r="F59" s="33"/>
      <c r="G59" s="33"/>
      <c r="H59" s="33"/>
      <c r="I59" s="34"/>
      <c r="J59" s="34"/>
      <c r="L59" s="33"/>
      <c r="M59" s="33"/>
    </row>
    <row r="60" spans="3:13" ht="25.8">
      <c r="C60" s="74"/>
      <c r="D60" s="43" t="s">
        <v>72</v>
      </c>
      <c r="E60" s="33"/>
      <c r="F60" s="33"/>
      <c r="G60" s="33"/>
      <c r="H60" s="33"/>
      <c r="I60" s="34"/>
      <c r="J60" s="34"/>
      <c r="L60" s="33"/>
      <c r="M60" s="33"/>
    </row>
    <row r="61" spans="3:13" ht="25.8">
      <c r="C61" s="33"/>
      <c r="D61" s="43" t="s">
        <v>72</v>
      </c>
      <c r="E61" s="33"/>
      <c r="F61" s="33"/>
      <c r="G61" s="33"/>
      <c r="H61" s="33"/>
      <c r="I61" s="34"/>
      <c r="J61" s="34"/>
      <c r="L61" s="33"/>
      <c r="M61" s="33"/>
    </row>
    <row r="62" spans="3:13" ht="25.8">
      <c r="C62" s="33"/>
      <c r="D62" s="43" t="s">
        <v>72</v>
      </c>
      <c r="E62" s="33"/>
      <c r="F62" s="33"/>
      <c r="G62" s="33"/>
      <c r="H62" s="33"/>
      <c r="I62" s="34"/>
      <c r="J62" s="34"/>
      <c r="L62" s="33"/>
      <c r="M62" s="33"/>
    </row>
    <row r="63" spans="3:13" ht="25.8">
      <c r="C63" s="33"/>
      <c r="D63" s="43" t="s">
        <v>72</v>
      </c>
      <c r="E63" s="33"/>
      <c r="F63" s="33"/>
      <c r="G63" s="33"/>
      <c r="H63" s="33"/>
      <c r="I63" s="34"/>
      <c r="J63" s="34"/>
      <c r="L63" s="33"/>
      <c r="M63" s="33"/>
    </row>
    <row r="64" spans="3:13" ht="25.8">
      <c r="C64" s="33"/>
      <c r="D64" s="43" t="s">
        <v>72</v>
      </c>
      <c r="E64" s="33"/>
      <c r="F64" s="33"/>
      <c r="G64" s="33"/>
      <c r="H64" s="33"/>
      <c r="I64" s="34"/>
      <c r="J64" s="34"/>
      <c r="L64" s="33"/>
      <c r="M64" s="33"/>
    </row>
    <row r="65" spans="3:13" ht="25.8">
      <c r="C65" s="33"/>
      <c r="D65" s="43" t="s">
        <v>72</v>
      </c>
      <c r="E65" s="33"/>
      <c r="F65" s="33"/>
      <c r="G65" s="33"/>
      <c r="H65" s="33"/>
      <c r="I65" s="34"/>
      <c r="J65" s="34"/>
      <c r="L65" s="33"/>
      <c r="M65" s="33"/>
    </row>
    <row r="66" spans="3:13" ht="25.8">
      <c r="C66" s="33"/>
      <c r="D66" s="43" t="s">
        <v>72</v>
      </c>
      <c r="E66" s="33"/>
      <c r="F66" s="33"/>
      <c r="G66" s="33"/>
      <c r="H66" s="33"/>
      <c r="I66" s="34"/>
      <c r="J66" s="34"/>
      <c r="L66" s="33"/>
      <c r="M66" s="33"/>
    </row>
    <row r="67" spans="3:13" ht="25.8">
      <c r="C67" s="33"/>
      <c r="D67" s="43" t="s">
        <v>72</v>
      </c>
      <c r="E67" s="33"/>
      <c r="F67" s="33"/>
      <c r="G67" s="33"/>
      <c r="H67" s="33"/>
      <c r="I67" s="34"/>
      <c r="J67" s="34"/>
      <c r="L67" s="33"/>
      <c r="M67" s="33"/>
    </row>
    <row r="68" spans="3:13" ht="25.8">
      <c r="C68" s="33"/>
      <c r="D68" s="43" t="s">
        <v>72</v>
      </c>
      <c r="E68" s="33"/>
      <c r="F68" s="33"/>
      <c r="G68" s="33"/>
      <c r="H68" s="33"/>
      <c r="I68" s="34"/>
      <c r="J68" s="34"/>
      <c r="L68" s="33"/>
      <c r="M68" s="33"/>
    </row>
    <row r="69" spans="3:13" ht="25.8">
      <c r="C69" s="33"/>
      <c r="D69" s="43" t="s">
        <v>72</v>
      </c>
      <c r="E69" s="33"/>
      <c r="F69" s="33"/>
      <c r="G69" s="33"/>
      <c r="H69" s="33"/>
      <c r="I69" s="34"/>
      <c r="J69" s="34"/>
      <c r="L69" s="33"/>
      <c r="M69" s="33"/>
    </row>
    <row r="70" spans="3:13" ht="25.8">
      <c r="C70" s="33"/>
      <c r="D70" s="43" t="s">
        <v>72</v>
      </c>
      <c r="E70" s="33"/>
      <c r="F70" s="33"/>
      <c r="G70" s="33"/>
      <c r="H70" s="33"/>
      <c r="I70" s="34"/>
      <c r="J70" s="34"/>
      <c r="L70" s="33"/>
      <c r="M70" s="33"/>
    </row>
    <row r="71" spans="3:13" ht="25.8">
      <c r="C71" s="33"/>
      <c r="D71" s="43" t="s">
        <v>72</v>
      </c>
      <c r="E71" s="33"/>
      <c r="F71" s="33"/>
      <c r="G71" s="33"/>
      <c r="H71" s="33"/>
      <c r="I71" s="34"/>
      <c r="J71" s="34"/>
      <c r="L71" s="33"/>
      <c r="M71" s="33"/>
    </row>
    <row r="72" spans="3:13" ht="25.8">
      <c r="C72" s="33"/>
      <c r="D72" s="43" t="s">
        <v>72</v>
      </c>
      <c r="E72" s="33"/>
      <c r="F72" s="33"/>
      <c r="G72" s="33"/>
      <c r="H72" s="33"/>
      <c r="I72" s="34"/>
      <c r="J72" s="34"/>
      <c r="L72" s="33"/>
      <c r="M72" s="33"/>
    </row>
    <row r="73" spans="3:13" ht="25.8">
      <c r="C73" s="33"/>
      <c r="D73" s="43" t="s">
        <v>72</v>
      </c>
      <c r="E73" s="33"/>
      <c r="F73" s="33"/>
      <c r="G73" s="33"/>
      <c r="H73" s="33"/>
      <c r="I73" s="34"/>
      <c r="J73" s="34"/>
      <c r="L73" s="33"/>
      <c r="M73" s="33"/>
    </row>
    <row r="74" spans="3:13" ht="25.8">
      <c r="C74" s="33"/>
      <c r="D74" s="43" t="s">
        <v>72</v>
      </c>
      <c r="E74" s="33"/>
      <c r="F74" s="33"/>
      <c r="G74" s="33"/>
      <c r="H74" s="33"/>
      <c r="I74" s="34"/>
      <c r="J74" s="34"/>
      <c r="L74" s="33"/>
      <c r="M74" s="33"/>
    </row>
    <row r="75" spans="3:13" ht="25.8">
      <c r="C75" s="33"/>
      <c r="D75" s="43" t="s">
        <v>72</v>
      </c>
      <c r="E75" s="33"/>
      <c r="F75" s="33"/>
      <c r="G75" s="33"/>
      <c r="H75" s="33"/>
      <c r="I75" s="34"/>
      <c r="J75" s="34"/>
      <c r="L75" s="33"/>
      <c r="M75" s="33"/>
    </row>
    <row r="76" spans="3:13" ht="25.8">
      <c r="C76" s="33"/>
      <c r="D76" s="43" t="s">
        <v>72</v>
      </c>
      <c r="E76" s="33"/>
      <c r="F76" s="33"/>
      <c r="G76" s="33"/>
      <c r="H76" s="33"/>
      <c r="I76" s="34"/>
      <c r="J76" s="34"/>
      <c r="L76" s="33"/>
      <c r="M76" s="33"/>
    </row>
    <row r="77" spans="3:13" ht="25.8">
      <c r="C77" s="33"/>
      <c r="D77" s="43" t="s">
        <v>72</v>
      </c>
      <c r="E77" s="33"/>
      <c r="F77" s="33"/>
      <c r="G77" s="33"/>
      <c r="H77" s="33"/>
      <c r="I77" s="34"/>
      <c r="J77" s="34"/>
      <c r="L77" s="33"/>
      <c r="M77" s="33"/>
    </row>
    <row r="78" spans="3:13" ht="25.8">
      <c r="C78" s="33"/>
      <c r="D78" s="43" t="s">
        <v>72</v>
      </c>
      <c r="E78" s="33"/>
      <c r="F78" s="33"/>
      <c r="G78" s="33"/>
      <c r="H78" s="33"/>
      <c r="I78" s="34"/>
      <c r="J78" s="34"/>
      <c r="L78" s="33"/>
      <c r="M78" s="33"/>
    </row>
    <row r="79" spans="3:13" ht="25.8">
      <c r="C79" s="33"/>
      <c r="D79" s="43" t="s">
        <v>72</v>
      </c>
      <c r="E79" s="33"/>
      <c r="F79" s="33"/>
      <c r="G79" s="33"/>
      <c r="H79" s="33"/>
      <c r="I79" s="34"/>
      <c r="J79" s="34"/>
      <c r="L79" s="33"/>
      <c r="M79" s="33"/>
    </row>
    <row r="80" spans="3:13" ht="25.8">
      <c r="C80" s="33"/>
      <c r="D80" s="43" t="s">
        <v>72</v>
      </c>
      <c r="E80" s="33"/>
      <c r="F80" s="33"/>
      <c r="G80" s="33"/>
      <c r="H80" s="33"/>
      <c r="I80" s="34"/>
      <c r="J80" s="34"/>
      <c r="L80" s="33"/>
      <c r="M80" s="33"/>
    </row>
    <row r="81" spans="3:13" ht="25.8">
      <c r="C81" s="33"/>
      <c r="D81" s="43" t="s">
        <v>72</v>
      </c>
      <c r="E81" s="33"/>
      <c r="F81" s="33"/>
      <c r="G81" s="33"/>
      <c r="H81" s="33"/>
      <c r="I81" s="34"/>
      <c r="J81" s="34"/>
      <c r="L81" s="33"/>
      <c r="M81" s="33"/>
    </row>
    <row r="82" spans="3:13" ht="25.8">
      <c r="C82" s="33"/>
      <c r="D82" s="43" t="s">
        <v>72</v>
      </c>
      <c r="E82" s="33"/>
      <c r="F82" s="33"/>
      <c r="G82" s="33"/>
      <c r="H82" s="33"/>
      <c r="I82" s="34"/>
      <c r="J82" s="34"/>
      <c r="L82" s="33"/>
      <c r="M82" s="33"/>
    </row>
    <row r="83" spans="3:13" ht="25.8">
      <c r="C83" s="33"/>
      <c r="D83" s="43" t="s">
        <v>72</v>
      </c>
      <c r="E83" s="33"/>
      <c r="F83" s="33"/>
      <c r="G83" s="33"/>
      <c r="H83" s="33"/>
      <c r="I83" s="34"/>
      <c r="J83" s="34"/>
      <c r="L83" s="33"/>
      <c r="M83" s="33"/>
    </row>
    <row r="84" spans="3:13" ht="25.8">
      <c r="C84" s="33"/>
      <c r="D84" s="43" t="s">
        <v>72</v>
      </c>
      <c r="E84" s="33"/>
      <c r="F84" s="33"/>
      <c r="G84" s="33"/>
      <c r="H84" s="33"/>
      <c r="I84" s="34"/>
      <c r="J84" s="34"/>
      <c r="L84" s="33"/>
      <c r="M84" s="33"/>
    </row>
    <row r="85" spans="3:13" ht="25.8">
      <c r="C85" s="33"/>
      <c r="D85" s="43" t="s">
        <v>72</v>
      </c>
      <c r="E85" s="33"/>
      <c r="F85" s="33"/>
      <c r="G85" s="33"/>
      <c r="H85" s="33"/>
      <c r="I85" s="34"/>
      <c r="J85" s="34"/>
      <c r="L85" s="33"/>
      <c r="M85" s="33"/>
    </row>
    <row r="86" spans="3:13" ht="25.8">
      <c r="C86" s="33"/>
      <c r="D86" s="43" t="s">
        <v>72</v>
      </c>
      <c r="E86" s="33"/>
      <c r="F86" s="33"/>
      <c r="G86" s="33"/>
      <c r="H86" s="33"/>
      <c r="I86" s="34"/>
      <c r="J86" s="34"/>
      <c r="L86" s="33"/>
      <c r="M86" s="33"/>
    </row>
    <row r="87" spans="3:13" ht="25.8">
      <c r="C87" s="33"/>
      <c r="D87" s="43" t="s">
        <v>72</v>
      </c>
      <c r="E87" s="33"/>
      <c r="F87" s="33"/>
      <c r="G87" s="33"/>
      <c r="H87" s="33"/>
      <c r="I87" s="34"/>
      <c r="J87" s="34"/>
      <c r="L87" s="33"/>
      <c r="M87" s="33"/>
    </row>
    <row r="88" spans="3:13" ht="25.8">
      <c r="C88" s="33"/>
      <c r="D88" s="43" t="s">
        <v>72</v>
      </c>
      <c r="E88" s="33"/>
      <c r="F88" s="33"/>
      <c r="G88" s="33"/>
      <c r="H88" s="33"/>
      <c r="I88" s="34"/>
      <c r="J88" s="34"/>
      <c r="L88" s="33"/>
      <c r="M88" s="33"/>
    </row>
    <row r="89" spans="3:13" ht="25.8">
      <c r="C89" s="33"/>
      <c r="D89" s="43" t="s">
        <v>72</v>
      </c>
      <c r="E89" s="33"/>
      <c r="F89" s="33"/>
      <c r="G89" s="33"/>
      <c r="H89" s="33"/>
      <c r="I89" s="34"/>
      <c r="J89" s="34"/>
      <c r="L89" s="33"/>
      <c r="M89" s="33"/>
    </row>
    <row r="90" spans="3:13" ht="25.8">
      <c r="C90" s="33"/>
      <c r="D90" s="43" t="s">
        <v>72</v>
      </c>
      <c r="E90" s="33"/>
      <c r="F90" s="33"/>
      <c r="G90" s="33"/>
      <c r="H90" s="33"/>
      <c r="I90" s="34"/>
      <c r="J90" s="34"/>
      <c r="L90" s="33"/>
      <c r="M90" s="33"/>
    </row>
    <row r="91" spans="3:13" ht="25.8">
      <c r="C91" s="33"/>
      <c r="D91" s="43" t="s">
        <v>72</v>
      </c>
      <c r="E91" s="33"/>
      <c r="F91" s="33"/>
      <c r="G91" s="33"/>
      <c r="H91" s="33"/>
      <c r="I91" s="34"/>
      <c r="J91" s="34"/>
      <c r="L91" s="33"/>
      <c r="M91" s="33"/>
    </row>
    <row r="92" spans="3:13" ht="25.8">
      <c r="C92" s="33"/>
      <c r="D92" s="43" t="s">
        <v>72</v>
      </c>
      <c r="E92" s="33"/>
      <c r="F92" s="33"/>
      <c r="G92" s="33"/>
      <c r="H92" s="33"/>
      <c r="I92" s="34"/>
      <c r="J92" s="34"/>
      <c r="L92" s="33"/>
      <c r="M92" s="33"/>
    </row>
    <row r="93" spans="3:13" ht="25.8">
      <c r="C93" s="33"/>
      <c r="D93" s="43" t="s">
        <v>72</v>
      </c>
      <c r="E93" s="33"/>
      <c r="F93" s="33"/>
      <c r="G93" s="33"/>
      <c r="H93" s="33"/>
      <c r="I93" s="34"/>
      <c r="J93" s="34"/>
      <c r="L93" s="33"/>
      <c r="M93" s="33"/>
    </row>
    <row r="94" spans="3:13" ht="25.8">
      <c r="C94" s="33"/>
      <c r="D94" s="43" t="s">
        <v>72</v>
      </c>
      <c r="E94" s="33"/>
      <c r="F94" s="33"/>
      <c r="G94" s="33"/>
      <c r="H94" s="33"/>
      <c r="I94" s="34"/>
      <c r="J94" s="34"/>
      <c r="L94" s="33"/>
      <c r="M94" s="33"/>
    </row>
    <row r="95" spans="3:13" ht="25.8">
      <c r="C95" s="33"/>
      <c r="D95" s="43" t="s">
        <v>72</v>
      </c>
      <c r="E95" s="33"/>
      <c r="F95" s="33"/>
      <c r="G95" s="33"/>
      <c r="H95" s="33"/>
      <c r="I95" s="34"/>
      <c r="J95" s="34"/>
      <c r="L95" s="33"/>
      <c r="M95" s="33"/>
    </row>
    <row r="96" spans="3:13" ht="25.8">
      <c r="C96" s="33"/>
      <c r="D96" s="43" t="s">
        <v>72</v>
      </c>
      <c r="E96" s="33"/>
      <c r="F96" s="33"/>
      <c r="G96" s="33"/>
      <c r="H96" s="33"/>
      <c r="I96" s="34"/>
      <c r="J96" s="34"/>
      <c r="L96" s="33"/>
      <c r="M96" s="33"/>
    </row>
    <row r="97" spans="3:13" ht="25.8">
      <c r="C97" s="33"/>
      <c r="D97" s="43" t="s">
        <v>72</v>
      </c>
      <c r="E97" s="33"/>
      <c r="F97" s="33"/>
      <c r="G97" s="33"/>
      <c r="H97" s="33"/>
      <c r="I97" s="34"/>
      <c r="J97" s="34"/>
      <c r="L97" s="33"/>
      <c r="M97" s="33"/>
    </row>
    <row r="98" spans="3:13" ht="25.8">
      <c r="C98" s="33"/>
      <c r="D98" s="43" t="s">
        <v>72</v>
      </c>
      <c r="E98" s="33"/>
      <c r="F98" s="33"/>
      <c r="G98" s="33"/>
      <c r="H98" s="33"/>
      <c r="I98" s="34"/>
      <c r="J98" s="34"/>
      <c r="L98" s="33"/>
      <c r="M98" s="33"/>
    </row>
    <row r="99" spans="3:13" ht="25.8">
      <c r="C99" s="33"/>
      <c r="D99" s="43" t="s">
        <v>72</v>
      </c>
      <c r="E99" s="33"/>
      <c r="F99" s="33"/>
      <c r="G99" s="33"/>
      <c r="H99" s="33"/>
      <c r="I99" s="34"/>
      <c r="J99" s="34"/>
      <c r="L99" s="33"/>
      <c r="M99" s="33"/>
    </row>
    <row r="100" spans="3:13" ht="25.8">
      <c r="C100" s="33"/>
      <c r="D100" s="43" t="s">
        <v>72</v>
      </c>
      <c r="E100" s="33"/>
      <c r="F100" s="33"/>
      <c r="G100" s="33"/>
      <c r="H100" s="33"/>
      <c r="I100" s="34"/>
      <c r="J100" s="34"/>
      <c r="L100" s="33"/>
      <c r="M100" s="33"/>
    </row>
    <row r="101" spans="3:13" ht="25.8">
      <c r="C101" s="33"/>
      <c r="D101" s="43" t="s">
        <v>72</v>
      </c>
      <c r="E101" s="33"/>
      <c r="F101" s="33"/>
      <c r="G101" s="33"/>
      <c r="H101" s="33"/>
      <c r="I101" s="34"/>
      <c r="J101" s="34"/>
      <c r="L101" s="33"/>
      <c r="M101" s="33"/>
    </row>
    <row r="102" spans="3:13" ht="25.8">
      <c r="C102" s="33"/>
      <c r="D102" s="43" t="s">
        <v>72</v>
      </c>
      <c r="E102" s="33"/>
      <c r="F102" s="33"/>
      <c r="G102" s="33"/>
      <c r="H102" s="33"/>
      <c r="I102" s="34"/>
      <c r="J102" s="34"/>
      <c r="L102" s="33"/>
      <c r="M102" s="33"/>
    </row>
    <row r="103" spans="3:13" ht="25.8">
      <c r="C103" s="33"/>
      <c r="D103" s="43" t="s">
        <v>72</v>
      </c>
      <c r="E103" s="33"/>
      <c r="F103" s="33"/>
      <c r="G103" s="33"/>
      <c r="H103" s="33"/>
      <c r="I103" s="34"/>
      <c r="J103" s="34"/>
      <c r="L103" s="33"/>
      <c r="M103" s="33"/>
    </row>
    <row r="104" spans="3:13" ht="25.8">
      <c r="C104" s="33"/>
      <c r="D104" s="43" t="s">
        <v>72</v>
      </c>
      <c r="E104" s="33"/>
      <c r="F104" s="33"/>
      <c r="G104" s="33"/>
      <c r="H104" s="33"/>
      <c r="I104" s="34"/>
      <c r="J104" s="34"/>
      <c r="L104" s="33"/>
      <c r="M104" s="33"/>
    </row>
    <row r="105" spans="3:13" ht="25.8">
      <c r="C105" s="33"/>
      <c r="D105" s="43" t="s">
        <v>72</v>
      </c>
      <c r="E105" s="33"/>
      <c r="F105" s="33"/>
      <c r="G105" s="33"/>
      <c r="H105" s="33"/>
      <c r="I105" s="34"/>
      <c r="J105" s="34"/>
      <c r="L105" s="33"/>
      <c r="M105" s="33"/>
    </row>
    <row r="106" spans="3:13" ht="25.8">
      <c r="C106" s="33"/>
      <c r="D106" s="43" t="s">
        <v>72</v>
      </c>
      <c r="E106" s="33"/>
      <c r="F106" s="33"/>
      <c r="G106" s="33"/>
      <c r="H106" s="33"/>
      <c r="I106" s="34"/>
      <c r="J106" s="34"/>
      <c r="L106" s="33"/>
      <c r="M106" s="33"/>
    </row>
    <row r="107" spans="3:13" ht="25.8">
      <c r="C107" s="33"/>
      <c r="D107" s="43" t="s">
        <v>72</v>
      </c>
      <c r="E107" s="33"/>
      <c r="F107" s="33"/>
      <c r="G107" s="33"/>
      <c r="H107" s="33"/>
      <c r="I107" s="34"/>
      <c r="J107" s="34"/>
      <c r="L107" s="33"/>
      <c r="M107" s="33"/>
    </row>
    <row r="108" spans="3:13" ht="25.8">
      <c r="C108" s="33"/>
      <c r="D108" s="43" t="s">
        <v>72</v>
      </c>
      <c r="E108" s="33"/>
      <c r="F108" s="33"/>
      <c r="G108" s="33"/>
      <c r="H108" s="33"/>
      <c r="I108" s="34"/>
      <c r="J108" s="34"/>
      <c r="L108" s="33"/>
      <c r="M108" s="33"/>
    </row>
    <row r="109" spans="3:13" ht="25.8">
      <c r="C109" s="33"/>
      <c r="D109" s="43" t="s">
        <v>72</v>
      </c>
      <c r="E109" s="33"/>
      <c r="F109" s="33"/>
      <c r="G109" s="33"/>
      <c r="H109" s="33"/>
      <c r="I109" s="34"/>
      <c r="J109" s="34"/>
      <c r="L109" s="33"/>
      <c r="M109" s="33"/>
    </row>
    <row r="110" spans="3:13" ht="25.8">
      <c r="C110" s="33"/>
      <c r="D110" s="43" t="s">
        <v>72</v>
      </c>
      <c r="E110" s="33"/>
      <c r="F110" s="33"/>
      <c r="G110" s="33"/>
      <c r="H110" s="33"/>
      <c r="I110" s="34"/>
      <c r="J110" s="34"/>
      <c r="L110" s="33"/>
      <c r="M110" s="33"/>
    </row>
    <row r="111" spans="3:13" ht="25.8">
      <c r="C111" s="33"/>
      <c r="D111" s="43" t="s">
        <v>72</v>
      </c>
      <c r="E111" s="33"/>
      <c r="F111" s="33"/>
      <c r="G111" s="33"/>
      <c r="H111" s="33"/>
      <c r="I111" s="34"/>
      <c r="J111" s="34"/>
      <c r="L111" s="33"/>
      <c r="M111" s="33"/>
    </row>
    <row r="112" spans="3:13" ht="25.8">
      <c r="C112" s="33"/>
      <c r="D112" s="43" t="s">
        <v>72</v>
      </c>
      <c r="E112" s="33"/>
      <c r="F112" s="33"/>
      <c r="G112" s="33"/>
      <c r="H112" s="33"/>
      <c r="I112" s="34"/>
      <c r="J112" s="34"/>
      <c r="L112" s="33"/>
      <c r="M112" s="33"/>
    </row>
    <row r="113" spans="3:13" ht="25.8">
      <c r="C113" s="33"/>
      <c r="D113" s="43" t="s">
        <v>72</v>
      </c>
      <c r="E113" s="33"/>
      <c r="F113" s="33"/>
      <c r="G113" s="33"/>
      <c r="H113" s="33"/>
      <c r="I113" s="34"/>
      <c r="J113" s="34"/>
      <c r="L113" s="33"/>
      <c r="M113" s="33"/>
    </row>
    <row r="114" spans="3:13" ht="25.8">
      <c r="C114" s="33"/>
      <c r="D114" s="43" t="s">
        <v>72</v>
      </c>
      <c r="E114" s="33"/>
      <c r="F114" s="33"/>
      <c r="G114" s="33"/>
      <c r="H114" s="33"/>
      <c r="I114" s="34"/>
      <c r="J114" s="34"/>
      <c r="L114" s="33"/>
      <c r="M114" s="33"/>
    </row>
    <row r="115" spans="3:13" ht="25.8">
      <c r="C115" s="33"/>
      <c r="D115" s="43" t="s">
        <v>72</v>
      </c>
      <c r="E115" s="33"/>
      <c r="F115" s="33"/>
      <c r="G115" s="33"/>
      <c r="H115" s="33"/>
      <c r="I115" s="34"/>
      <c r="J115" s="34"/>
      <c r="L115" s="33"/>
      <c r="M115" s="33"/>
    </row>
    <row r="116" spans="3:13" ht="25.8">
      <c r="C116" s="33"/>
      <c r="D116" s="43" t="s">
        <v>72</v>
      </c>
      <c r="E116" s="33"/>
      <c r="F116" s="33"/>
      <c r="G116" s="33"/>
      <c r="H116" s="33"/>
      <c r="I116" s="34"/>
      <c r="J116" s="34"/>
      <c r="L116" s="33"/>
      <c r="M116" s="33"/>
    </row>
    <row r="117" spans="3:13" ht="25.8">
      <c r="C117" s="33"/>
      <c r="D117" s="43" t="s">
        <v>72</v>
      </c>
      <c r="E117" s="33"/>
      <c r="F117" s="33"/>
      <c r="G117" s="33"/>
      <c r="H117" s="33"/>
      <c r="I117" s="34"/>
      <c r="J117" s="34"/>
      <c r="L117" s="33"/>
      <c r="M117" s="33"/>
    </row>
    <row r="118" spans="3:13" ht="25.8">
      <c r="C118" s="33"/>
      <c r="D118" s="43" t="s">
        <v>72</v>
      </c>
      <c r="E118" s="33"/>
      <c r="F118" s="33"/>
      <c r="G118" s="33"/>
      <c r="H118" s="33"/>
      <c r="I118" s="34"/>
      <c r="J118" s="34"/>
      <c r="L118" s="33"/>
      <c r="M118" s="33"/>
    </row>
    <row r="119" spans="3:13" ht="25.8">
      <c r="C119" s="33"/>
      <c r="D119" s="43" t="s">
        <v>72</v>
      </c>
      <c r="E119" s="33"/>
      <c r="F119" s="33"/>
      <c r="G119" s="33"/>
      <c r="H119" s="33"/>
      <c r="I119" s="34"/>
      <c r="J119" s="34"/>
      <c r="L119" s="33"/>
      <c r="M119" s="33"/>
    </row>
    <row r="120" spans="3:13" ht="25.8">
      <c r="C120" s="33"/>
      <c r="D120" s="43" t="s">
        <v>72</v>
      </c>
      <c r="E120" s="33"/>
      <c r="F120" s="33"/>
      <c r="G120" s="33"/>
      <c r="H120" s="33"/>
      <c r="I120" s="34"/>
      <c r="J120" s="34"/>
      <c r="L120" s="33"/>
      <c r="M120" s="33"/>
    </row>
    <row r="121" spans="3:13" ht="25.8">
      <c r="C121" s="33"/>
      <c r="D121" s="43" t="s">
        <v>72</v>
      </c>
      <c r="E121" s="33"/>
      <c r="F121" s="33"/>
      <c r="G121" s="33"/>
      <c r="H121" s="33"/>
      <c r="I121" s="34"/>
      <c r="J121" s="34"/>
      <c r="L121" s="33"/>
      <c r="M121" s="33"/>
    </row>
    <row r="122" spans="3:13" ht="25.8">
      <c r="C122" s="33"/>
      <c r="D122" s="43" t="s">
        <v>72</v>
      </c>
      <c r="E122" s="33"/>
      <c r="F122" s="33"/>
      <c r="G122" s="33"/>
      <c r="H122" s="33"/>
      <c r="I122" s="34"/>
      <c r="J122" s="34"/>
      <c r="L122" s="33"/>
      <c r="M122" s="33"/>
    </row>
    <row r="123" spans="3:13" ht="25.8">
      <c r="C123" s="33"/>
      <c r="D123" s="43" t="s">
        <v>72</v>
      </c>
      <c r="E123" s="33"/>
      <c r="F123" s="33"/>
      <c r="G123" s="33"/>
      <c r="H123" s="33"/>
      <c r="I123" s="34"/>
      <c r="J123" s="34"/>
      <c r="L123" s="33"/>
      <c r="M123" s="33"/>
    </row>
    <row r="124" spans="3:13" ht="25.8">
      <c r="C124" s="33"/>
      <c r="D124" s="43" t="s">
        <v>72</v>
      </c>
      <c r="E124" s="33"/>
      <c r="F124" s="33"/>
      <c r="G124" s="33"/>
      <c r="H124" s="33"/>
      <c r="I124" s="34"/>
      <c r="J124" s="34"/>
      <c r="L124" s="33"/>
      <c r="M124" s="33"/>
    </row>
    <row r="125" spans="3:13" ht="25.8">
      <c r="C125" s="33"/>
      <c r="D125" s="43" t="s">
        <v>72</v>
      </c>
      <c r="E125" s="33"/>
      <c r="F125" s="33"/>
      <c r="G125" s="33"/>
      <c r="H125" s="33"/>
      <c r="I125" s="34"/>
      <c r="J125" s="34"/>
      <c r="L125" s="33"/>
      <c r="M125" s="33"/>
    </row>
    <row r="126" spans="3:13" ht="25.8">
      <c r="C126" s="33"/>
      <c r="D126" s="43" t="s">
        <v>72</v>
      </c>
      <c r="E126" s="33"/>
      <c r="F126" s="33"/>
      <c r="G126" s="33"/>
      <c r="H126" s="33"/>
      <c r="I126" s="34"/>
      <c r="J126" s="34"/>
      <c r="L126" s="33"/>
      <c r="M126" s="33"/>
    </row>
    <row r="127" spans="3:13" ht="25.8">
      <c r="C127" s="33"/>
      <c r="D127" s="43" t="s">
        <v>72</v>
      </c>
      <c r="E127" s="33"/>
      <c r="F127" s="33"/>
      <c r="G127" s="33"/>
      <c r="H127" s="33"/>
      <c r="I127" s="34"/>
      <c r="J127" s="34"/>
      <c r="L127" s="33"/>
      <c r="M127" s="33"/>
    </row>
    <row r="128" spans="3:13" ht="25.8">
      <c r="C128" s="33"/>
      <c r="D128" s="43" t="s">
        <v>72</v>
      </c>
      <c r="E128" s="33"/>
      <c r="F128" s="33"/>
      <c r="G128" s="33"/>
      <c r="H128" s="33"/>
      <c r="I128" s="34"/>
      <c r="J128" s="34"/>
      <c r="L128" s="33"/>
      <c r="M128" s="33"/>
    </row>
    <row r="129" spans="3:13" ht="25.8">
      <c r="C129" s="33"/>
      <c r="D129" s="43" t="s">
        <v>72</v>
      </c>
      <c r="E129" s="33"/>
      <c r="F129" s="33"/>
      <c r="G129" s="33"/>
      <c r="H129" s="33"/>
      <c r="I129" s="34"/>
      <c r="J129" s="34"/>
      <c r="L129" s="33"/>
      <c r="M129" s="33"/>
    </row>
    <row r="130" spans="3:13" ht="25.8">
      <c r="C130" s="33"/>
      <c r="D130" s="43" t="s">
        <v>72</v>
      </c>
      <c r="E130" s="33"/>
      <c r="F130" s="33"/>
      <c r="G130" s="33"/>
      <c r="H130" s="33"/>
      <c r="I130" s="34"/>
      <c r="J130" s="34"/>
      <c r="L130" s="33"/>
      <c r="M130" s="33"/>
    </row>
    <row r="131" spans="3:13" ht="25.8">
      <c r="C131" s="33"/>
      <c r="D131" s="43" t="s">
        <v>72</v>
      </c>
      <c r="E131" s="33"/>
      <c r="F131" s="33"/>
      <c r="G131" s="33"/>
      <c r="H131" s="33"/>
      <c r="I131" s="34"/>
      <c r="J131" s="34"/>
      <c r="L131" s="33"/>
      <c r="M131" s="33"/>
    </row>
    <row r="132" spans="3:13" ht="25.8">
      <c r="C132" s="33"/>
      <c r="D132" s="43" t="s">
        <v>72</v>
      </c>
      <c r="E132" s="33"/>
      <c r="F132" s="33"/>
      <c r="G132" s="33"/>
      <c r="H132" s="33"/>
      <c r="I132" s="34"/>
      <c r="J132" s="34"/>
      <c r="L132" s="33"/>
      <c r="M132" s="33"/>
    </row>
    <row r="133" spans="3:13" ht="25.8">
      <c r="C133" s="33"/>
      <c r="D133" s="43" t="s">
        <v>72</v>
      </c>
      <c r="E133" s="33"/>
      <c r="F133" s="33"/>
      <c r="G133" s="33"/>
      <c r="H133" s="33"/>
      <c r="I133" s="34"/>
      <c r="J133" s="34"/>
      <c r="L133" s="33"/>
      <c r="M133" s="33"/>
    </row>
    <row r="134" spans="3:13" ht="25.8">
      <c r="C134" s="33"/>
      <c r="D134" s="43" t="s">
        <v>72</v>
      </c>
      <c r="E134" s="33"/>
      <c r="F134" s="33"/>
      <c r="G134" s="33"/>
      <c r="H134" s="33"/>
      <c r="I134" s="34"/>
      <c r="J134" s="34"/>
      <c r="L134" s="33"/>
      <c r="M134" s="33"/>
    </row>
    <row r="135" spans="3:13" ht="25.8">
      <c r="C135" s="33"/>
      <c r="D135" s="43" t="s">
        <v>72</v>
      </c>
      <c r="E135" s="33"/>
      <c r="F135" s="33"/>
      <c r="G135" s="33"/>
      <c r="H135" s="33"/>
      <c r="I135" s="34"/>
      <c r="J135" s="34"/>
      <c r="L135" s="33"/>
      <c r="M135" s="33"/>
    </row>
    <row r="136" spans="3:13" ht="25.8">
      <c r="C136" s="33"/>
      <c r="D136" s="43" t="s">
        <v>72</v>
      </c>
      <c r="E136" s="33"/>
      <c r="F136" s="33"/>
      <c r="G136" s="33"/>
      <c r="H136" s="33"/>
      <c r="I136" s="34"/>
      <c r="J136" s="34"/>
      <c r="L136" s="33"/>
      <c r="M136" s="33"/>
    </row>
    <row r="137" spans="3:13" ht="25.8">
      <c r="C137" s="33"/>
      <c r="D137" s="43" t="s">
        <v>72</v>
      </c>
      <c r="E137" s="33"/>
      <c r="F137" s="33"/>
      <c r="G137" s="33"/>
      <c r="H137" s="33"/>
      <c r="I137" s="34"/>
      <c r="J137" s="34"/>
      <c r="L137" s="33"/>
      <c r="M137" s="33"/>
    </row>
    <row r="138" spans="3:13" ht="25.8">
      <c r="C138" s="33"/>
      <c r="D138" s="43" t="s">
        <v>72</v>
      </c>
      <c r="E138" s="33"/>
      <c r="F138" s="33"/>
      <c r="G138" s="33"/>
      <c r="H138" s="33"/>
      <c r="I138" s="34"/>
      <c r="J138" s="34"/>
      <c r="L138" s="33"/>
      <c r="M138" s="33"/>
    </row>
    <row r="139" spans="3:13" ht="25.8">
      <c r="C139" s="33"/>
      <c r="D139" s="43" t="s">
        <v>72</v>
      </c>
      <c r="E139" s="33"/>
      <c r="F139" s="33"/>
      <c r="G139" s="33"/>
      <c r="H139" s="33"/>
      <c r="I139" s="34"/>
      <c r="J139" s="34"/>
      <c r="L139" s="33"/>
      <c r="M139" s="33"/>
    </row>
    <row r="140" spans="3:13" ht="25.8">
      <c r="C140" s="33"/>
      <c r="D140" s="43" t="s">
        <v>72</v>
      </c>
      <c r="E140" s="33"/>
      <c r="F140" s="33"/>
      <c r="G140" s="33"/>
      <c r="H140" s="33"/>
      <c r="I140" s="34"/>
      <c r="J140" s="34"/>
      <c r="L140" s="33"/>
      <c r="M140" s="33"/>
    </row>
    <row r="141" spans="3:13" ht="25.8">
      <c r="C141" s="33"/>
      <c r="D141" s="43" t="s">
        <v>72</v>
      </c>
      <c r="E141" s="33"/>
      <c r="F141" s="33"/>
      <c r="G141" s="33"/>
      <c r="H141" s="33"/>
      <c r="I141" s="34"/>
      <c r="J141" s="34"/>
      <c r="L141" s="33"/>
      <c r="M141" s="33"/>
    </row>
    <row r="142" spans="3:13" ht="25.8">
      <c r="C142" s="33"/>
      <c r="D142" s="43" t="s">
        <v>72</v>
      </c>
      <c r="E142" s="33"/>
      <c r="F142" s="33"/>
      <c r="G142" s="33"/>
      <c r="H142" s="33"/>
      <c r="I142" s="34"/>
      <c r="J142" s="34"/>
      <c r="L142" s="33"/>
      <c r="M142" s="33"/>
    </row>
    <row r="143" spans="3:13" ht="25.8">
      <c r="C143" s="33"/>
      <c r="D143" s="43" t="s">
        <v>72</v>
      </c>
      <c r="E143" s="33"/>
      <c r="F143" s="33"/>
      <c r="G143" s="33"/>
      <c r="H143" s="33"/>
      <c r="I143" s="34"/>
      <c r="J143" s="34"/>
      <c r="L143" s="33"/>
      <c r="M143" s="33"/>
    </row>
    <row r="144" spans="3:13" ht="25.8">
      <c r="C144" s="33"/>
      <c r="D144" s="43" t="s">
        <v>72</v>
      </c>
      <c r="E144" s="33"/>
      <c r="F144" s="33"/>
      <c r="G144" s="33"/>
      <c r="H144" s="33"/>
      <c r="I144" s="34"/>
      <c r="J144" s="34"/>
      <c r="L144" s="33"/>
      <c r="M144" s="33"/>
    </row>
    <row r="145" spans="3:13" ht="25.8">
      <c r="C145" s="33"/>
      <c r="D145" s="43" t="s">
        <v>72</v>
      </c>
      <c r="E145" s="33"/>
      <c r="F145" s="33"/>
      <c r="G145" s="33"/>
      <c r="H145" s="33"/>
      <c r="I145" s="34"/>
      <c r="J145" s="34"/>
      <c r="L145" s="33"/>
      <c r="M145" s="33"/>
    </row>
    <row r="146" spans="3:13" ht="25.8">
      <c r="C146" s="33"/>
      <c r="D146" s="43" t="s">
        <v>72</v>
      </c>
      <c r="E146" s="33"/>
      <c r="F146" s="33"/>
      <c r="G146" s="33"/>
      <c r="H146" s="33"/>
      <c r="I146" s="34"/>
      <c r="J146" s="34"/>
      <c r="L146" s="33"/>
      <c r="M146" s="33"/>
    </row>
    <row r="147" spans="3:13" ht="25.8">
      <c r="C147" s="33"/>
      <c r="D147" s="43" t="s">
        <v>72</v>
      </c>
      <c r="E147" s="33"/>
      <c r="F147" s="33"/>
      <c r="G147" s="33"/>
      <c r="H147" s="33"/>
      <c r="I147" s="34"/>
      <c r="J147" s="34"/>
      <c r="L147" s="33"/>
      <c r="M147" s="33"/>
    </row>
    <row r="148" spans="3:13" ht="25.8">
      <c r="C148" s="33"/>
      <c r="D148" s="43" t="s">
        <v>72</v>
      </c>
      <c r="E148" s="33"/>
      <c r="F148" s="33"/>
      <c r="G148" s="33"/>
      <c r="H148" s="33"/>
      <c r="I148" s="34"/>
      <c r="J148" s="34"/>
      <c r="L148" s="33"/>
      <c r="M148" s="33"/>
    </row>
    <row r="149" spans="3:13" ht="25.8">
      <c r="C149" s="33"/>
      <c r="D149" s="43" t="s">
        <v>72</v>
      </c>
      <c r="E149" s="33"/>
      <c r="F149" s="33"/>
      <c r="G149" s="33"/>
      <c r="H149" s="33"/>
      <c r="I149" s="34"/>
      <c r="J149" s="34"/>
      <c r="L149" s="33"/>
      <c r="M149" s="33"/>
    </row>
    <row r="150" spans="3:13" ht="25.8">
      <c r="C150" s="33"/>
      <c r="D150" s="43" t="s">
        <v>72</v>
      </c>
      <c r="E150" s="33"/>
      <c r="F150" s="33"/>
      <c r="G150" s="33"/>
      <c r="H150" s="33"/>
      <c r="I150" s="34"/>
      <c r="J150" s="34"/>
      <c r="L150" s="33"/>
      <c r="M150" s="33"/>
    </row>
    <row r="151" spans="3:13" ht="25.8">
      <c r="C151" s="33"/>
      <c r="D151" s="43" t="s">
        <v>72</v>
      </c>
      <c r="E151" s="33"/>
      <c r="F151" s="33"/>
      <c r="G151" s="33"/>
      <c r="H151" s="33"/>
      <c r="I151" s="34"/>
      <c r="J151" s="34"/>
      <c r="L151" s="33"/>
      <c r="M151" s="33"/>
    </row>
    <row r="152" spans="3:13" ht="25.8">
      <c r="C152" s="33"/>
      <c r="D152" s="43" t="s">
        <v>72</v>
      </c>
      <c r="E152" s="33"/>
      <c r="F152" s="33"/>
      <c r="G152" s="33"/>
      <c r="H152" s="33"/>
      <c r="I152" s="34"/>
      <c r="J152" s="34"/>
      <c r="L152" s="33"/>
      <c r="M152" s="33"/>
    </row>
    <row r="153" spans="3:13" ht="25.8">
      <c r="C153" s="33"/>
      <c r="D153" s="43" t="s">
        <v>72</v>
      </c>
      <c r="E153" s="33"/>
      <c r="F153" s="33"/>
      <c r="G153" s="33"/>
      <c r="H153" s="33"/>
      <c r="I153" s="34"/>
      <c r="J153" s="34"/>
      <c r="L153" s="33"/>
      <c r="M153" s="33"/>
    </row>
    <row r="154" spans="3:13" ht="25.8">
      <c r="C154" s="33"/>
      <c r="D154" s="43" t="s">
        <v>72</v>
      </c>
      <c r="E154" s="33"/>
      <c r="F154" s="33"/>
      <c r="G154" s="33"/>
      <c r="H154" s="33"/>
      <c r="I154" s="34"/>
      <c r="J154" s="34"/>
      <c r="L154" s="33"/>
      <c r="M154" s="33"/>
    </row>
    <row r="155" spans="3:13" ht="25.8">
      <c r="C155" s="33"/>
      <c r="D155" s="43" t="s">
        <v>72</v>
      </c>
      <c r="E155" s="33"/>
      <c r="F155" s="33"/>
      <c r="G155" s="33"/>
      <c r="H155" s="33"/>
      <c r="I155" s="34"/>
      <c r="J155" s="34"/>
      <c r="L155" s="33"/>
      <c r="M155" s="33"/>
    </row>
    <row r="156" spans="3:13" ht="25.8">
      <c r="C156" s="33"/>
      <c r="D156" s="43" t="s">
        <v>72</v>
      </c>
      <c r="E156" s="33"/>
      <c r="F156" s="33"/>
      <c r="G156" s="33"/>
      <c r="H156" s="33"/>
      <c r="I156" s="34"/>
      <c r="J156" s="34"/>
      <c r="L156" s="33"/>
      <c r="M156" s="33"/>
    </row>
    <row r="157" spans="3:13" ht="25.8">
      <c r="C157" s="33"/>
      <c r="D157" s="43" t="s">
        <v>72</v>
      </c>
      <c r="E157" s="33"/>
      <c r="F157" s="33"/>
      <c r="G157" s="33"/>
      <c r="H157" s="33"/>
      <c r="I157" s="34"/>
      <c r="J157" s="34"/>
      <c r="L157" s="33"/>
      <c r="M157" s="33"/>
    </row>
    <row r="158" spans="3:13" ht="25.8">
      <c r="C158" s="33"/>
      <c r="D158" s="43" t="s">
        <v>72</v>
      </c>
      <c r="E158" s="33"/>
      <c r="F158" s="33"/>
      <c r="G158" s="33"/>
      <c r="H158" s="33"/>
      <c r="I158" s="34"/>
      <c r="J158" s="34"/>
      <c r="L158" s="33"/>
      <c r="M158" s="33"/>
    </row>
    <row r="159" spans="3:13" ht="25.8">
      <c r="C159" s="33"/>
      <c r="D159" s="43" t="s">
        <v>72</v>
      </c>
      <c r="E159" s="33"/>
      <c r="F159" s="33"/>
      <c r="G159" s="33"/>
      <c r="H159" s="33"/>
      <c r="I159" s="34"/>
      <c r="J159" s="34"/>
      <c r="L159" s="33"/>
      <c r="M159" s="33"/>
    </row>
    <row r="160" spans="3:13" ht="25.8">
      <c r="C160" s="33"/>
      <c r="D160" s="43" t="s">
        <v>72</v>
      </c>
      <c r="E160" s="33"/>
      <c r="F160" s="33"/>
      <c r="G160" s="33"/>
      <c r="H160" s="33"/>
      <c r="I160" s="34"/>
      <c r="J160" s="34"/>
      <c r="L160" s="33"/>
      <c r="M160" s="33"/>
    </row>
    <row r="161" spans="3:13" ht="25.8">
      <c r="C161" s="33"/>
      <c r="D161" s="43" t="s">
        <v>72</v>
      </c>
      <c r="E161" s="33"/>
      <c r="F161" s="33"/>
      <c r="G161" s="33"/>
      <c r="H161" s="33"/>
      <c r="I161" s="34"/>
      <c r="J161" s="34"/>
      <c r="L161" s="33"/>
      <c r="M161" s="33"/>
    </row>
    <row r="162" spans="3:13" ht="25.8">
      <c r="C162" s="33"/>
      <c r="D162" s="43" t="s">
        <v>72</v>
      </c>
      <c r="E162" s="33"/>
      <c r="F162" s="33"/>
      <c r="G162" s="33"/>
      <c r="H162" s="33"/>
      <c r="I162" s="34"/>
      <c r="J162" s="34"/>
      <c r="L162" s="33"/>
      <c r="M162" s="33"/>
    </row>
    <row r="163" spans="3:13" ht="25.8">
      <c r="C163" s="33"/>
      <c r="D163" s="43" t="s">
        <v>72</v>
      </c>
      <c r="E163" s="33"/>
      <c r="F163" s="33"/>
      <c r="G163" s="33"/>
      <c r="H163" s="33"/>
      <c r="I163" s="34"/>
      <c r="J163" s="34"/>
      <c r="L163" s="33"/>
      <c r="M163" s="33"/>
    </row>
    <row r="164" spans="3:13" ht="25.8">
      <c r="C164" s="33"/>
      <c r="D164" s="43" t="s">
        <v>72</v>
      </c>
      <c r="E164" s="33"/>
      <c r="F164" s="33"/>
      <c r="G164" s="33"/>
      <c r="H164" s="33"/>
      <c r="I164" s="34"/>
      <c r="J164" s="34"/>
      <c r="L164" s="33"/>
      <c r="M164" s="33"/>
    </row>
    <row r="165" spans="3:13" ht="25.8">
      <c r="C165" s="33"/>
      <c r="D165" s="43" t="s">
        <v>72</v>
      </c>
      <c r="E165" s="33"/>
      <c r="F165" s="33"/>
      <c r="G165" s="33"/>
      <c r="H165" s="33"/>
      <c r="I165" s="34"/>
      <c r="J165" s="34"/>
      <c r="L165" s="33"/>
      <c r="M165" s="33"/>
    </row>
    <row r="166" spans="3:13" ht="25.8">
      <c r="C166" s="33"/>
      <c r="D166" s="43" t="s">
        <v>72</v>
      </c>
      <c r="E166" s="33"/>
      <c r="F166" s="33"/>
      <c r="G166" s="33"/>
      <c r="H166" s="33"/>
      <c r="I166" s="34"/>
      <c r="J166" s="34"/>
      <c r="L166" s="33"/>
      <c r="M166" s="33"/>
    </row>
    <row r="167" spans="3:13" ht="25.8">
      <c r="C167" s="33"/>
      <c r="D167" s="43" t="s">
        <v>72</v>
      </c>
      <c r="E167" s="33"/>
      <c r="F167" s="33"/>
      <c r="G167" s="33"/>
      <c r="H167" s="33"/>
      <c r="I167" s="34"/>
      <c r="J167" s="34"/>
      <c r="L167" s="33"/>
      <c r="M167" s="33"/>
    </row>
    <row r="168" spans="3:13" ht="25.8">
      <c r="C168" s="33"/>
      <c r="D168" s="43" t="s">
        <v>72</v>
      </c>
      <c r="E168" s="33"/>
      <c r="F168" s="33"/>
      <c r="G168" s="33"/>
      <c r="H168" s="33"/>
      <c r="I168" s="34"/>
      <c r="J168" s="34"/>
      <c r="L168" s="33"/>
      <c r="M168" s="33"/>
    </row>
    <row r="169" spans="3:13" ht="25.8">
      <c r="C169" s="33"/>
      <c r="D169" s="43" t="s">
        <v>72</v>
      </c>
      <c r="E169" s="33"/>
      <c r="F169" s="33"/>
      <c r="G169" s="33"/>
      <c r="H169" s="33"/>
      <c r="I169" s="34"/>
      <c r="J169" s="34"/>
      <c r="L169" s="33"/>
      <c r="M169" s="33"/>
    </row>
    <row r="170" spans="3:13" ht="25.8">
      <c r="C170" s="33"/>
      <c r="D170" s="43" t="s">
        <v>72</v>
      </c>
      <c r="E170" s="33"/>
      <c r="F170" s="33"/>
      <c r="G170" s="33"/>
      <c r="H170" s="33"/>
      <c r="I170" s="34"/>
      <c r="J170" s="34"/>
      <c r="L170" s="33"/>
      <c r="M170" s="33"/>
    </row>
    <row r="171" spans="3:13" ht="25.8">
      <c r="C171" s="33"/>
      <c r="D171" s="43" t="s">
        <v>72</v>
      </c>
      <c r="E171" s="33"/>
      <c r="F171" s="33"/>
      <c r="G171" s="33"/>
      <c r="H171" s="33"/>
      <c r="I171" s="34"/>
      <c r="J171" s="34"/>
      <c r="L171" s="33"/>
      <c r="M171" s="33"/>
    </row>
    <row r="172" spans="3:13" ht="25.8">
      <c r="C172" s="33"/>
      <c r="D172" s="43" t="s">
        <v>72</v>
      </c>
      <c r="E172" s="33"/>
      <c r="F172" s="33"/>
      <c r="G172" s="33"/>
      <c r="H172" s="33"/>
      <c r="I172" s="34"/>
      <c r="J172" s="34"/>
      <c r="L172" s="33"/>
      <c r="M172" s="33"/>
    </row>
    <row r="173" spans="3:13" ht="25.8">
      <c r="C173" s="33"/>
      <c r="D173" s="43" t="s">
        <v>72</v>
      </c>
      <c r="E173" s="33"/>
      <c r="F173" s="33"/>
      <c r="G173" s="33"/>
      <c r="H173" s="33"/>
      <c r="I173" s="34"/>
      <c r="J173" s="34"/>
      <c r="L173" s="33"/>
      <c r="M173" s="33"/>
    </row>
    <row r="174" spans="3:13" ht="25.8">
      <c r="C174" s="33"/>
      <c r="D174" s="43" t="s">
        <v>72</v>
      </c>
      <c r="E174" s="33"/>
      <c r="F174" s="33"/>
      <c r="G174" s="33"/>
      <c r="H174" s="33"/>
      <c r="I174" s="34"/>
      <c r="J174" s="34"/>
      <c r="L174" s="33"/>
      <c r="M174" s="33"/>
    </row>
    <row r="175" spans="3:13" ht="25.8">
      <c r="C175" s="33"/>
      <c r="D175" s="43" t="s">
        <v>72</v>
      </c>
      <c r="E175" s="33"/>
      <c r="F175" s="33"/>
      <c r="G175" s="33"/>
      <c r="H175" s="33"/>
      <c r="I175" s="34"/>
      <c r="J175" s="34"/>
      <c r="L175" s="33"/>
      <c r="M175" s="33"/>
    </row>
    <row r="176" spans="3:13" ht="25.8">
      <c r="C176" s="33"/>
      <c r="D176" s="43" t="s">
        <v>72</v>
      </c>
      <c r="E176" s="33"/>
      <c r="F176" s="33"/>
      <c r="G176" s="33"/>
      <c r="H176" s="33"/>
      <c r="I176" s="34"/>
      <c r="J176" s="34"/>
      <c r="L176" s="33"/>
      <c r="M176" s="33"/>
    </row>
    <row r="177" spans="3:13" ht="25.8">
      <c r="C177" s="33"/>
      <c r="D177" s="43" t="s">
        <v>72</v>
      </c>
      <c r="E177" s="33"/>
      <c r="F177" s="33"/>
      <c r="G177" s="33"/>
      <c r="H177" s="33"/>
      <c r="I177" s="34"/>
      <c r="J177" s="34"/>
      <c r="L177" s="33"/>
      <c r="M177" s="33"/>
    </row>
    <row r="178" spans="3:13" ht="25.8">
      <c r="C178" s="33"/>
      <c r="D178" s="43" t="s">
        <v>72</v>
      </c>
      <c r="E178" s="33"/>
      <c r="F178" s="33"/>
      <c r="G178" s="33"/>
      <c r="H178" s="33"/>
      <c r="I178" s="34"/>
      <c r="J178" s="34"/>
      <c r="L178" s="33"/>
      <c r="M178" s="33"/>
    </row>
    <row r="179" spans="3:13" ht="25.8">
      <c r="C179" s="33"/>
      <c r="D179" s="43" t="s">
        <v>72</v>
      </c>
      <c r="E179" s="33"/>
      <c r="F179" s="33"/>
      <c r="G179" s="33"/>
      <c r="H179" s="33"/>
      <c r="I179" s="34"/>
      <c r="J179" s="34"/>
      <c r="L179" s="33"/>
      <c r="M179" s="33"/>
    </row>
    <row r="180" spans="3:13" ht="25.8">
      <c r="C180" s="33"/>
      <c r="D180" s="43" t="s">
        <v>72</v>
      </c>
      <c r="E180" s="33"/>
      <c r="F180" s="33"/>
      <c r="G180" s="33"/>
      <c r="H180" s="33"/>
      <c r="I180" s="34"/>
      <c r="J180" s="34"/>
      <c r="L180" s="33"/>
      <c r="M180" s="33"/>
    </row>
    <row r="181" spans="3:13" ht="25.8">
      <c r="C181" s="33"/>
      <c r="D181" s="43" t="s">
        <v>72</v>
      </c>
      <c r="E181" s="33"/>
      <c r="F181" s="33"/>
      <c r="G181" s="33"/>
      <c r="H181" s="33"/>
      <c r="I181" s="34"/>
      <c r="J181" s="34"/>
      <c r="L181" s="33"/>
      <c r="M181" s="33"/>
    </row>
    <row r="182" spans="3:13" ht="25.8">
      <c r="C182" s="33"/>
      <c r="D182" s="43" t="s">
        <v>72</v>
      </c>
      <c r="E182" s="33"/>
      <c r="F182" s="33"/>
      <c r="G182" s="33"/>
      <c r="H182" s="33"/>
      <c r="I182" s="34"/>
      <c r="J182" s="34"/>
      <c r="L182" s="33"/>
      <c r="M182" s="33"/>
    </row>
    <row r="183" spans="3:13" ht="25.8">
      <c r="C183" s="33"/>
      <c r="D183" s="43" t="s">
        <v>72</v>
      </c>
      <c r="E183" s="33"/>
      <c r="F183" s="33"/>
      <c r="G183" s="33"/>
      <c r="H183" s="33"/>
      <c r="I183" s="34"/>
      <c r="J183" s="34"/>
      <c r="L183" s="33"/>
      <c r="M183" s="33"/>
    </row>
    <row r="184" spans="3:13" ht="25.8">
      <c r="C184" s="33"/>
      <c r="D184" s="43" t="s">
        <v>72</v>
      </c>
      <c r="E184" s="33"/>
      <c r="F184" s="33"/>
      <c r="G184" s="33"/>
      <c r="H184" s="33"/>
      <c r="I184" s="34"/>
      <c r="J184" s="34"/>
      <c r="L184" s="33"/>
      <c r="M184" s="33"/>
    </row>
    <row r="185" spans="3:13" ht="25.8">
      <c r="C185" s="33"/>
      <c r="D185" s="43" t="s">
        <v>72</v>
      </c>
      <c r="E185" s="33"/>
      <c r="F185" s="33"/>
      <c r="G185" s="33"/>
      <c r="H185" s="33"/>
      <c r="I185" s="34"/>
      <c r="J185" s="34"/>
      <c r="L185" s="33"/>
      <c r="M185" s="33"/>
    </row>
    <row r="186" spans="3:13" ht="25.8">
      <c r="C186" s="33"/>
      <c r="D186" s="43" t="s">
        <v>72</v>
      </c>
      <c r="E186" s="33"/>
      <c r="F186" s="33"/>
      <c r="G186" s="33"/>
      <c r="H186" s="33"/>
      <c r="I186" s="34"/>
      <c r="J186" s="34"/>
      <c r="L186" s="33"/>
      <c r="M186" s="33"/>
    </row>
    <row r="187" spans="3:13" ht="25.8">
      <c r="C187" s="33"/>
      <c r="D187" s="43" t="s">
        <v>72</v>
      </c>
      <c r="E187" s="33"/>
      <c r="F187" s="33"/>
      <c r="G187" s="33"/>
      <c r="H187" s="33"/>
      <c r="I187" s="34"/>
      <c r="J187" s="34"/>
      <c r="L187" s="33"/>
      <c r="M187" s="33"/>
    </row>
    <row r="188" spans="3:13" ht="25.8">
      <c r="C188" s="33"/>
      <c r="D188" s="43" t="s">
        <v>72</v>
      </c>
      <c r="E188" s="33"/>
      <c r="F188" s="33"/>
      <c r="G188" s="33"/>
      <c r="H188" s="33"/>
      <c r="I188" s="34"/>
      <c r="J188" s="34"/>
      <c r="L188" s="33"/>
      <c r="M188" s="33"/>
    </row>
    <row r="189" spans="3:13" ht="25.8">
      <c r="C189" s="33"/>
      <c r="D189" s="43" t="s">
        <v>72</v>
      </c>
      <c r="E189" s="33"/>
      <c r="F189" s="33"/>
      <c r="G189" s="33"/>
      <c r="H189" s="33"/>
      <c r="I189" s="34"/>
      <c r="J189" s="34"/>
      <c r="L189" s="33"/>
      <c r="M189" s="33"/>
    </row>
    <row r="190" spans="3:13" ht="25.8">
      <c r="C190" s="33"/>
      <c r="D190" s="43" t="s">
        <v>72</v>
      </c>
      <c r="E190" s="33"/>
      <c r="F190" s="33"/>
      <c r="G190" s="33"/>
      <c r="H190" s="33"/>
      <c r="I190" s="34"/>
      <c r="J190" s="34"/>
      <c r="L190" s="33"/>
      <c r="M190" s="33"/>
    </row>
    <row r="191" spans="3:13" ht="25.8">
      <c r="C191" s="33"/>
      <c r="D191" s="43" t="s">
        <v>72</v>
      </c>
      <c r="E191" s="33"/>
      <c r="F191" s="33"/>
      <c r="G191" s="33"/>
      <c r="H191" s="33"/>
      <c r="I191" s="34"/>
      <c r="J191" s="34"/>
      <c r="L191" s="33"/>
      <c r="M191" s="33"/>
    </row>
    <row r="192" spans="3:13" ht="25.8">
      <c r="C192" s="33"/>
      <c r="D192" s="43" t="s">
        <v>72</v>
      </c>
      <c r="E192" s="33"/>
      <c r="F192" s="33"/>
      <c r="G192" s="33"/>
      <c r="H192" s="33"/>
      <c r="I192" s="34"/>
      <c r="J192" s="34"/>
      <c r="L192" s="33"/>
      <c r="M192" s="33"/>
    </row>
    <row r="193" spans="3:13" ht="25.8">
      <c r="C193" s="33"/>
      <c r="D193" s="43" t="s">
        <v>72</v>
      </c>
      <c r="E193" s="33"/>
      <c r="F193" s="33"/>
      <c r="G193" s="33"/>
      <c r="H193" s="33"/>
      <c r="I193" s="34"/>
      <c r="J193" s="34"/>
      <c r="L193" s="33"/>
      <c r="M193" s="33"/>
    </row>
    <row r="194" spans="3:13" ht="25.8">
      <c r="C194" s="33"/>
      <c r="D194" s="43" t="s">
        <v>72</v>
      </c>
      <c r="E194" s="33"/>
      <c r="F194" s="33"/>
      <c r="G194" s="33"/>
      <c r="H194" s="33"/>
      <c r="I194" s="34"/>
      <c r="J194" s="34"/>
      <c r="L194" s="33"/>
      <c r="M194" s="33"/>
    </row>
    <row r="195" spans="3:13" ht="25.8">
      <c r="C195" s="33"/>
      <c r="D195" s="43" t="s">
        <v>72</v>
      </c>
      <c r="E195" s="33"/>
      <c r="F195" s="33"/>
      <c r="G195" s="33"/>
      <c r="H195" s="33"/>
      <c r="I195" s="34"/>
      <c r="J195" s="34"/>
      <c r="L195" s="33"/>
      <c r="M195" s="33"/>
    </row>
    <row r="196" spans="3:13" ht="25.8">
      <c r="C196" s="33"/>
      <c r="D196" s="43" t="s">
        <v>72</v>
      </c>
      <c r="E196" s="33"/>
      <c r="F196" s="33"/>
      <c r="G196" s="33"/>
      <c r="H196" s="33"/>
      <c r="I196" s="34"/>
      <c r="J196" s="34"/>
      <c r="L196" s="33"/>
      <c r="M196" s="33"/>
    </row>
    <row r="197" spans="3:13" ht="25.8">
      <c r="C197" s="33"/>
      <c r="D197" s="43" t="s">
        <v>72</v>
      </c>
      <c r="E197" s="33"/>
      <c r="F197" s="33"/>
      <c r="G197" s="33"/>
      <c r="H197" s="33"/>
      <c r="I197" s="34"/>
      <c r="J197" s="34"/>
      <c r="L197" s="33"/>
      <c r="M197" s="33"/>
    </row>
    <row r="198" spans="3:13" ht="25.8">
      <c r="C198" s="33"/>
      <c r="D198" s="43" t="s">
        <v>72</v>
      </c>
      <c r="E198" s="33"/>
      <c r="F198" s="33"/>
      <c r="G198" s="33"/>
      <c r="H198" s="33"/>
      <c r="I198" s="34"/>
      <c r="J198" s="34"/>
      <c r="L198" s="33"/>
      <c r="M198" s="33"/>
    </row>
    <row r="199" spans="3:13" ht="25.8">
      <c r="C199" s="33"/>
      <c r="D199" s="43" t="s">
        <v>72</v>
      </c>
      <c r="E199" s="33"/>
      <c r="F199" s="33"/>
      <c r="G199" s="33"/>
      <c r="H199" s="33"/>
      <c r="I199" s="34"/>
      <c r="J199" s="34"/>
      <c r="L199" s="33"/>
      <c r="M199" s="33"/>
    </row>
    <row r="200" spans="3:13" ht="25.8">
      <c r="C200" s="33"/>
      <c r="D200" s="43" t="s">
        <v>72</v>
      </c>
      <c r="E200" s="33"/>
      <c r="F200" s="33"/>
      <c r="G200" s="33"/>
      <c r="H200" s="33"/>
      <c r="I200" s="34"/>
      <c r="J200" s="34"/>
      <c r="L200" s="33"/>
      <c r="M200" s="33"/>
    </row>
    <row r="201" spans="3:13" ht="25.8">
      <c r="C201" s="33"/>
      <c r="D201" s="43" t="s">
        <v>72</v>
      </c>
      <c r="E201" s="33"/>
      <c r="F201" s="33"/>
      <c r="G201" s="33"/>
      <c r="H201" s="33"/>
      <c r="I201" s="34"/>
      <c r="J201" s="34"/>
      <c r="L201" s="33"/>
      <c r="M201" s="33"/>
    </row>
    <row r="202" spans="3:13" ht="25.8">
      <c r="C202" s="33"/>
      <c r="D202" s="43" t="s">
        <v>72</v>
      </c>
      <c r="E202" s="33"/>
      <c r="F202" s="33"/>
      <c r="G202" s="33"/>
      <c r="H202" s="33"/>
      <c r="I202" s="34"/>
      <c r="J202" s="34"/>
      <c r="L202" s="33"/>
      <c r="M202" s="33"/>
    </row>
    <row r="203" spans="3:13" ht="25.8">
      <c r="C203" s="33"/>
      <c r="D203" s="43" t="s">
        <v>72</v>
      </c>
      <c r="E203" s="33"/>
      <c r="F203" s="33"/>
      <c r="G203" s="33"/>
      <c r="H203" s="33"/>
      <c r="I203" s="34"/>
      <c r="J203" s="34"/>
      <c r="L203" s="33"/>
      <c r="M203" s="33"/>
    </row>
    <row r="204" spans="3:13" ht="25.8">
      <c r="C204" s="33"/>
      <c r="D204" s="43" t="s">
        <v>72</v>
      </c>
      <c r="E204" s="33"/>
      <c r="F204" s="33"/>
      <c r="G204" s="33"/>
      <c r="H204" s="33"/>
      <c r="I204" s="34"/>
      <c r="J204" s="34"/>
      <c r="L204" s="33"/>
      <c r="M204" s="33"/>
    </row>
    <row r="205" spans="3:13" ht="25.8">
      <c r="C205" s="33"/>
      <c r="D205" s="43" t="s">
        <v>72</v>
      </c>
      <c r="E205" s="33"/>
      <c r="F205" s="33"/>
      <c r="G205" s="33"/>
      <c r="H205" s="33"/>
      <c r="I205" s="34"/>
      <c r="J205" s="34"/>
      <c r="L205" s="33"/>
      <c r="M205" s="33"/>
    </row>
    <row r="206" spans="3:13" ht="25.8">
      <c r="C206" s="33"/>
      <c r="D206" s="43" t="s">
        <v>72</v>
      </c>
      <c r="E206" s="33"/>
      <c r="F206" s="33"/>
      <c r="G206" s="33"/>
      <c r="H206" s="33"/>
      <c r="I206" s="34"/>
      <c r="J206" s="34"/>
      <c r="L206" s="33"/>
      <c r="M206" s="33"/>
    </row>
    <row r="207" spans="3:13" ht="25.8">
      <c r="C207" s="33"/>
      <c r="D207" s="43" t="s">
        <v>72</v>
      </c>
      <c r="E207" s="33"/>
      <c r="F207" s="33"/>
      <c r="G207" s="33"/>
      <c r="H207" s="33"/>
      <c r="I207" s="34"/>
      <c r="J207" s="34"/>
      <c r="L207" s="33"/>
      <c r="M207" s="33"/>
    </row>
    <row r="208" spans="3:13" ht="25.8">
      <c r="C208" s="33"/>
      <c r="D208" s="43" t="s">
        <v>72</v>
      </c>
      <c r="E208" s="33"/>
      <c r="F208" s="33"/>
      <c r="G208" s="33"/>
      <c r="H208" s="33"/>
      <c r="I208" s="34"/>
      <c r="J208" s="34"/>
      <c r="L208" s="33"/>
      <c r="M208" s="33"/>
    </row>
    <row r="209" spans="3:13" ht="25.8">
      <c r="C209" s="33"/>
      <c r="D209" s="43" t="s">
        <v>72</v>
      </c>
      <c r="E209" s="33"/>
      <c r="F209" s="33"/>
      <c r="G209" s="33"/>
      <c r="H209" s="33"/>
      <c r="I209" s="34"/>
      <c r="J209" s="34"/>
      <c r="L209" s="33"/>
      <c r="M209" s="33"/>
    </row>
    <row r="210" spans="3:13" ht="25.8">
      <c r="C210" s="33"/>
      <c r="D210" s="43" t="s">
        <v>72</v>
      </c>
      <c r="E210" s="33"/>
      <c r="F210" s="33"/>
      <c r="G210" s="33"/>
      <c r="H210" s="33"/>
      <c r="I210" s="34"/>
      <c r="J210" s="34"/>
      <c r="L210" s="33"/>
      <c r="M210" s="33"/>
    </row>
    <row r="211" spans="3:13" ht="25.8">
      <c r="C211" s="33"/>
      <c r="D211" s="43" t="s">
        <v>72</v>
      </c>
      <c r="E211" s="33"/>
      <c r="F211" s="33"/>
      <c r="G211" s="33"/>
      <c r="H211" s="33"/>
      <c r="I211" s="34"/>
      <c r="J211" s="34"/>
      <c r="L211" s="33"/>
      <c r="M211" s="33"/>
    </row>
    <row r="212" spans="3:13" ht="25.8">
      <c r="C212" s="33"/>
      <c r="D212" s="43" t="s">
        <v>72</v>
      </c>
      <c r="E212" s="33"/>
      <c r="F212" s="33"/>
      <c r="G212" s="33"/>
      <c r="H212" s="33"/>
      <c r="I212" s="34"/>
      <c r="J212" s="34"/>
      <c r="L212" s="33"/>
      <c r="M212" s="33"/>
    </row>
    <row r="213" spans="3:13" ht="25.8">
      <c r="C213" s="33"/>
      <c r="D213" s="43" t="s">
        <v>72</v>
      </c>
      <c r="E213" s="33"/>
      <c r="F213" s="33"/>
      <c r="G213" s="33"/>
      <c r="H213" s="33"/>
      <c r="I213" s="34"/>
      <c r="J213" s="34"/>
      <c r="L213" s="33"/>
      <c r="M213" s="33"/>
    </row>
    <row r="214" spans="3:13" ht="25.8">
      <c r="C214" s="33"/>
      <c r="D214" s="43" t="s">
        <v>72</v>
      </c>
      <c r="E214" s="33"/>
      <c r="F214" s="33"/>
      <c r="G214" s="33"/>
      <c r="H214" s="33"/>
      <c r="I214" s="34"/>
      <c r="J214" s="34"/>
      <c r="L214" s="33"/>
      <c r="M214" s="33"/>
    </row>
    <row r="215" spans="3:13" ht="25.8">
      <c r="C215" s="33"/>
      <c r="D215" s="43" t="s">
        <v>72</v>
      </c>
      <c r="E215" s="33"/>
      <c r="F215" s="33"/>
      <c r="G215" s="33"/>
      <c r="H215" s="33"/>
      <c r="I215" s="34"/>
      <c r="J215" s="34"/>
      <c r="L215" s="33"/>
      <c r="M215" s="33"/>
    </row>
    <row r="216" spans="3:13" ht="25.8">
      <c r="C216" s="33"/>
      <c r="D216" s="43" t="s">
        <v>72</v>
      </c>
      <c r="E216" s="33"/>
      <c r="F216" s="33"/>
      <c r="G216" s="33"/>
      <c r="H216" s="33"/>
      <c r="I216" s="34"/>
      <c r="J216" s="34"/>
      <c r="L216" s="33"/>
      <c r="M216" s="33"/>
    </row>
    <row r="217" spans="3:13" ht="25.8">
      <c r="C217" s="33"/>
      <c r="D217" s="43" t="s">
        <v>72</v>
      </c>
      <c r="E217" s="33"/>
      <c r="F217" s="33"/>
      <c r="G217" s="33"/>
      <c r="H217" s="33"/>
      <c r="I217" s="34"/>
      <c r="J217" s="34"/>
      <c r="L217" s="33"/>
      <c r="M217" s="33"/>
    </row>
    <row r="218" spans="3:13" ht="25.8">
      <c r="C218" s="33"/>
      <c r="D218" s="43" t="s">
        <v>72</v>
      </c>
      <c r="E218" s="33"/>
      <c r="F218" s="33"/>
      <c r="G218" s="33"/>
      <c r="H218" s="33"/>
      <c r="I218" s="34"/>
      <c r="J218" s="34"/>
      <c r="L218" s="33"/>
      <c r="M218" s="33"/>
    </row>
    <row r="219" spans="3:13" ht="25.8">
      <c r="C219" s="33"/>
      <c r="D219" s="43" t="s">
        <v>72</v>
      </c>
      <c r="E219" s="33"/>
      <c r="F219" s="33"/>
      <c r="G219" s="33"/>
      <c r="H219" s="33"/>
      <c r="I219" s="34"/>
      <c r="J219" s="34"/>
      <c r="L219" s="33"/>
      <c r="M219" s="33"/>
    </row>
    <row r="220" spans="3:13" ht="25.8">
      <c r="C220" s="33"/>
      <c r="D220" s="43" t="s">
        <v>72</v>
      </c>
      <c r="E220" s="33"/>
      <c r="F220" s="33"/>
      <c r="G220" s="33"/>
      <c r="H220" s="33"/>
      <c r="I220" s="34"/>
      <c r="J220" s="34"/>
      <c r="L220" s="33"/>
      <c r="M220" s="33"/>
    </row>
    <row r="221" spans="3:13" ht="25.8">
      <c r="C221" s="33"/>
      <c r="D221" s="43" t="s">
        <v>72</v>
      </c>
      <c r="E221" s="33"/>
      <c r="F221" s="33"/>
      <c r="G221" s="33"/>
      <c r="H221" s="33"/>
      <c r="I221" s="34"/>
      <c r="J221" s="34"/>
      <c r="L221" s="33"/>
      <c r="M221" s="33"/>
    </row>
    <row r="222" spans="3:13" ht="25.8">
      <c r="C222" s="33"/>
      <c r="D222" s="43" t="s">
        <v>72</v>
      </c>
      <c r="E222" s="33"/>
      <c r="F222" s="33"/>
      <c r="G222" s="33"/>
      <c r="H222" s="33"/>
      <c r="I222" s="34"/>
      <c r="J222" s="34"/>
      <c r="L222" s="33"/>
      <c r="M222" s="33"/>
    </row>
    <row r="223" spans="3:13" ht="25.8">
      <c r="C223" s="33"/>
      <c r="D223" s="43" t="s">
        <v>72</v>
      </c>
      <c r="E223" s="33"/>
      <c r="F223" s="33"/>
      <c r="G223" s="33"/>
      <c r="H223" s="33"/>
      <c r="I223" s="34"/>
      <c r="J223" s="34"/>
      <c r="L223" s="33"/>
      <c r="M223" s="33"/>
    </row>
    <row r="224" spans="3:13" ht="25.8">
      <c r="C224" s="33"/>
      <c r="D224" s="43" t="s">
        <v>72</v>
      </c>
      <c r="E224" s="33"/>
      <c r="F224" s="33"/>
      <c r="G224" s="33"/>
      <c r="H224" s="33"/>
      <c r="I224" s="34"/>
      <c r="J224" s="34"/>
      <c r="L224" s="33"/>
      <c r="M224" s="33"/>
    </row>
    <row r="225" spans="3:13" ht="25.8">
      <c r="C225" s="33"/>
      <c r="D225" s="43" t="s">
        <v>72</v>
      </c>
      <c r="E225" s="33"/>
      <c r="F225" s="33"/>
      <c r="G225" s="33"/>
      <c r="H225" s="33"/>
      <c r="I225" s="34"/>
      <c r="J225" s="34"/>
      <c r="L225" s="33"/>
      <c r="M225" s="33"/>
    </row>
    <row r="226" spans="3:13" ht="25.8">
      <c r="C226" s="33"/>
      <c r="D226" s="43" t="s">
        <v>72</v>
      </c>
      <c r="E226" s="33"/>
      <c r="F226" s="33"/>
      <c r="G226" s="33"/>
      <c r="H226" s="33"/>
      <c r="I226" s="34"/>
      <c r="J226" s="34"/>
      <c r="L226" s="33"/>
      <c r="M226" s="33"/>
    </row>
    <row r="227" spans="3:13" ht="25.8">
      <c r="C227" s="33"/>
      <c r="D227" s="43" t="s">
        <v>72</v>
      </c>
      <c r="E227" s="33"/>
      <c r="F227" s="33"/>
      <c r="G227" s="33"/>
      <c r="H227" s="33"/>
      <c r="I227" s="34"/>
      <c r="J227" s="34"/>
      <c r="L227" s="33"/>
      <c r="M227" s="33"/>
    </row>
    <row r="228" spans="3:13" ht="25.8">
      <c r="C228" s="33"/>
      <c r="D228" s="43" t="s">
        <v>72</v>
      </c>
      <c r="E228" s="33"/>
      <c r="F228" s="33"/>
      <c r="G228" s="33"/>
      <c r="H228" s="33"/>
      <c r="I228" s="34"/>
      <c r="J228" s="34"/>
      <c r="L228" s="33"/>
      <c r="M228" s="33"/>
    </row>
    <row r="229" spans="3:13" ht="25.8">
      <c r="C229" s="33"/>
      <c r="D229" s="43" t="s">
        <v>72</v>
      </c>
      <c r="E229" s="33"/>
      <c r="F229" s="33"/>
      <c r="G229" s="33"/>
      <c r="H229" s="33"/>
      <c r="I229" s="34"/>
      <c r="J229" s="34"/>
      <c r="L229" s="33"/>
      <c r="M229" s="33"/>
    </row>
    <row r="230" spans="3:13" ht="25.8">
      <c r="C230" s="33"/>
      <c r="D230" s="43" t="s">
        <v>72</v>
      </c>
      <c r="E230" s="33"/>
      <c r="F230" s="33"/>
      <c r="G230" s="33"/>
      <c r="H230" s="33"/>
      <c r="I230" s="34"/>
      <c r="J230" s="34"/>
      <c r="L230" s="33"/>
      <c r="M230" s="33"/>
    </row>
    <row r="231" spans="3:13" ht="25.8">
      <c r="C231" s="33"/>
      <c r="D231" s="43" t="s">
        <v>72</v>
      </c>
      <c r="E231" s="33"/>
      <c r="F231" s="33"/>
      <c r="G231" s="33"/>
      <c r="H231" s="33"/>
      <c r="I231" s="34"/>
      <c r="J231" s="34"/>
      <c r="L231" s="33"/>
      <c r="M231" s="33"/>
    </row>
    <row r="232" spans="3:13" ht="25.8">
      <c r="C232" s="33"/>
      <c r="D232" s="43" t="s">
        <v>72</v>
      </c>
      <c r="E232" s="33"/>
      <c r="F232" s="33"/>
      <c r="G232" s="33"/>
      <c r="H232" s="33"/>
      <c r="I232" s="34"/>
      <c r="J232" s="34"/>
      <c r="L232" s="33"/>
      <c r="M232" s="33"/>
    </row>
    <row r="233" spans="3:13" ht="25.8">
      <c r="C233" s="33"/>
      <c r="D233" s="43" t="s">
        <v>72</v>
      </c>
      <c r="E233" s="33"/>
      <c r="F233" s="33"/>
      <c r="G233" s="33"/>
      <c r="H233" s="33"/>
      <c r="I233" s="34"/>
      <c r="J233" s="34"/>
      <c r="L233" s="33"/>
      <c r="M233" s="33"/>
    </row>
    <row r="234" spans="3:13" ht="25.8">
      <c r="C234" s="33"/>
      <c r="D234" s="43" t="s">
        <v>72</v>
      </c>
      <c r="E234" s="33"/>
      <c r="F234" s="33"/>
      <c r="G234" s="33"/>
      <c r="H234" s="33"/>
      <c r="I234" s="34"/>
      <c r="J234" s="34"/>
      <c r="L234" s="33"/>
      <c r="M234" s="33"/>
    </row>
    <row r="235" spans="3:13" ht="25.8">
      <c r="C235" s="33"/>
      <c r="D235" s="43" t="s">
        <v>72</v>
      </c>
      <c r="E235" s="33"/>
      <c r="F235" s="33"/>
      <c r="G235" s="33"/>
      <c r="H235" s="33"/>
      <c r="I235" s="34"/>
      <c r="J235" s="34"/>
      <c r="L235" s="33"/>
      <c r="M235" s="33"/>
    </row>
    <row r="236" spans="3:13" ht="25.8">
      <c r="C236" s="33"/>
      <c r="D236" s="43" t="s">
        <v>72</v>
      </c>
      <c r="E236" s="33"/>
      <c r="F236" s="33"/>
      <c r="G236" s="33"/>
      <c r="H236" s="33"/>
      <c r="I236" s="34"/>
      <c r="J236" s="34"/>
      <c r="L236" s="33"/>
      <c r="M236" s="33"/>
    </row>
    <row r="237" spans="3:13" ht="25.8">
      <c r="C237" s="33"/>
      <c r="D237" s="43" t="s">
        <v>72</v>
      </c>
      <c r="E237" s="33"/>
      <c r="F237" s="33"/>
      <c r="G237" s="33"/>
      <c r="H237" s="33"/>
      <c r="I237" s="34"/>
      <c r="J237" s="34"/>
      <c r="L237" s="33"/>
      <c r="M237" s="33"/>
    </row>
    <row r="238" spans="3:13" ht="25.8">
      <c r="C238" s="33"/>
      <c r="D238" s="43" t="s">
        <v>72</v>
      </c>
      <c r="E238" s="33"/>
      <c r="F238" s="33"/>
      <c r="G238" s="33"/>
      <c r="H238" s="33"/>
      <c r="I238" s="34"/>
      <c r="J238" s="34"/>
      <c r="L238" s="33"/>
      <c r="M238" s="33"/>
    </row>
    <row r="239" spans="3:13" ht="25.8">
      <c r="C239" s="33"/>
      <c r="D239" s="43" t="s">
        <v>72</v>
      </c>
      <c r="E239" s="33"/>
      <c r="F239" s="33"/>
      <c r="G239" s="33"/>
      <c r="H239" s="33"/>
      <c r="I239" s="34"/>
      <c r="J239" s="34"/>
      <c r="L239" s="33"/>
      <c r="M239" s="33"/>
    </row>
    <row r="240" spans="3:13" ht="25.8">
      <c r="C240" s="33"/>
      <c r="D240" s="43" t="s">
        <v>72</v>
      </c>
      <c r="E240" s="33"/>
      <c r="F240" s="33"/>
      <c r="G240" s="33"/>
      <c r="H240" s="33"/>
      <c r="I240" s="34"/>
      <c r="J240" s="34"/>
      <c r="L240" s="33"/>
      <c r="M240" s="33"/>
    </row>
    <row r="241" spans="3:13" ht="25.8">
      <c r="C241" s="33"/>
      <c r="D241" s="43" t="s">
        <v>72</v>
      </c>
      <c r="E241" s="33"/>
      <c r="F241" s="33"/>
      <c r="G241" s="33"/>
      <c r="H241" s="33"/>
      <c r="I241" s="34"/>
      <c r="J241" s="34"/>
      <c r="L241" s="33"/>
      <c r="M241" s="33"/>
    </row>
    <row r="242" spans="3:13" ht="25.8">
      <c r="C242" s="33"/>
      <c r="D242" s="43" t="s">
        <v>72</v>
      </c>
      <c r="E242" s="33"/>
      <c r="F242" s="33"/>
      <c r="G242" s="33"/>
      <c r="H242" s="33"/>
      <c r="I242" s="34"/>
      <c r="J242" s="34"/>
      <c r="L242" s="33"/>
      <c r="M242" s="33"/>
    </row>
    <row r="243" spans="3:13" ht="25.8">
      <c r="C243" s="33"/>
      <c r="D243" s="43" t="s">
        <v>72</v>
      </c>
      <c r="E243" s="33"/>
      <c r="F243" s="33"/>
      <c r="G243" s="33"/>
      <c r="H243" s="33"/>
      <c r="I243" s="34"/>
      <c r="J243" s="34"/>
      <c r="L243" s="33"/>
      <c r="M243" s="33"/>
    </row>
    <row r="244" spans="3:13" ht="25.8">
      <c r="C244" s="33"/>
      <c r="D244" s="43" t="s">
        <v>72</v>
      </c>
      <c r="E244" s="33"/>
      <c r="F244" s="33"/>
      <c r="G244" s="33"/>
      <c r="H244" s="33"/>
      <c r="I244" s="34"/>
      <c r="J244" s="34"/>
      <c r="L244" s="33"/>
      <c r="M244" s="33"/>
    </row>
    <row r="245" spans="3:13" ht="25.8">
      <c r="C245" s="33"/>
      <c r="D245" s="43" t="s">
        <v>72</v>
      </c>
      <c r="E245" s="33"/>
      <c r="F245" s="33"/>
      <c r="G245" s="33"/>
      <c r="H245" s="33"/>
      <c r="I245" s="34"/>
      <c r="J245" s="34"/>
      <c r="L245" s="33"/>
      <c r="M245" s="33"/>
    </row>
    <row r="246" spans="3:13" ht="25.8">
      <c r="C246" s="33"/>
      <c r="D246" s="43" t="s">
        <v>72</v>
      </c>
      <c r="E246" s="33"/>
      <c r="F246" s="33"/>
      <c r="G246" s="33"/>
      <c r="H246" s="33"/>
      <c r="I246" s="34"/>
      <c r="J246" s="34"/>
      <c r="L246" s="33"/>
      <c r="M246" s="33"/>
    </row>
    <row r="247" spans="3:13" ht="25.8">
      <c r="C247" s="33"/>
      <c r="D247" s="43" t="s">
        <v>72</v>
      </c>
      <c r="E247" s="33"/>
      <c r="F247" s="33"/>
      <c r="G247" s="33"/>
      <c r="H247" s="33"/>
      <c r="I247" s="34"/>
      <c r="J247" s="34"/>
      <c r="L247" s="33"/>
      <c r="M247" s="33"/>
    </row>
    <row r="248" spans="3:13" ht="25.8">
      <c r="C248" s="33"/>
      <c r="D248" s="43" t="s">
        <v>72</v>
      </c>
      <c r="E248" s="33"/>
      <c r="F248" s="33"/>
      <c r="G248" s="33"/>
      <c r="H248" s="33"/>
      <c r="I248" s="34"/>
      <c r="J248" s="34"/>
      <c r="L248" s="33"/>
      <c r="M248" s="33"/>
    </row>
    <row r="249" spans="3:13" ht="25.8">
      <c r="C249" s="33"/>
      <c r="D249" s="43" t="s">
        <v>72</v>
      </c>
      <c r="E249" s="33"/>
      <c r="F249" s="33"/>
      <c r="G249" s="33"/>
      <c r="H249" s="33"/>
      <c r="I249" s="34"/>
      <c r="J249" s="34"/>
      <c r="L249" s="33"/>
      <c r="M249" s="33"/>
    </row>
    <row r="250" spans="3:13" ht="25.8">
      <c r="C250" s="33"/>
      <c r="D250" s="43" t="s">
        <v>72</v>
      </c>
      <c r="E250" s="33"/>
      <c r="F250" s="33"/>
      <c r="G250" s="33"/>
      <c r="H250" s="33"/>
      <c r="I250" s="34"/>
      <c r="J250" s="34"/>
      <c r="L250" s="33"/>
      <c r="M250" s="33"/>
    </row>
    <row r="251" spans="3:13" ht="25.8">
      <c r="C251" s="33"/>
      <c r="D251" s="43" t="s">
        <v>72</v>
      </c>
      <c r="E251" s="33"/>
      <c r="F251" s="33"/>
      <c r="G251" s="33"/>
      <c r="H251" s="33"/>
      <c r="I251" s="34"/>
      <c r="J251" s="34"/>
      <c r="L251" s="33"/>
      <c r="M251" s="33"/>
    </row>
    <row r="252" spans="3:13" ht="25.8">
      <c r="C252" s="33"/>
      <c r="D252" s="43" t="s">
        <v>72</v>
      </c>
      <c r="E252" s="33"/>
      <c r="F252" s="33"/>
      <c r="G252" s="33"/>
      <c r="H252" s="33"/>
      <c r="I252" s="34"/>
      <c r="J252" s="34"/>
      <c r="L252" s="33"/>
      <c r="M252" s="33"/>
    </row>
    <row r="253" spans="3:13" ht="25.8">
      <c r="C253" s="33"/>
      <c r="D253" s="43" t="s">
        <v>72</v>
      </c>
      <c r="E253" s="33"/>
      <c r="F253" s="33"/>
      <c r="G253" s="33"/>
      <c r="H253" s="33"/>
      <c r="I253" s="34"/>
      <c r="J253" s="34"/>
      <c r="L253" s="33"/>
      <c r="M253" s="33"/>
    </row>
    <row r="254" spans="3:13" ht="25.8">
      <c r="C254" s="33"/>
      <c r="D254" s="43" t="s">
        <v>72</v>
      </c>
      <c r="E254" s="33"/>
      <c r="F254" s="33"/>
      <c r="G254" s="33"/>
      <c r="H254" s="33"/>
      <c r="I254" s="34"/>
      <c r="J254" s="34"/>
      <c r="L254" s="33"/>
      <c r="M254" s="33"/>
    </row>
    <row r="255" spans="3:13" ht="25.8">
      <c r="C255" s="33"/>
      <c r="D255" s="43" t="s">
        <v>72</v>
      </c>
      <c r="E255" s="33"/>
      <c r="F255" s="33"/>
      <c r="G255" s="33"/>
      <c r="H255" s="33"/>
      <c r="I255" s="34"/>
      <c r="J255" s="34"/>
      <c r="L255" s="33"/>
      <c r="M255" s="33"/>
    </row>
    <row r="256" spans="3:13" ht="25.8">
      <c r="C256" s="33"/>
      <c r="D256" s="43" t="s">
        <v>72</v>
      </c>
      <c r="E256" s="33"/>
      <c r="F256" s="33"/>
      <c r="G256" s="33"/>
      <c r="H256" s="33"/>
      <c r="I256" s="34"/>
      <c r="J256" s="34"/>
      <c r="L256" s="33"/>
      <c r="M256" s="33"/>
    </row>
    <row r="257" spans="3:13" ht="25.8">
      <c r="C257" s="33"/>
      <c r="D257" s="43" t="s">
        <v>72</v>
      </c>
      <c r="E257" s="33"/>
      <c r="F257" s="33"/>
      <c r="G257" s="33"/>
      <c r="H257" s="33"/>
      <c r="I257" s="34"/>
      <c r="J257" s="34"/>
      <c r="L257" s="33"/>
      <c r="M257" s="33"/>
    </row>
    <row r="258" spans="3:13" ht="25.8">
      <c r="C258" s="33"/>
      <c r="D258" s="43" t="s">
        <v>72</v>
      </c>
      <c r="E258" s="33"/>
      <c r="F258" s="33"/>
      <c r="G258" s="33"/>
      <c r="H258" s="33"/>
      <c r="I258" s="34"/>
      <c r="J258" s="34"/>
      <c r="L258" s="33"/>
      <c r="M258" s="33"/>
    </row>
    <row r="259" spans="3:13" ht="25.8">
      <c r="C259" s="33"/>
      <c r="D259" s="43" t="s">
        <v>72</v>
      </c>
      <c r="E259" s="33"/>
      <c r="F259" s="33"/>
      <c r="G259" s="33"/>
      <c r="H259" s="33"/>
      <c r="I259" s="34"/>
      <c r="J259" s="34"/>
      <c r="L259" s="33"/>
      <c r="M259" s="33"/>
    </row>
    <row r="260" spans="3:13" ht="25.8">
      <c r="C260" s="33"/>
      <c r="D260" s="43" t="s">
        <v>72</v>
      </c>
      <c r="E260" s="33"/>
      <c r="F260" s="33"/>
      <c r="G260" s="33"/>
      <c r="H260" s="33"/>
      <c r="I260" s="34"/>
      <c r="J260" s="34"/>
      <c r="L260" s="33"/>
      <c r="M260" s="33"/>
    </row>
    <row r="261" spans="3:13" ht="25.8">
      <c r="C261" s="33"/>
      <c r="D261" s="43" t="s">
        <v>72</v>
      </c>
      <c r="E261" s="33"/>
      <c r="F261" s="33"/>
      <c r="G261" s="33"/>
      <c r="H261" s="33"/>
      <c r="I261" s="34"/>
      <c r="J261" s="34"/>
      <c r="L261" s="33"/>
      <c r="M261" s="33"/>
    </row>
    <row r="262" spans="3:13" ht="25.8">
      <c r="C262" s="33"/>
      <c r="D262" s="43" t="s">
        <v>72</v>
      </c>
      <c r="E262" s="33"/>
      <c r="F262" s="33"/>
      <c r="G262" s="33"/>
      <c r="H262" s="33"/>
      <c r="I262" s="34"/>
      <c r="J262" s="34"/>
      <c r="L262" s="33"/>
      <c r="M262" s="33"/>
    </row>
    <row r="263" spans="3:13" ht="25.8">
      <c r="C263" s="33"/>
      <c r="D263" s="43" t="s">
        <v>72</v>
      </c>
      <c r="E263" s="33"/>
      <c r="F263" s="33"/>
      <c r="G263" s="33"/>
      <c r="H263" s="33"/>
      <c r="I263" s="34"/>
      <c r="J263" s="34"/>
      <c r="L263" s="33"/>
      <c r="M263" s="33"/>
    </row>
    <row r="264" spans="3:13" ht="25.8">
      <c r="C264" s="33"/>
      <c r="D264" s="43" t="s">
        <v>72</v>
      </c>
      <c r="E264" s="33"/>
      <c r="F264" s="33"/>
      <c r="G264" s="33"/>
      <c r="H264" s="33"/>
      <c r="I264" s="34"/>
      <c r="J264" s="34"/>
      <c r="L264" s="33"/>
      <c r="M264" s="33"/>
    </row>
    <row r="265" spans="3:13" ht="25.8">
      <c r="C265" s="33"/>
      <c r="D265" s="43" t="s">
        <v>72</v>
      </c>
      <c r="E265" s="33"/>
      <c r="F265" s="33"/>
      <c r="G265" s="33"/>
      <c r="H265" s="33"/>
      <c r="I265" s="34"/>
      <c r="J265" s="34"/>
      <c r="L265" s="33"/>
      <c r="M265" s="33"/>
    </row>
    <row r="266" spans="3:13" ht="25.8">
      <c r="C266" s="33"/>
      <c r="D266" s="43" t="s">
        <v>72</v>
      </c>
      <c r="E266" s="33"/>
      <c r="F266" s="33"/>
      <c r="G266" s="33"/>
      <c r="H266" s="33"/>
      <c r="I266" s="34"/>
      <c r="J266" s="34"/>
      <c r="L266" s="33"/>
      <c r="M266" s="33"/>
    </row>
    <row r="267" spans="3:13" ht="25.8">
      <c r="C267" s="33"/>
      <c r="D267" s="43" t="s">
        <v>72</v>
      </c>
      <c r="E267" s="33"/>
      <c r="F267" s="33"/>
      <c r="G267" s="33"/>
      <c r="H267" s="33"/>
      <c r="I267" s="34"/>
      <c r="J267" s="34"/>
      <c r="L267" s="33"/>
      <c r="M267" s="33"/>
    </row>
    <row r="268" spans="3:13" ht="25.8">
      <c r="C268" s="33"/>
      <c r="D268" s="43" t="s">
        <v>72</v>
      </c>
      <c r="E268" s="33"/>
      <c r="F268" s="33"/>
      <c r="G268" s="33"/>
      <c r="H268" s="33"/>
      <c r="I268" s="34"/>
      <c r="J268" s="34"/>
      <c r="L268" s="33"/>
      <c r="M268" s="33"/>
    </row>
    <row r="269" spans="3:13" ht="25.8">
      <c r="C269" s="33"/>
      <c r="D269" s="43" t="s">
        <v>72</v>
      </c>
      <c r="E269" s="33"/>
      <c r="F269" s="33"/>
      <c r="G269" s="33"/>
      <c r="H269" s="33"/>
      <c r="I269" s="34"/>
      <c r="J269" s="34"/>
      <c r="L269" s="33"/>
      <c r="M269" s="33"/>
    </row>
    <row r="270" spans="3:13" ht="25.8">
      <c r="C270" s="33"/>
      <c r="D270" s="43" t="s">
        <v>72</v>
      </c>
      <c r="E270" s="33"/>
      <c r="F270" s="33"/>
      <c r="G270" s="33"/>
      <c r="H270" s="33"/>
      <c r="I270" s="34"/>
      <c r="J270" s="34"/>
      <c r="L270" s="33"/>
      <c r="M270" s="33"/>
    </row>
    <row r="271" spans="3:13" ht="25.8">
      <c r="C271" s="33"/>
      <c r="D271" s="43" t="s">
        <v>72</v>
      </c>
      <c r="E271" s="33"/>
      <c r="F271" s="33"/>
      <c r="G271" s="33"/>
      <c r="H271" s="33"/>
      <c r="I271" s="34"/>
      <c r="J271" s="34"/>
      <c r="L271" s="33"/>
      <c r="M271" s="33"/>
    </row>
    <row r="272" spans="3:13" ht="25.8">
      <c r="C272" s="33"/>
      <c r="D272" s="43" t="s">
        <v>72</v>
      </c>
      <c r="E272" s="33"/>
      <c r="F272" s="33"/>
      <c r="G272" s="33"/>
      <c r="H272" s="33"/>
      <c r="I272" s="34"/>
      <c r="J272" s="34"/>
      <c r="L272" s="33"/>
      <c r="M272" s="33"/>
    </row>
    <row r="273" spans="3:13" ht="25.8">
      <c r="C273" s="33"/>
      <c r="D273" s="43" t="s">
        <v>72</v>
      </c>
      <c r="E273" s="33"/>
      <c r="F273" s="33"/>
      <c r="G273" s="33"/>
      <c r="H273" s="33"/>
      <c r="I273" s="34"/>
      <c r="J273" s="34"/>
      <c r="L273" s="33"/>
      <c r="M273" s="33"/>
    </row>
    <row r="274" spans="3:13" ht="25.8">
      <c r="C274" s="33"/>
      <c r="D274" s="43" t="s">
        <v>72</v>
      </c>
      <c r="E274" s="33"/>
      <c r="F274" s="33"/>
      <c r="G274" s="33"/>
      <c r="H274" s="33"/>
      <c r="I274" s="34"/>
      <c r="J274" s="34"/>
      <c r="L274" s="33"/>
      <c r="M274" s="33"/>
    </row>
    <row r="275" spans="3:13" ht="25.8">
      <c r="C275" s="33"/>
      <c r="D275" s="43" t="s">
        <v>72</v>
      </c>
      <c r="E275" s="33"/>
      <c r="F275" s="33"/>
      <c r="G275" s="33"/>
      <c r="H275" s="33"/>
      <c r="I275" s="34"/>
      <c r="J275" s="34"/>
      <c r="L275" s="33"/>
      <c r="M275" s="33"/>
    </row>
    <row r="276" spans="3:13" ht="25.8">
      <c r="C276" s="33"/>
      <c r="D276" s="43" t="s">
        <v>72</v>
      </c>
      <c r="E276" s="33"/>
      <c r="F276" s="33"/>
      <c r="G276" s="33"/>
      <c r="H276" s="33"/>
      <c r="I276" s="34"/>
      <c r="J276" s="34"/>
      <c r="L276" s="33"/>
      <c r="M276" s="33"/>
    </row>
    <row r="277" spans="3:13" ht="25.8">
      <c r="C277" s="33"/>
      <c r="D277" s="43" t="s">
        <v>72</v>
      </c>
      <c r="E277" s="33"/>
      <c r="F277" s="33"/>
      <c r="G277" s="33"/>
      <c r="H277" s="33"/>
      <c r="I277" s="34"/>
      <c r="J277" s="34"/>
      <c r="L277" s="33"/>
      <c r="M277" s="33"/>
    </row>
    <row r="278" spans="3:13" ht="25.8">
      <c r="C278" s="33"/>
      <c r="D278" s="43" t="s">
        <v>72</v>
      </c>
      <c r="E278" s="33"/>
      <c r="F278" s="33"/>
      <c r="G278" s="33"/>
      <c r="H278" s="33"/>
      <c r="I278" s="34"/>
      <c r="J278" s="34"/>
      <c r="L278" s="33"/>
      <c r="M278" s="33"/>
    </row>
    <row r="279" spans="3:13" ht="25.8">
      <c r="C279" s="33"/>
      <c r="D279" s="43" t="s">
        <v>72</v>
      </c>
      <c r="E279" s="33"/>
      <c r="F279" s="33"/>
      <c r="G279" s="33"/>
      <c r="H279" s="33"/>
      <c r="I279" s="34"/>
      <c r="J279" s="34"/>
      <c r="L279" s="33"/>
      <c r="M279" s="33"/>
    </row>
    <row r="280" spans="3:13" ht="25.8">
      <c r="C280" s="33"/>
      <c r="D280" s="43" t="s">
        <v>72</v>
      </c>
      <c r="E280" s="33"/>
      <c r="F280" s="33"/>
      <c r="G280" s="33"/>
      <c r="H280" s="33"/>
      <c r="I280" s="34"/>
      <c r="J280" s="34"/>
      <c r="L280" s="33"/>
      <c r="M280" s="33"/>
    </row>
    <row r="281" spans="3:13" ht="25.8">
      <c r="C281" s="33"/>
      <c r="D281" s="43" t="s">
        <v>72</v>
      </c>
      <c r="E281" s="33"/>
      <c r="F281" s="33"/>
      <c r="G281" s="33"/>
      <c r="H281" s="33"/>
      <c r="I281" s="34"/>
      <c r="J281" s="34"/>
      <c r="L281" s="33"/>
      <c r="M281" s="33"/>
    </row>
    <row r="282" spans="3:13" ht="25.8">
      <c r="C282" s="33"/>
      <c r="D282" s="43" t="s">
        <v>72</v>
      </c>
      <c r="E282" s="33"/>
      <c r="F282" s="33"/>
      <c r="G282" s="33"/>
      <c r="H282" s="33"/>
      <c r="I282" s="34"/>
      <c r="J282" s="34"/>
      <c r="L282" s="33"/>
      <c r="M282" s="33"/>
    </row>
    <row r="283" spans="3:13" ht="25.8">
      <c r="C283" s="33"/>
      <c r="D283" s="43" t="s">
        <v>72</v>
      </c>
      <c r="E283" s="33"/>
      <c r="F283" s="33"/>
      <c r="G283" s="33"/>
      <c r="H283" s="33"/>
      <c r="I283" s="34"/>
      <c r="J283" s="34"/>
      <c r="L283" s="33"/>
      <c r="M283" s="33"/>
    </row>
    <row r="284" spans="3:13" ht="25.8">
      <c r="C284" s="33"/>
      <c r="D284" s="43" t="s">
        <v>72</v>
      </c>
      <c r="E284" s="33"/>
      <c r="F284" s="33"/>
      <c r="G284" s="33"/>
      <c r="H284" s="33"/>
      <c r="I284" s="34"/>
      <c r="J284" s="34"/>
      <c r="L284" s="33"/>
      <c r="M284" s="33"/>
    </row>
    <row r="285" spans="3:13" ht="25.8">
      <c r="C285" s="33"/>
      <c r="D285" s="43" t="s">
        <v>72</v>
      </c>
      <c r="E285" s="33"/>
      <c r="F285" s="33"/>
      <c r="G285" s="33"/>
      <c r="H285" s="33"/>
      <c r="I285" s="34"/>
      <c r="J285" s="34"/>
      <c r="L285" s="33"/>
      <c r="M285" s="33"/>
    </row>
    <row r="286" spans="3:13" ht="25.8">
      <c r="C286" s="33"/>
      <c r="D286" s="43" t="s">
        <v>72</v>
      </c>
      <c r="E286" s="33"/>
      <c r="F286" s="33"/>
      <c r="G286" s="33"/>
      <c r="H286" s="33"/>
      <c r="I286" s="34"/>
      <c r="J286" s="34"/>
      <c r="L286" s="33"/>
      <c r="M286" s="33"/>
    </row>
    <row r="287" spans="3:13" ht="25.8">
      <c r="C287" s="33"/>
      <c r="D287" s="43" t="s">
        <v>72</v>
      </c>
      <c r="E287" s="33"/>
      <c r="F287" s="33"/>
      <c r="G287" s="33"/>
      <c r="H287" s="33"/>
      <c r="I287" s="34"/>
      <c r="J287" s="34"/>
      <c r="L287" s="33"/>
      <c r="M287" s="33"/>
    </row>
    <row r="288" spans="3:13" ht="25.8">
      <c r="C288" s="33"/>
      <c r="D288" s="43" t="s">
        <v>72</v>
      </c>
      <c r="E288" s="33"/>
      <c r="F288" s="33"/>
      <c r="G288" s="33"/>
      <c r="H288" s="33"/>
      <c r="I288" s="34"/>
      <c r="J288" s="34"/>
      <c r="L288" s="33"/>
      <c r="M288" s="33"/>
    </row>
    <row r="289" spans="3:13" ht="25.8">
      <c r="C289" s="33"/>
      <c r="D289" s="43" t="s">
        <v>72</v>
      </c>
      <c r="E289" s="33"/>
      <c r="F289" s="33"/>
      <c r="G289" s="33"/>
      <c r="H289" s="33"/>
      <c r="I289" s="34"/>
      <c r="J289" s="34"/>
      <c r="L289" s="33"/>
      <c r="M289" s="33"/>
    </row>
    <row r="290" spans="3:13" ht="25.8">
      <c r="C290" s="33"/>
      <c r="D290" s="43" t="s">
        <v>72</v>
      </c>
      <c r="E290" s="33"/>
      <c r="F290" s="33"/>
      <c r="G290" s="33"/>
      <c r="H290" s="33"/>
      <c r="I290" s="34"/>
      <c r="J290" s="34"/>
      <c r="L290" s="33"/>
      <c r="M290" s="33"/>
    </row>
    <row r="291" spans="3:13" ht="25.8">
      <c r="C291" s="33"/>
      <c r="D291" s="43" t="s">
        <v>72</v>
      </c>
      <c r="E291" s="33"/>
      <c r="F291" s="33"/>
      <c r="G291" s="33"/>
      <c r="H291" s="33"/>
      <c r="I291" s="34"/>
      <c r="J291" s="34"/>
      <c r="L291" s="33"/>
      <c r="M291" s="33"/>
    </row>
    <row r="292" spans="3:13" ht="25.8">
      <c r="C292" s="33"/>
      <c r="D292" s="43" t="s">
        <v>72</v>
      </c>
      <c r="E292" s="33"/>
      <c r="F292" s="33"/>
      <c r="G292" s="33"/>
      <c r="H292" s="33"/>
      <c r="I292" s="34"/>
      <c r="J292" s="34"/>
      <c r="L292" s="33"/>
      <c r="M292" s="33"/>
    </row>
    <row r="293" spans="3:13" ht="25.8">
      <c r="C293" s="33"/>
      <c r="D293" s="43" t="s">
        <v>72</v>
      </c>
      <c r="E293" s="33"/>
      <c r="F293" s="33"/>
      <c r="G293" s="33"/>
      <c r="H293" s="33"/>
      <c r="I293" s="34"/>
      <c r="J293" s="34"/>
      <c r="L293" s="33"/>
      <c r="M293" s="33"/>
    </row>
    <row r="294" spans="3:13" ht="25.8">
      <c r="C294" s="33"/>
      <c r="D294" s="43" t="s">
        <v>72</v>
      </c>
      <c r="E294" s="33"/>
      <c r="F294" s="33"/>
      <c r="G294" s="33"/>
      <c r="H294" s="33"/>
      <c r="I294" s="34"/>
      <c r="J294" s="34"/>
      <c r="L294" s="33"/>
      <c r="M294" s="33"/>
    </row>
    <row r="295" spans="3:13" ht="25.8">
      <c r="C295" s="33"/>
      <c r="D295" s="43" t="s">
        <v>72</v>
      </c>
      <c r="E295" s="33"/>
      <c r="F295" s="33"/>
      <c r="G295" s="33"/>
      <c r="H295" s="33"/>
      <c r="I295" s="34"/>
      <c r="J295" s="34"/>
      <c r="L295" s="33"/>
      <c r="M295" s="33"/>
    </row>
    <row r="296" spans="3:13" ht="25.8">
      <c r="C296" s="33"/>
      <c r="D296" s="43" t="s">
        <v>72</v>
      </c>
      <c r="E296" s="33"/>
      <c r="F296" s="33"/>
      <c r="G296" s="33"/>
      <c r="H296" s="33"/>
      <c r="I296" s="34"/>
      <c r="J296" s="34"/>
      <c r="L296" s="33"/>
      <c r="M296" s="33"/>
    </row>
    <row r="297" spans="3:13" ht="25.8">
      <c r="C297" s="33"/>
      <c r="D297" s="43" t="s">
        <v>72</v>
      </c>
      <c r="E297" s="33"/>
      <c r="F297" s="33"/>
      <c r="G297" s="33"/>
      <c r="H297" s="33"/>
      <c r="I297" s="34"/>
      <c r="J297" s="34"/>
      <c r="L297" s="33"/>
      <c r="M297" s="33"/>
    </row>
    <row r="298" spans="3:13" ht="25.8">
      <c r="C298" s="33"/>
      <c r="D298" s="43" t="s">
        <v>72</v>
      </c>
      <c r="E298" s="33"/>
      <c r="F298" s="33"/>
      <c r="G298" s="33"/>
      <c r="H298" s="33"/>
      <c r="I298" s="34"/>
      <c r="J298" s="34"/>
      <c r="L298" s="33"/>
      <c r="M298" s="33"/>
    </row>
    <row r="299" spans="3:13" ht="25.8">
      <c r="C299" s="33"/>
      <c r="D299" s="43" t="s">
        <v>72</v>
      </c>
      <c r="E299" s="33"/>
      <c r="F299" s="33"/>
      <c r="G299" s="33"/>
      <c r="H299" s="33"/>
      <c r="I299" s="34"/>
      <c r="J299" s="34"/>
      <c r="L299" s="33"/>
      <c r="M299" s="33"/>
    </row>
    <row r="300" spans="3:13" ht="25.8">
      <c r="C300" s="33"/>
      <c r="D300" s="43" t="s">
        <v>72</v>
      </c>
      <c r="E300" s="33"/>
      <c r="F300" s="33"/>
      <c r="G300" s="33"/>
      <c r="H300" s="33"/>
      <c r="I300" s="34"/>
      <c r="J300" s="34"/>
      <c r="L300" s="33"/>
      <c r="M300" s="33"/>
    </row>
  </sheetData>
  <mergeCells count="3">
    <mergeCell ref="C2:J4"/>
    <mergeCell ref="L3:M4"/>
    <mergeCell ref="C5:J5"/>
  </mergeCells>
  <conditionalFormatting sqref="F7:F37">
    <cfRule type="containsText" dxfId="27" priority="13" operator="containsText" text="Light Blue">
      <formula>NOT(ISERROR(SEARCH("Light Blue",F7)))</formula>
    </cfRule>
    <cfRule type="containsText" dxfId="26" priority="23" operator="containsText" text="Orange">
      <formula>NOT(ISERROR(SEARCH("Orange",F7)))</formula>
    </cfRule>
    <cfRule type="containsText" dxfId="25" priority="24" operator="containsText" text="Purple">
      <formula>NOT(ISERROR(SEARCH("Purple",F7)))</formula>
    </cfRule>
  </conditionalFormatting>
  <conditionalFormatting sqref="F7:F37">
    <cfRule type="containsText" dxfId="24" priority="11" operator="containsText" text="Light Blue">
      <formula>NOT(ISERROR(SEARCH("Light Blue",F7)))</formula>
    </cfRule>
    <cfRule type="containsText" dxfId="23" priority="14" operator="containsText" text="Dark Blue">
      <formula>NOT(ISERROR(SEARCH("Dark Blue",F7)))</formula>
    </cfRule>
    <cfRule type="containsText" dxfId="22" priority="15" operator="containsText" text="Blue">
      <formula>NOT(ISERROR(SEARCH("Blue",F7)))</formula>
    </cfRule>
    <cfRule type="containsText" dxfId="21" priority="16" operator="containsText" text="Yellow">
      <formula>NOT(ISERROR(SEARCH("Yellow",F7)))</formula>
    </cfRule>
    <cfRule type="containsText" dxfId="20" priority="17" operator="containsText" text="Light Blue">
      <formula>NOT(ISERROR(SEARCH("Light Blue",F7)))</formula>
    </cfRule>
    <cfRule type="containsText" dxfId="19" priority="18" operator="containsText" text="Dark Green">
      <formula>NOT(ISERROR(SEARCH("Dark Green",F7)))</formula>
    </cfRule>
    <cfRule type="containsText" dxfId="18" priority="19" operator="containsText" text="Brown">
      <formula>NOT(ISERROR(SEARCH("Brown",F7)))</formula>
    </cfRule>
    <cfRule type="containsText" dxfId="17" priority="20" operator="containsText" text="Green">
      <formula>NOT(ISERROR(SEARCH("Green",F7)))</formula>
    </cfRule>
    <cfRule type="containsText" dxfId="16" priority="21" operator="containsText" text="Red">
      <formula>NOT(ISERROR(SEARCH("Red",F7)))</formula>
    </cfRule>
    <cfRule type="containsText" dxfId="15" priority="22" operator="containsText" text="Gray">
      <formula>NOT(ISERROR(SEARCH("Gray",F7)))</formula>
    </cfRule>
  </conditionalFormatting>
  <conditionalFormatting sqref="F8">
    <cfRule type="containsText" dxfId="14" priority="12" operator="containsText" text="Orange">
      <formula>NOT(ISERROR(SEARCH("Orange",F8)))</formula>
    </cfRule>
  </conditionalFormatting>
  <conditionalFormatting sqref="F19">
    <cfRule type="containsText" priority="9" operator="containsText" text="White">
      <formula>NOT(ISERROR(SEARCH("White",F19)))</formula>
    </cfRule>
    <cfRule type="containsText" dxfId="13" priority="10" operator="containsText" text="wHITE">
      <formula>NOT(ISERROR(SEARCH("wHITE",F19)))</formula>
    </cfRule>
  </conditionalFormatting>
  <conditionalFormatting sqref="F7:F37">
    <cfRule type="containsText" dxfId="12" priority="8" operator="containsText" text="White">
      <formula>NOT(ISERROR(SEARCH("White",F7)))</formula>
    </cfRule>
  </conditionalFormatting>
  <conditionalFormatting sqref="F1:F4 F6:F1048576">
    <cfRule type="containsText" dxfId="11" priority="3" operator="containsText" text="CW641">
      <formula>NOT(ISERROR(SEARCH("CW641",F1)))</formula>
    </cfRule>
    <cfRule type="containsText" dxfId="10" priority="4" operator="containsText" text="QC">
      <formula>NOT(ISERROR(SEARCH("QC",F1)))</formula>
    </cfRule>
    <cfRule type="containsText" dxfId="9" priority="5" operator="containsText" text="White">
      <formula>NOT(ISERROR(SEARCH("White",F1)))</formula>
    </cfRule>
    <cfRule type="containsText" dxfId="8" priority="6" operator="containsText" text="QC">
      <formula>NOT(ISERROR(SEARCH("QC",F1)))</formula>
    </cfRule>
    <cfRule type="containsText" dxfId="7" priority="7" operator="containsText" text="Green+">
      <formula>NOT(ISERROR(SEARCH("Green+",F1)))</formula>
    </cfRule>
  </conditionalFormatting>
  <conditionalFormatting sqref="J1:J1048576">
    <cfRule type="beginsWith" dxfId="6" priority="2" operator="beginsWith" text="0">
      <formula>LEFT(J1,LEN("0"))="0"</formula>
    </cfRule>
  </conditionalFormatting>
  <conditionalFormatting sqref="I1:I1048576">
    <cfRule type="beginsWith" dxfId="5" priority="1" operator="beginsWith" text="0">
      <formula>LEFT(I1,LEN("0"))="0"</formula>
    </cfRule>
  </conditionalFormatting>
  <dataValidations count="4">
    <dataValidation type="list" allowBlank="1" showInputMessage="1" showErrorMessage="1" sqref="G1 G6:G1048576" xr:uid="{00000000-0002-0000-0700-000000000000}">
      <formula1>"165x300,16x24,7*5,8.6 (Dia.)"</formula1>
    </dataValidation>
    <dataValidation type="list" allowBlank="1" showInputMessage="1" showErrorMessage="1" sqref="D1 D6:D1048576" xr:uid="{00000000-0002-0000-0700-000001000000}">
      <formula1>"Roll"</formula1>
    </dataValidation>
    <dataValidation type="list" allowBlank="1" showInputMessage="1" showErrorMessage="1" sqref="E1:E4 E6:E1048576" xr:uid="{00000000-0002-0000-0700-000002000000}">
      <formula1>"Ribbon,EST,KOP,Plain White,QC"</formula1>
    </dataValidation>
    <dataValidation type="list" allowBlank="1" showInputMessage="1" showErrorMessage="1" sqref="F7:F1048576 F2:F4" xr:uid="{00000000-0002-0000-0700-000003000000}">
      <formula1>"Blue, Green,Green+,QC,CW641,Plain White"</formula1>
    </dataValidation>
  </dataValidations>
  <pageMargins left="0.75" right="0.75" top="1" bottom="1" header="0.5" footer="0.5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FF00"/>
  </sheetPr>
  <dimension ref="D1:U190"/>
  <sheetViews>
    <sheetView view="pageBreakPreview" zoomScale="80" zoomScaleNormal="100" zoomScaleSheetLayoutView="80" workbookViewId="0">
      <selection activeCell="S13" sqref="S13"/>
    </sheetView>
  </sheetViews>
  <sheetFormatPr defaultColWidth="9.109375" defaultRowHeight="14.4"/>
  <cols>
    <col min="1" max="6" width="9.109375" style="16"/>
    <col min="7" max="7" width="9.109375" style="28"/>
    <col min="8" max="8" width="10.5546875" style="28" customWidth="1"/>
    <col min="9" max="10" width="11" style="30" customWidth="1"/>
    <col min="11" max="11" width="9.109375" style="16"/>
    <col min="12" max="12" width="12.33203125" style="16" customWidth="1"/>
    <col min="13" max="13" width="9.109375" style="16"/>
    <col min="14" max="14" width="15.44140625" style="16" customWidth="1"/>
    <col min="15" max="16" width="11" style="16" customWidth="1"/>
    <col min="17" max="18" width="9.109375" style="16" customWidth="1"/>
    <col min="19" max="19" width="16" style="16" customWidth="1"/>
    <col min="20" max="16384" width="9.109375" style="16"/>
  </cols>
  <sheetData>
    <row r="1" spans="4:21" ht="14.4" customHeight="1">
      <c r="G1" s="88" t="s">
        <v>3</v>
      </c>
      <c r="H1" s="88"/>
      <c r="I1" s="88" t="s">
        <v>2</v>
      </c>
      <c r="J1" s="88"/>
      <c r="K1" s="88" t="s">
        <v>5</v>
      </c>
      <c r="L1" s="88"/>
      <c r="M1" s="88" t="s">
        <v>59</v>
      </c>
      <c r="N1" s="113"/>
      <c r="O1" s="88" t="s">
        <v>4</v>
      </c>
      <c r="P1" s="88"/>
      <c r="Q1" s="90" t="s">
        <v>72</v>
      </c>
      <c r="R1" s="88"/>
      <c r="S1" s="21"/>
      <c r="T1" s="22"/>
      <c r="U1" s="22"/>
    </row>
    <row r="2" spans="4:21" ht="15" customHeight="1">
      <c r="D2" s="17"/>
      <c r="E2" s="17"/>
      <c r="F2" s="17"/>
      <c r="G2" s="88"/>
      <c r="H2" s="88"/>
      <c r="I2" s="88"/>
      <c r="J2" s="88"/>
      <c r="K2" s="88"/>
      <c r="L2" s="88"/>
      <c r="M2" s="88"/>
      <c r="N2" s="113"/>
      <c r="O2" s="88"/>
      <c r="P2" s="88"/>
      <c r="Q2" s="90"/>
      <c r="R2" s="88"/>
      <c r="S2" s="21"/>
      <c r="T2" s="22"/>
      <c r="U2" s="22"/>
    </row>
    <row r="3" spans="4:21" ht="15" customHeight="1">
      <c r="D3" s="17"/>
      <c r="E3" s="17"/>
      <c r="F3" s="17"/>
      <c r="G3" s="88" t="s">
        <v>28</v>
      </c>
      <c r="H3" s="88"/>
      <c r="I3" s="113" t="s">
        <v>28</v>
      </c>
      <c r="J3" s="90"/>
      <c r="K3" s="113" t="s">
        <v>28</v>
      </c>
      <c r="L3" s="90"/>
      <c r="M3" s="88" t="s">
        <v>89</v>
      </c>
      <c r="N3" s="113"/>
      <c r="O3" s="88" t="s">
        <v>45</v>
      </c>
      <c r="P3" s="88"/>
      <c r="Q3" s="90" t="s">
        <v>71</v>
      </c>
      <c r="R3" s="88"/>
      <c r="S3" s="21"/>
      <c r="T3" s="22"/>
      <c r="U3" s="22"/>
    </row>
    <row r="4" spans="4:21" ht="15" customHeight="1">
      <c r="D4" s="17"/>
      <c r="E4" s="17"/>
      <c r="F4" s="17"/>
      <c r="G4" s="114" cm="1">
        <f t="array" ref="G4">LOOKUP(2,1/(Chicken!F:F="Purple"),Chicken!J:J)</f>
        <v>37982</v>
      </c>
      <c r="H4" s="114"/>
      <c r="I4" s="114" cm="1">
        <f t="array" ref="I4">LOOKUP(2,1/(COW!F:F="Purple"),COW!J:J)</f>
        <v>32066</v>
      </c>
      <c r="J4" s="114"/>
      <c r="K4" s="114" cm="1">
        <f t="array" ref="K4">LOOKUP(2,1/(WithOut!F:F="Purple (10)"),WithOut!J:J)</f>
        <v>7466</v>
      </c>
      <c r="L4" s="114"/>
      <c r="M4" s="114" cm="1">
        <f t="array" ref="M4">LOOKUP(2,1/(Plastic!F:F="Purple Popp 25KG"),Plastic!J:J)</f>
        <v>6208</v>
      </c>
      <c r="N4" s="123"/>
      <c r="O4" s="86">
        <f>LOOKUP(2,1/(Koptimix!F:F="Red Black(1i)"),Koptimix!J:J)</f>
        <v>27016</v>
      </c>
      <c r="P4" s="86"/>
      <c r="Q4" s="91" cm="1">
        <f t="array" ref="Q4">LOOKUP(2,1/(Roll!F:F="CW641"),Roll!J:J)</f>
        <v>1939</v>
      </c>
      <c r="R4" s="92"/>
      <c r="S4" s="21"/>
      <c r="T4" s="21"/>
      <c r="U4" s="21"/>
    </row>
    <row r="5" spans="4:21" ht="15" customHeight="1">
      <c r="D5" s="17"/>
      <c r="E5" s="17"/>
      <c r="F5" s="17"/>
      <c r="G5" s="114"/>
      <c r="H5" s="114"/>
      <c r="I5" s="114"/>
      <c r="J5" s="114"/>
      <c r="K5" s="114"/>
      <c r="L5" s="114"/>
      <c r="M5" s="114"/>
      <c r="N5" s="123"/>
      <c r="O5" s="86"/>
      <c r="P5" s="86"/>
      <c r="Q5" s="91"/>
      <c r="R5" s="92"/>
      <c r="S5" s="21"/>
      <c r="T5" s="21"/>
      <c r="U5" s="21"/>
    </row>
    <row r="6" spans="4:21" ht="15" customHeight="1">
      <c r="D6" s="17"/>
      <c r="E6" s="17"/>
      <c r="F6" s="17"/>
      <c r="G6" s="89" t="s">
        <v>30</v>
      </c>
      <c r="H6" s="89"/>
      <c r="I6" s="115" t="s">
        <v>36</v>
      </c>
      <c r="J6" s="93"/>
      <c r="K6" s="115" t="s">
        <v>36</v>
      </c>
      <c r="L6" s="93"/>
      <c r="M6" s="89" t="s">
        <v>90</v>
      </c>
      <c r="N6" s="115"/>
      <c r="O6" s="89" t="s">
        <v>46</v>
      </c>
      <c r="P6" s="89"/>
      <c r="Q6" s="93" t="s">
        <v>65</v>
      </c>
      <c r="R6" s="89"/>
      <c r="S6" s="21"/>
      <c r="T6" s="21"/>
      <c r="U6" s="21"/>
    </row>
    <row r="7" spans="4:21" ht="15" customHeight="1">
      <c r="D7" s="17"/>
      <c r="E7" s="17"/>
      <c r="F7" s="17"/>
      <c r="G7" s="116" cm="1">
        <f t="array" ref="G7">LOOKUP(2,1/(Chicken!F:F="Orange"),Chicken!J:J)</f>
        <v>59</v>
      </c>
      <c r="H7" s="116"/>
      <c r="I7" s="112" cm="1">
        <f t="array" ref="I7">LOOKUP(2,1/(COW!F:F="Red"),COW!J:J)</f>
        <v>4534</v>
      </c>
      <c r="J7" s="112"/>
      <c r="K7" s="112" cm="1">
        <f t="array" ref="K7">LOOKUP(2,1/(WithOut!F:F="Red"),WithOut!J:J)</f>
        <v>23723</v>
      </c>
      <c r="L7" s="112"/>
      <c r="M7" s="124" cm="1">
        <f t="array" ref="M7">LOOKUP(2,1/(Plastic!F:F="Blue Popp 25KG"),Plastic!J:J)</f>
        <v>6345</v>
      </c>
      <c r="N7" s="125"/>
      <c r="O7" s="86">
        <f>LOOKUP(2,1/(Koptimix!F:F="Blue Green(1J)"),Koptimix!J:J)</f>
        <v>25650</v>
      </c>
      <c r="P7" s="86"/>
      <c r="Q7" s="94">
        <f>LOOKUP(2,1/(Roll!F:F="Green+"),Roll!J:J)</f>
        <v>1383</v>
      </c>
      <c r="R7" s="95"/>
      <c r="S7" s="18"/>
      <c r="T7" s="18"/>
      <c r="U7" s="18"/>
    </row>
    <row r="8" spans="4:21" ht="15" customHeight="1">
      <c r="D8" s="17"/>
      <c r="E8" s="17"/>
      <c r="F8" s="17"/>
      <c r="G8" s="116"/>
      <c r="H8" s="116"/>
      <c r="I8" s="112"/>
      <c r="J8" s="112"/>
      <c r="K8" s="112"/>
      <c r="L8" s="112"/>
      <c r="M8" s="124"/>
      <c r="N8" s="125"/>
      <c r="O8" s="86"/>
      <c r="P8" s="86"/>
      <c r="Q8" s="94"/>
      <c r="R8" s="95"/>
      <c r="S8" s="19"/>
      <c r="T8" s="24"/>
      <c r="U8" s="24"/>
    </row>
    <row r="9" spans="4:21" s="12" customFormat="1" ht="15" customHeight="1">
      <c r="G9" s="87" t="s">
        <v>81</v>
      </c>
      <c r="H9" s="87"/>
      <c r="I9" s="87" t="s">
        <v>30</v>
      </c>
      <c r="J9" s="87"/>
      <c r="K9" s="87" t="s">
        <v>30</v>
      </c>
      <c r="L9" s="87"/>
      <c r="M9" s="87" t="s">
        <v>91</v>
      </c>
      <c r="N9" s="120"/>
      <c r="O9" s="87" t="s">
        <v>47</v>
      </c>
      <c r="P9" s="87"/>
      <c r="Q9" s="98" t="s">
        <v>73</v>
      </c>
      <c r="R9" s="87"/>
      <c r="S9" s="19"/>
      <c r="T9" s="24"/>
      <c r="U9" s="24"/>
    </row>
    <row r="10" spans="4:21" ht="15" customHeight="1">
      <c r="D10" s="17"/>
      <c r="E10" s="17"/>
      <c r="F10" s="17"/>
      <c r="G10" s="117" cm="1">
        <f t="array" ref="G10">LOOKUP(2,1/(Chicken!F:F="Orange (13)"),Chicken!J:J)</f>
        <v>0</v>
      </c>
      <c r="H10" s="117"/>
      <c r="I10" s="116" cm="1">
        <f t="array" ref="I10">LOOKUP(2,1/(COW!F:F="Orange"),COW!J:J)</f>
        <v>3626</v>
      </c>
      <c r="J10" s="116"/>
      <c r="K10" s="116" cm="1">
        <f t="array" ref="K10">LOOKUP(2,1/(WithOut!F:F="Orange (10)"),WithOut!J:J)</f>
        <v>7450</v>
      </c>
      <c r="L10" s="116"/>
      <c r="M10" s="95" cm="1">
        <f t="array" ref="M10">LOOKUP(2,1/(Plastic!F:F="Green Popp 25KG"),Plastic!J:J)</f>
        <v>6287</v>
      </c>
      <c r="N10" s="121"/>
      <c r="O10" s="86" cm="1">
        <f t="array" ref="O10">LOOKUP(2,1/(Koptimix!F:F="Blue Black(1H)"),Koptimix!J:J)</f>
        <v>41655</v>
      </c>
      <c r="P10" s="86"/>
      <c r="Q10" s="101">
        <f>LOOKUP(2,1/(Roll!F:F="Green"),Roll!J:J)</f>
        <v>350</v>
      </c>
      <c r="R10" s="102"/>
      <c r="S10" s="26"/>
      <c r="T10" s="27"/>
      <c r="U10" s="27"/>
    </row>
    <row r="11" spans="4:21" ht="15" customHeight="1">
      <c r="D11" s="17"/>
      <c r="E11" s="17"/>
      <c r="F11" s="17"/>
      <c r="G11" s="117"/>
      <c r="H11" s="117"/>
      <c r="I11" s="116"/>
      <c r="J11" s="116"/>
      <c r="K11" s="116"/>
      <c r="L11" s="116"/>
      <c r="M11" s="95"/>
      <c r="N11" s="121"/>
      <c r="O11" s="86"/>
      <c r="P11" s="86"/>
      <c r="Q11" s="101"/>
      <c r="R11" s="102"/>
      <c r="S11" s="26"/>
      <c r="T11" s="27"/>
      <c r="U11" s="27"/>
    </row>
    <row r="12" spans="4:21" s="12" customFormat="1" ht="15" customHeight="1">
      <c r="G12" s="87" t="s">
        <v>34</v>
      </c>
      <c r="H12" s="87"/>
      <c r="I12" s="87" t="s">
        <v>24</v>
      </c>
      <c r="J12" s="87"/>
      <c r="K12" s="87" t="s">
        <v>24</v>
      </c>
      <c r="L12" s="87"/>
      <c r="M12" s="87" t="s">
        <v>83</v>
      </c>
      <c r="N12" s="120"/>
      <c r="O12" s="87" t="s">
        <v>49</v>
      </c>
      <c r="P12" s="87"/>
      <c r="Q12" s="98" t="s">
        <v>73</v>
      </c>
      <c r="R12" s="87"/>
      <c r="S12" s="26"/>
      <c r="T12" s="27"/>
      <c r="U12" s="27"/>
    </row>
    <row r="13" spans="4:21" ht="15" customHeight="1">
      <c r="D13" s="17"/>
      <c r="E13" s="17"/>
      <c r="F13" s="17"/>
      <c r="G13" s="116" cm="1">
        <f t="array" ref="G13">LOOKUP(2,1/(Chicken!F:F="Orange (70*45)"),Chicken!J:J)</f>
        <v>210</v>
      </c>
      <c r="H13" s="116"/>
      <c r="I13" s="104" cm="1">
        <f t="array" ref="I13">LOOKUP(2,1/(COW!F:F="Blue"),COW!J:J)</f>
        <v>47153</v>
      </c>
      <c r="J13" s="104"/>
      <c r="K13" s="104" cm="1">
        <f t="array" ref="K13">LOOKUP(2,1/(WithOut!F:F="Blue"),WithOut!J:J)</f>
        <v>6192</v>
      </c>
      <c r="L13" s="104"/>
      <c r="M13" s="116" cm="1">
        <f t="array" ref="M13">LOOKUP(2,1/(Plastic!F:F="White 25KG"),Plastic!J:J)</f>
        <v>998</v>
      </c>
      <c r="N13" s="122"/>
      <c r="O13" s="86" cm="1">
        <f t="array" ref="O13">LOOKUP(2,1/(Koptimix!F:F="Red Dark Blue(1E)"),Koptimix!J:J)</f>
        <v>9176</v>
      </c>
      <c r="P13" s="86"/>
      <c r="Q13" s="103">
        <f>LOOKUP(2,1/(Roll!F:F="Blue"),Roll!J:J)</f>
        <v>388</v>
      </c>
      <c r="R13" s="104"/>
      <c r="S13" s="26"/>
      <c r="T13" s="27"/>
      <c r="U13" s="27"/>
    </row>
    <row r="14" spans="4:21" ht="15" customHeight="1">
      <c r="D14" s="17"/>
      <c r="E14" s="17"/>
      <c r="F14" s="17"/>
      <c r="G14" s="116"/>
      <c r="H14" s="116"/>
      <c r="I14" s="104"/>
      <c r="J14" s="104"/>
      <c r="K14" s="104"/>
      <c r="L14" s="104"/>
      <c r="M14" s="116"/>
      <c r="N14" s="122"/>
      <c r="O14" s="86"/>
      <c r="P14" s="86"/>
      <c r="Q14" s="103"/>
      <c r="R14" s="104"/>
      <c r="S14" s="18"/>
      <c r="T14" s="18"/>
      <c r="U14" s="18"/>
    </row>
    <row r="15" spans="4:21" s="12" customFormat="1" ht="15" customHeight="1">
      <c r="G15" s="87" t="s">
        <v>31</v>
      </c>
      <c r="H15" s="87"/>
      <c r="I15" s="87" t="s">
        <v>38</v>
      </c>
      <c r="J15" s="87"/>
      <c r="K15" s="87" t="s">
        <v>42</v>
      </c>
      <c r="L15" s="87"/>
      <c r="M15" s="87" t="s">
        <v>84</v>
      </c>
      <c r="N15" s="120"/>
      <c r="O15" s="87" t="s">
        <v>48</v>
      </c>
      <c r="P15" s="87"/>
      <c r="Q15" s="98" t="s">
        <v>74</v>
      </c>
      <c r="R15" s="87"/>
      <c r="S15" s="18"/>
      <c r="T15" s="18"/>
      <c r="U15" s="18"/>
    </row>
    <row r="16" spans="4:21" ht="15" customHeight="1">
      <c r="D16" s="17"/>
      <c r="E16" s="17"/>
      <c r="F16" s="17"/>
      <c r="G16" s="97" cm="1">
        <f t="array" ref="G16">LOOKUP(2,1/(Chicken!F:F="Gray"),Chicken!J:J)</f>
        <v>6537</v>
      </c>
      <c r="H16" s="97"/>
      <c r="I16" s="95" cm="1">
        <f t="array" ref="I16">LOOKUP(2,1/(COW!F:F="Dark Green"),COW!J:J)</f>
        <v>38033</v>
      </c>
      <c r="J16" s="95"/>
      <c r="K16" s="119" cm="1">
        <f t="array" ref="K16">LOOKUP(2,1/(WithOut!F:F="Brown"),WithOut!J:J)</f>
        <v>5211</v>
      </c>
      <c r="L16" s="119"/>
      <c r="M16" s="97" cm="1">
        <f t="array" ref="M16">LOOKUP(2,1/(Plastic!F:F="White 50KG"),Plastic!J:J)</f>
        <v>1614</v>
      </c>
      <c r="N16" s="127"/>
      <c r="O16" s="86" cm="1">
        <f t="array" ref="O16">LOOKUP(2,1/(Koptimix!F:F="Blue Gray(1A)"),Koptimix!J:J)</f>
        <v>8004</v>
      </c>
      <c r="P16" s="86"/>
      <c r="Q16" s="96">
        <f>LOOKUP(2,1/(Roll!F:F="QC"),Roll!J:J)</f>
        <v>105</v>
      </c>
      <c r="R16" s="97"/>
      <c r="S16" s="18"/>
      <c r="T16" s="18"/>
      <c r="U16" s="18"/>
    </row>
    <row r="17" spans="4:21" ht="15" customHeight="1">
      <c r="D17" s="17"/>
      <c r="E17" s="17"/>
      <c r="F17" s="17"/>
      <c r="G17" s="97"/>
      <c r="H17" s="97"/>
      <c r="I17" s="95"/>
      <c r="J17" s="95"/>
      <c r="K17" s="119"/>
      <c r="L17" s="119"/>
      <c r="M17" s="97"/>
      <c r="N17" s="127"/>
      <c r="O17" s="86"/>
      <c r="P17" s="86"/>
      <c r="Q17" s="96"/>
      <c r="R17" s="97"/>
      <c r="S17" s="18"/>
      <c r="T17" s="18"/>
      <c r="U17" s="18"/>
    </row>
    <row r="18" spans="4:21" s="12" customFormat="1" ht="15" customHeight="1">
      <c r="G18" s="87" t="s">
        <v>36</v>
      </c>
      <c r="H18" s="87"/>
      <c r="I18" s="87" t="s">
        <v>44</v>
      </c>
      <c r="J18" s="87"/>
      <c r="K18" s="87" t="s">
        <v>58</v>
      </c>
      <c r="L18" s="87"/>
      <c r="M18" s="87" t="s">
        <v>92</v>
      </c>
      <c r="N18" s="120"/>
      <c r="O18" s="87" t="s">
        <v>50</v>
      </c>
      <c r="P18" s="87"/>
      <c r="Q18" s="98" t="s">
        <v>77</v>
      </c>
      <c r="R18" s="87"/>
      <c r="S18" s="18"/>
      <c r="T18" s="18"/>
      <c r="U18" s="18"/>
    </row>
    <row r="19" spans="4:21" ht="15" customHeight="1">
      <c r="D19" s="17"/>
      <c r="E19" s="17"/>
      <c r="F19" s="17"/>
      <c r="G19" s="112" cm="1">
        <f t="array" ref="G19">LOOKUP(2,1/(Chicken!F:F="Red"),Chicken!J:J)</f>
        <v>489</v>
      </c>
      <c r="H19" s="112"/>
      <c r="I19" s="95" cm="1">
        <f t="array" ref="I19">LOOKUP(2,1/(COW!F:F="Dark Green(75*50*13)"),COW!J:J)</f>
        <v>903</v>
      </c>
      <c r="J19" s="95"/>
      <c r="K19" s="100" cm="1">
        <f t="array" ref="K19">LOOKUP(2,1/(WithOut!F:F="White"),WithOut!J:J)</f>
        <v>4630</v>
      </c>
      <c r="L19" s="100"/>
      <c r="M19" s="112" cm="1">
        <f t="array" ref="M19">LOOKUP(2,1/(Plastic!F:F="Red 50KG"),Plastic!J:J)</f>
        <v>10000</v>
      </c>
      <c r="N19" s="128"/>
      <c r="O19" s="86" cm="1">
        <f t="array" ref="O19">LOOKUP(2,1/(Koptimix!F:F="Purple Dark Blue(1B)"),Koptimix!J:J)</f>
        <v>8725</v>
      </c>
      <c r="P19" s="86"/>
      <c r="Q19" s="99">
        <f>LOOKUP(2,1/(Roll!F:F="Plain White"),Roll!J:J)</f>
        <v>200</v>
      </c>
      <c r="R19" s="100"/>
      <c r="S19" s="19"/>
      <c r="T19" s="18"/>
      <c r="U19" s="18"/>
    </row>
    <row r="20" spans="4:21" ht="15" customHeight="1">
      <c r="D20" s="17"/>
      <c r="E20" s="17"/>
      <c r="F20" s="17"/>
      <c r="G20" s="112"/>
      <c r="H20" s="112"/>
      <c r="I20" s="95"/>
      <c r="J20" s="95"/>
      <c r="K20" s="100"/>
      <c r="L20" s="100"/>
      <c r="M20" s="112"/>
      <c r="N20" s="128"/>
      <c r="O20" s="86"/>
      <c r="P20" s="86"/>
      <c r="Q20" s="99"/>
      <c r="R20" s="100"/>
      <c r="S20" s="26"/>
      <c r="T20" s="18"/>
      <c r="U20" s="18"/>
    </row>
    <row r="21" spans="4:21" ht="15" customHeight="1">
      <c r="D21" s="17"/>
      <c r="E21" s="17"/>
      <c r="F21" s="17"/>
      <c r="G21" s="87" t="s">
        <v>37</v>
      </c>
      <c r="H21" s="87"/>
      <c r="I21" s="87" t="s">
        <v>37</v>
      </c>
      <c r="J21" s="87"/>
      <c r="K21" s="87" t="s">
        <v>37</v>
      </c>
      <c r="L21" s="87"/>
      <c r="M21" s="87" t="s">
        <v>93</v>
      </c>
      <c r="N21" s="120"/>
      <c r="O21" s="87" t="s">
        <v>51</v>
      </c>
      <c r="P21" s="87"/>
      <c r="Q21" s="26"/>
      <c r="R21" s="26"/>
      <c r="S21" s="26"/>
      <c r="T21" s="18"/>
      <c r="U21" s="18"/>
    </row>
    <row r="22" spans="4:21" ht="15" customHeight="1">
      <c r="D22" s="17"/>
      <c r="E22" s="17"/>
      <c r="F22" s="17"/>
      <c r="G22" s="102" cm="1">
        <f t="array" ref="G22">LOOKUP(2,1/(Chicken!F:F="Green"),Chicken!J:J)</f>
        <v>54216</v>
      </c>
      <c r="H22" s="102"/>
      <c r="I22" s="102" cm="1">
        <f t="array" ref="I22">LOOKUP(2,1/(COW!F:F="Green"),COW!J:J)</f>
        <v>4979</v>
      </c>
      <c r="J22" s="102"/>
      <c r="K22" s="95" cm="1">
        <f t="array" ref="K22">LOOKUP(2,1/(WithOut!F:F="Green"),WithOut!J:J)</f>
        <v>20126</v>
      </c>
      <c r="L22" s="95"/>
      <c r="M22" s="102" cm="1">
        <f t="array" ref="M22">LOOKUP(2,1/(Plastic!F:F="Green 50KG"),Plastic!J:J)</f>
        <v>10000</v>
      </c>
      <c r="N22" s="129"/>
      <c r="O22" s="86" cm="1">
        <f t="array" ref="O22">LOOKUP(2,1/(Koptimix!F:F="Blue Purple(1C)"),Koptimix!J:J)</f>
        <v>21187</v>
      </c>
      <c r="P22" s="86"/>
      <c r="Q22" s="26"/>
      <c r="R22" s="26"/>
      <c r="S22" s="26"/>
      <c r="T22" s="18"/>
      <c r="U22" s="18"/>
    </row>
    <row r="23" spans="4:21" ht="15" customHeight="1">
      <c r="D23" s="17"/>
      <c r="E23" s="17"/>
      <c r="F23" s="17"/>
      <c r="G23" s="102"/>
      <c r="H23" s="102"/>
      <c r="I23" s="102"/>
      <c r="J23" s="102"/>
      <c r="K23" s="95"/>
      <c r="L23" s="95"/>
      <c r="M23" s="102"/>
      <c r="N23" s="129"/>
      <c r="O23" s="86"/>
      <c r="P23" s="86"/>
      <c r="Q23" s="26"/>
      <c r="R23" s="26"/>
      <c r="S23" s="26"/>
      <c r="T23" s="18"/>
      <c r="U23" s="18"/>
    </row>
    <row r="24" spans="4:21" s="12" customFormat="1" ht="15" customHeight="1">
      <c r="G24" s="87" t="s">
        <v>38</v>
      </c>
      <c r="H24" s="87"/>
      <c r="I24" s="105"/>
      <c r="J24" s="105"/>
      <c r="K24" s="25"/>
      <c r="L24" s="25"/>
      <c r="M24" s="87" t="s">
        <v>94</v>
      </c>
      <c r="N24" s="120"/>
      <c r="O24" s="87" t="s">
        <v>53</v>
      </c>
      <c r="P24" s="87"/>
      <c r="Q24" s="26"/>
      <c r="R24" s="26"/>
      <c r="S24" s="26"/>
      <c r="T24" s="18"/>
      <c r="U24" s="18"/>
    </row>
    <row r="25" spans="4:21" ht="15" customHeight="1">
      <c r="D25" s="17"/>
      <c r="E25" s="17"/>
      <c r="F25" s="17"/>
      <c r="G25" s="95" cm="1">
        <f t="array" ref="G25">LOOKUP(2,1/(Chicken!F:F="Dark Green"),Chicken!J:J)</f>
        <v>5091</v>
      </c>
      <c r="H25" s="95"/>
      <c r="I25" s="106"/>
      <c r="J25" s="106"/>
      <c r="K25" s="18"/>
      <c r="L25" s="18"/>
      <c r="M25" s="114" cm="1">
        <f t="array" ref="M25">LOOKUP(2,1/(Plastic!F:F="Purple 50KG"),Plastic!J:J)</f>
        <v>6105</v>
      </c>
      <c r="N25" s="123"/>
      <c r="O25" s="86" cm="1">
        <f t="array" ref="O25">LOOKUP(2,1/(Koptimix!F:F="Green Black(GB)"),Koptimix!J:J)</f>
        <v>6989</v>
      </c>
      <c r="P25" s="86"/>
      <c r="Q25" s="18"/>
      <c r="R25" s="18"/>
      <c r="S25" s="18"/>
      <c r="T25" s="18"/>
      <c r="U25" s="18"/>
    </row>
    <row r="26" spans="4:21" ht="15" customHeight="1">
      <c r="D26" s="17"/>
      <c r="E26" s="17"/>
      <c r="F26" s="17"/>
      <c r="G26" s="95"/>
      <c r="H26" s="95"/>
      <c r="I26" s="106"/>
      <c r="J26" s="106"/>
      <c r="K26" s="18"/>
      <c r="L26" s="18"/>
      <c r="M26" s="114"/>
      <c r="N26" s="123"/>
      <c r="O26" s="86"/>
      <c r="P26" s="86"/>
      <c r="Q26" s="18"/>
      <c r="R26" s="18"/>
      <c r="S26" s="18"/>
      <c r="T26" s="18"/>
      <c r="U26" s="18"/>
    </row>
    <row r="27" spans="4:21" ht="15" customHeight="1">
      <c r="D27" s="17"/>
      <c r="E27" s="17"/>
      <c r="F27" s="17"/>
      <c r="G27" s="87" t="s">
        <v>39</v>
      </c>
      <c r="H27" s="87"/>
      <c r="I27" s="105"/>
      <c r="J27" s="105"/>
      <c r="K27" s="18"/>
      <c r="L27" s="18"/>
      <c r="M27" s="87" t="s">
        <v>63</v>
      </c>
      <c r="N27" s="120"/>
      <c r="O27" s="87" t="s">
        <v>54</v>
      </c>
      <c r="P27" s="87"/>
      <c r="Q27" s="18"/>
      <c r="R27" s="18"/>
      <c r="S27" s="18"/>
      <c r="T27" s="18"/>
      <c r="U27" s="18"/>
    </row>
    <row r="28" spans="4:21" ht="15" customHeight="1">
      <c r="D28" s="17"/>
      <c r="E28" s="17"/>
      <c r="F28" s="17"/>
      <c r="G28" s="118" cm="1">
        <f t="array" ref="G28">LOOKUP(2,1/(Chicken!F:F="Light Blue"),Chicken!J:J)</f>
        <v>249</v>
      </c>
      <c r="H28" s="118"/>
      <c r="I28" s="106"/>
      <c r="J28" s="106"/>
      <c r="K28" s="18"/>
      <c r="L28" s="18"/>
      <c r="M28" s="124">
        <f>LOOKUP(2,1/(Plastic!F:F="Blue KOP"),Plastic!J:J)</f>
        <v>1140</v>
      </c>
      <c r="N28" s="125"/>
      <c r="O28" s="86" cm="1">
        <f t="array" ref="O28">LOOKUP(2,1/(Koptimix!F:F="Purple (Fish)"),Koptimix!J:J)</f>
        <v>2108</v>
      </c>
      <c r="P28" s="86"/>
      <c r="Q28" s="18"/>
      <c r="R28" s="18"/>
      <c r="S28" s="18"/>
      <c r="T28" s="18"/>
      <c r="U28" s="18"/>
    </row>
    <row r="29" spans="4:21" ht="15" customHeight="1">
      <c r="D29" s="17"/>
      <c r="E29" s="17"/>
      <c r="F29" s="17"/>
      <c r="G29" s="118"/>
      <c r="H29" s="118"/>
      <c r="I29" s="106"/>
      <c r="J29" s="106"/>
      <c r="K29" s="23"/>
      <c r="L29" s="23"/>
      <c r="M29" s="124"/>
      <c r="N29" s="125"/>
      <c r="O29" s="86"/>
      <c r="P29" s="86"/>
      <c r="Q29" s="19"/>
      <c r="R29" s="19"/>
      <c r="S29" s="19"/>
      <c r="T29" s="18"/>
      <c r="U29" s="18"/>
    </row>
    <row r="30" spans="4:21" ht="15" customHeight="1">
      <c r="D30" s="17"/>
      <c r="E30" s="17"/>
      <c r="F30" s="17"/>
      <c r="G30" s="87" t="s">
        <v>24</v>
      </c>
      <c r="H30" s="87"/>
      <c r="I30" s="105"/>
      <c r="J30" s="105"/>
      <c r="K30" s="23"/>
      <c r="L30" s="23"/>
      <c r="M30" s="87" t="s">
        <v>64</v>
      </c>
      <c r="N30" s="120"/>
      <c r="O30" s="31"/>
      <c r="P30" s="31"/>
      <c r="Q30" s="19"/>
      <c r="R30" s="19"/>
      <c r="S30" s="19"/>
      <c r="T30" s="18"/>
      <c r="U30" s="18"/>
    </row>
    <row r="31" spans="4:21" ht="15" customHeight="1">
      <c r="D31" s="17"/>
      <c r="E31" s="17"/>
      <c r="F31" s="17"/>
      <c r="G31" s="104" cm="1">
        <f t="array" ref="G31">LOOKUP(2,1/(Chicken!F:F="Blue"),Chicken!J:J)</f>
        <v>979</v>
      </c>
      <c r="H31" s="104"/>
      <c r="I31" s="106"/>
      <c r="J31" s="106"/>
      <c r="K31" s="25"/>
      <c r="L31" s="25"/>
      <c r="M31" s="104">
        <f>LOOKUP(2,1/(Plastic!F:F="Red KOP"),Plastic!J:J)</f>
        <v>2205</v>
      </c>
      <c r="N31" s="126"/>
      <c r="O31" s="32"/>
      <c r="P31" s="32"/>
      <c r="Q31" s="26"/>
      <c r="R31" s="26"/>
      <c r="S31" s="26"/>
      <c r="T31" s="18"/>
      <c r="U31" s="18"/>
    </row>
    <row r="32" spans="4:21" ht="15" customHeight="1">
      <c r="D32" s="17"/>
      <c r="E32" s="17"/>
      <c r="F32" s="17"/>
      <c r="G32" s="104"/>
      <c r="H32" s="104"/>
      <c r="I32" s="106"/>
      <c r="J32" s="106"/>
      <c r="K32" s="25"/>
      <c r="L32" s="25"/>
      <c r="M32" s="104"/>
      <c r="N32" s="126"/>
      <c r="O32" s="32"/>
      <c r="P32" s="32"/>
      <c r="Q32" s="26"/>
      <c r="R32" s="26"/>
      <c r="S32" s="26"/>
      <c r="T32" s="18"/>
      <c r="U32" s="18"/>
    </row>
    <row r="33" spans="4:21" ht="15" customHeight="1">
      <c r="D33" s="17"/>
      <c r="E33" s="17"/>
      <c r="F33" s="17"/>
      <c r="G33" s="87" t="s">
        <v>40</v>
      </c>
      <c r="H33" s="87"/>
      <c r="I33" s="105"/>
      <c r="J33" s="105"/>
      <c r="K33" s="25"/>
      <c r="L33" s="25"/>
      <c r="M33" s="25"/>
      <c r="N33" s="25"/>
      <c r="O33" s="25"/>
      <c r="P33" s="25"/>
      <c r="Q33" s="26"/>
      <c r="R33" s="26"/>
      <c r="S33" s="26"/>
      <c r="T33" s="18"/>
      <c r="U33" s="18"/>
    </row>
    <row r="34" spans="4:21" ht="15" customHeight="1">
      <c r="D34" s="17"/>
      <c r="E34" s="17"/>
      <c r="F34" s="17"/>
      <c r="G34" s="111" cm="1">
        <f t="array" ref="G34">LOOKUP(2,1/(Chicken!F:F="Dark Blue"),Chicken!J:J)</f>
        <v>60360</v>
      </c>
      <c r="H34" s="111"/>
      <c r="I34" s="106"/>
      <c r="J34" s="106"/>
      <c r="K34" s="25"/>
      <c r="L34" s="25"/>
      <c r="M34" s="25"/>
      <c r="N34" s="25"/>
      <c r="O34" s="25"/>
      <c r="P34" s="25"/>
      <c r="Q34" s="26"/>
      <c r="R34" s="26"/>
      <c r="S34" s="26"/>
      <c r="T34" s="18"/>
      <c r="U34" s="18"/>
    </row>
    <row r="35" spans="4:21" ht="15" customHeight="1">
      <c r="D35" s="17"/>
      <c r="E35" s="17"/>
      <c r="F35" s="17"/>
      <c r="G35" s="111"/>
      <c r="H35" s="111"/>
      <c r="I35" s="106"/>
      <c r="J35" s="106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</row>
    <row r="36" spans="4:21" ht="15" customHeight="1">
      <c r="D36" s="17"/>
      <c r="E36" s="17"/>
      <c r="F36" s="17"/>
      <c r="G36" s="87" t="s">
        <v>41</v>
      </c>
      <c r="H36" s="87"/>
      <c r="I36" s="105"/>
      <c r="J36" s="105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</row>
    <row r="37" spans="4:21" ht="15" customHeight="1">
      <c r="D37" s="17"/>
      <c r="E37" s="17"/>
      <c r="F37" s="17"/>
      <c r="G37" s="108" cm="1">
        <f t="array" ref="G37">LOOKUP(2,1/(Chicken!F:F="Yellow"),Chicken!J:J)</f>
        <v>7812</v>
      </c>
      <c r="H37" s="108"/>
      <c r="I37" s="107"/>
      <c r="J37" s="107"/>
      <c r="K37" s="18"/>
      <c r="L37" s="18"/>
      <c r="M37" s="18"/>
      <c r="N37" s="18"/>
      <c r="O37" s="18"/>
      <c r="P37" s="18"/>
      <c r="Q37" s="19"/>
      <c r="R37" s="19"/>
      <c r="S37" s="18"/>
      <c r="T37" s="18"/>
      <c r="U37" s="18"/>
    </row>
    <row r="38" spans="4:21" ht="15" customHeight="1">
      <c r="D38" s="17"/>
      <c r="E38" s="17"/>
      <c r="F38" s="17"/>
      <c r="G38" s="108"/>
      <c r="H38" s="108"/>
      <c r="I38" s="107"/>
      <c r="J38" s="107"/>
      <c r="K38" s="18"/>
      <c r="L38" s="18"/>
      <c r="M38" s="18"/>
      <c r="N38" s="18"/>
      <c r="O38" s="18"/>
      <c r="P38" s="18"/>
      <c r="Q38" s="26"/>
      <c r="R38" s="26"/>
      <c r="S38" s="18"/>
      <c r="T38" s="18"/>
      <c r="U38" s="18"/>
    </row>
    <row r="39" spans="4:21" ht="15" customHeight="1">
      <c r="D39" s="17"/>
      <c r="E39" s="17"/>
      <c r="F39" s="17"/>
      <c r="G39" s="87" t="s">
        <v>42</v>
      </c>
      <c r="H39" s="87"/>
      <c r="I39" s="105"/>
      <c r="J39" s="105"/>
      <c r="K39" s="18"/>
      <c r="L39" s="18"/>
      <c r="M39" s="18"/>
      <c r="N39" s="18"/>
      <c r="O39" s="18"/>
      <c r="P39" s="18"/>
      <c r="Q39" s="26"/>
      <c r="R39" s="26"/>
      <c r="S39" s="18"/>
      <c r="T39" s="18"/>
      <c r="U39" s="18"/>
    </row>
    <row r="40" spans="4:21" ht="15" customHeight="1">
      <c r="D40" s="17"/>
      <c r="E40" s="17"/>
      <c r="F40" s="17"/>
      <c r="G40" s="109" cm="1">
        <f t="array" ref="G40">LOOKUP(2,1/(Chicken!F:F="Brown"),Chicken!J:J)</f>
        <v>30</v>
      </c>
      <c r="H40" s="109"/>
      <c r="I40" s="106"/>
      <c r="J40" s="106"/>
      <c r="K40" s="18"/>
      <c r="L40" s="18"/>
      <c r="M40" s="18"/>
      <c r="N40" s="18"/>
      <c r="O40" s="18"/>
      <c r="P40" s="18"/>
      <c r="Q40" s="26"/>
      <c r="R40" s="26"/>
      <c r="S40" s="18"/>
      <c r="T40" s="18"/>
      <c r="U40" s="18"/>
    </row>
    <row r="41" spans="4:21" ht="15" customHeight="1">
      <c r="D41" s="17"/>
      <c r="E41" s="17"/>
      <c r="F41" s="17"/>
      <c r="G41" s="109"/>
      <c r="H41" s="109"/>
      <c r="I41" s="106"/>
      <c r="J41" s="106"/>
      <c r="K41" s="18"/>
      <c r="L41" s="18"/>
      <c r="M41" s="18"/>
      <c r="N41" s="18"/>
      <c r="O41" s="18"/>
      <c r="P41" s="18"/>
      <c r="Q41" s="26"/>
      <c r="R41" s="26"/>
      <c r="S41" s="18"/>
      <c r="T41" s="18"/>
      <c r="U41" s="18"/>
    </row>
    <row r="42" spans="4:21" ht="15" customHeight="1">
      <c r="D42" s="17"/>
      <c r="E42" s="17"/>
      <c r="F42" s="17"/>
      <c r="G42" s="87" t="s">
        <v>82</v>
      </c>
      <c r="H42" s="87"/>
      <c r="I42" s="105"/>
      <c r="J42" s="105"/>
      <c r="K42" s="18"/>
      <c r="L42" s="18"/>
      <c r="M42" s="18"/>
      <c r="N42" s="18"/>
      <c r="O42" s="18"/>
      <c r="P42" s="18"/>
      <c r="Q42" s="26"/>
      <c r="R42" s="26"/>
      <c r="S42" s="18"/>
      <c r="T42" s="18"/>
      <c r="U42" s="18"/>
    </row>
    <row r="43" spans="4:21" ht="15" customHeight="1">
      <c r="D43" s="17"/>
      <c r="E43" s="17"/>
      <c r="F43" s="17"/>
      <c r="G43" s="109" cm="1">
        <f t="array" ref="G43">LOOKUP(2,1/(Chicken!F:F="Brown(13)"),Chicken!J:J)</f>
        <v>0</v>
      </c>
      <c r="H43" s="109"/>
      <c r="I43" s="106"/>
      <c r="J43" s="106"/>
      <c r="K43" s="12"/>
      <c r="L43" s="12"/>
      <c r="M43" s="12"/>
      <c r="N43" s="12"/>
      <c r="O43" s="12"/>
      <c r="P43" s="12"/>
      <c r="Q43" s="20"/>
      <c r="R43" s="20"/>
      <c r="S43" s="20"/>
      <c r="T43" s="20"/>
      <c r="U43" s="20"/>
    </row>
    <row r="44" spans="4:21" ht="15" customHeight="1">
      <c r="D44" s="17"/>
      <c r="E44" s="17"/>
      <c r="F44" s="17"/>
      <c r="G44" s="110"/>
      <c r="H44" s="110"/>
      <c r="I44" s="106"/>
      <c r="J44" s="106"/>
      <c r="K44" s="12"/>
      <c r="L44" s="12"/>
      <c r="M44" s="12"/>
      <c r="N44" s="12"/>
      <c r="O44" s="12"/>
      <c r="P44" s="12"/>
      <c r="Q44" s="20"/>
      <c r="R44" s="20"/>
      <c r="S44" s="20"/>
      <c r="T44" s="20"/>
      <c r="U44" s="20"/>
    </row>
    <row r="45" spans="4:21">
      <c r="G45" s="12"/>
      <c r="H45" s="12"/>
      <c r="I45" s="29"/>
      <c r="J45" s="29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</row>
    <row r="46" spans="4:21">
      <c r="G46" s="12"/>
      <c r="H46" s="12"/>
      <c r="I46" s="29"/>
      <c r="J46" s="29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</row>
    <row r="47" spans="4:21">
      <c r="G47" s="12"/>
      <c r="H47" s="12"/>
      <c r="I47" s="29"/>
      <c r="J47" s="29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</row>
    <row r="48" spans="4:21">
      <c r="G48" s="12"/>
      <c r="H48" s="12"/>
      <c r="I48" s="29"/>
      <c r="J48" s="29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</row>
    <row r="49" spans="7:21">
      <c r="G49" s="12"/>
      <c r="H49" s="12"/>
      <c r="I49" s="29"/>
      <c r="J49" s="29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</row>
    <row r="50" spans="7:21">
      <c r="G50" s="12"/>
      <c r="H50" s="12"/>
      <c r="I50" s="29"/>
      <c r="J50" s="29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</row>
    <row r="51" spans="7:21">
      <c r="G51" s="12"/>
      <c r="H51" s="12"/>
      <c r="I51" s="29"/>
      <c r="J51" s="29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</row>
    <row r="52" spans="7:21">
      <c r="G52" s="12"/>
      <c r="H52" s="12"/>
      <c r="I52" s="29"/>
      <c r="J52" s="29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</row>
    <row r="53" spans="7:21">
      <c r="G53" s="12"/>
      <c r="H53" s="12"/>
      <c r="I53" s="29"/>
      <c r="J53" s="29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</row>
    <row r="54" spans="7:21">
      <c r="G54" s="12"/>
      <c r="H54" s="12"/>
      <c r="I54" s="29"/>
      <c r="J54" s="29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</row>
    <row r="55" spans="7:21">
      <c r="G55" s="12"/>
      <c r="H55" s="12"/>
      <c r="I55" s="29"/>
      <c r="J55" s="29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</row>
    <row r="56" spans="7:21">
      <c r="G56" s="12"/>
      <c r="H56" s="12"/>
      <c r="I56" s="29"/>
      <c r="J56" s="29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</row>
    <row r="57" spans="7:21">
      <c r="G57" s="12"/>
      <c r="H57" s="12"/>
      <c r="I57" s="29"/>
      <c r="J57" s="29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</row>
    <row r="58" spans="7:21">
      <c r="G58" s="12"/>
      <c r="H58" s="12"/>
      <c r="I58" s="29"/>
      <c r="J58" s="29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</row>
    <row r="59" spans="7:21">
      <c r="G59" s="12"/>
      <c r="H59" s="12"/>
      <c r="I59" s="29"/>
      <c r="J59" s="29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</row>
    <row r="60" spans="7:21">
      <c r="G60" s="16"/>
      <c r="H60" s="16"/>
    </row>
    <row r="61" spans="7:21">
      <c r="G61" s="16"/>
      <c r="H61" s="16"/>
    </row>
    <row r="62" spans="7:21">
      <c r="G62" s="16"/>
      <c r="H62" s="16"/>
    </row>
    <row r="63" spans="7:21">
      <c r="G63" s="16"/>
      <c r="H63" s="16"/>
    </row>
    <row r="64" spans="7:21">
      <c r="G64" s="16"/>
      <c r="H64" s="16"/>
    </row>
    <row r="65" spans="7:8">
      <c r="G65" s="16"/>
      <c r="H65" s="16"/>
    </row>
    <row r="66" spans="7:8">
      <c r="G66" s="16"/>
      <c r="H66" s="16"/>
    </row>
    <row r="67" spans="7:8">
      <c r="G67" s="16"/>
      <c r="H67" s="16"/>
    </row>
    <row r="68" spans="7:8">
      <c r="G68" s="16"/>
      <c r="H68" s="16"/>
    </row>
    <row r="69" spans="7:8">
      <c r="G69" s="16"/>
      <c r="H69" s="16"/>
    </row>
    <row r="70" spans="7:8">
      <c r="G70" s="16"/>
      <c r="H70" s="16"/>
    </row>
    <row r="71" spans="7:8">
      <c r="G71" s="16"/>
      <c r="H71" s="16"/>
    </row>
    <row r="72" spans="7:8">
      <c r="G72" s="16"/>
      <c r="H72" s="16"/>
    </row>
    <row r="73" spans="7:8">
      <c r="G73" s="16"/>
      <c r="H73" s="16"/>
    </row>
    <row r="74" spans="7:8">
      <c r="G74" s="16"/>
      <c r="H74" s="16"/>
    </row>
    <row r="75" spans="7:8">
      <c r="G75" s="16"/>
      <c r="H75" s="16"/>
    </row>
    <row r="76" spans="7:8">
      <c r="G76" s="16"/>
      <c r="H76" s="16"/>
    </row>
    <row r="77" spans="7:8">
      <c r="G77" s="16"/>
      <c r="H77" s="16"/>
    </row>
    <row r="78" spans="7:8">
      <c r="G78" s="16"/>
      <c r="H78" s="16"/>
    </row>
    <row r="79" spans="7:8">
      <c r="G79" s="16"/>
      <c r="H79" s="16"/>
    </row>
    <row r="80" spans="7:8">
      <c r="G80" s="16"/>
      <c r="H80" s="16"/>
    </row>
    <row r="81" spans="7:8">
      <c r="G81" s="16"/>
      <c r="H81" s="16"/>
    </row>
    <row r="82" spans="7:8">
      <c r="G82" s="16"/>
      <c r="H82" s="16"/>
    </row>
    <row r="83" spans="7:8">
      <c r="G83" s="16"/>
      <c r="H83" s="16"/>
    </row>
    <row r="84" spans="7:8">
      <c r="G84" s="16"/>
      <c r="H84" s="16"/>
    </row>
    <row r="85" spans="7:8">
      <c r="G85" s="16"/>
      <c r="H85" s="16"/>
    </row>
    <row r="86" spans="7:8">
      <c r="G86" s="16"/>
      <c r="H86" s="16"/>
    </row>
    <row r="87" spans="7:8">
      <c r="G87" s="16"/>
      <c r="H87" s="16"/>
    </row>
    <row r="88" spans="7:8">
      <c r="G88" s="16"/>
      <c r="H88" s="16"/>
    </row>
    <row r="89" spans="7:8">
      <c r="G89" s="16"/>
      <c r="H89" s="16"/>
    </row>
    <row r="90" spans="7:8">
      <c r="G90" s="16"/>
      <c r="H90" s="16"/>
    </row>
    <row r="91" spans="7:8">
      <c r="G91" s="16"/>
      <c r="H91" s="16"/>
    </row>
    <row r="92" spans="7:8">
      <c r="G92" s="16"/>
      <c r="H92" s="16"/>
    </row>
    <row r="93" spans="7:8">
      <c r="G93" s="16"/>
      <c r="H93" s="16"/>
    </row>
    <row r="94" spans="7:8">
      <c r="G94" s="16"/>
      <c r="H94" s="16"/>
    </row>
    <row r="95" spans="7:8">
      <c r="G95" s="16"/>
      <c r="H95" s="16"/>
    </row>
    <row r="96" spans="7:8">
      <c r="G96" s="16"/>
      <c r="H96" s="16"/>
    </row>
    <row r="97" spans="7:8">
      <c r="G97" s="16"/>
      <c r="H97" s="16"/>
    </row>
    <row r="98" spans="7:8">
      <c r="G98" s="16"/>
      <c r="H98" s="16"/>
    </row>
    <row r="99" spans="7:8">
      <c r="G99" s="16"/>
      <c r="H99" s="16"/>
    </row>
    <row r="100" spans="7:8">
      <c r="G100" s="16"/>
      <c r="H100" s="16"/>
    </row>
    <row r="101" spans="7:8">
      <c r="G101" s="16"/>
      <c r="H101" s="16"/>
    </row>
    <row r="102" spans="7:8">
      <c r="G102" s="16"/>
      <c r="H102" s="16"/>
    </row>
    <row r="103" spans="7:8">
      <c r="G103" s="16"/>
      <c r="H103" s="16"/>
    </row>
    <row r="104" spans="7:8">
      <c r="G104" s="16"/>
      <c r="H104" s="16"/>
    </row>
    <row r="105" spans="7:8">
      <c r="G105" s="16"/>
      <c r="H105" s="16"/>
    </row>
    <row r="106" spans="7:8">
      <c r="G106" s="16"/>
      <c r="H106" s="16"/>
    </row>
    <row r="107" spans="7:8">
      <c r="G107" s="16"/>
      <c r="H107" s="16"/>
    </row>
    <row r="108" spans="7:8">
      <c r="G108" s="16"/>
      <c r="H108" s="16"/>
    </row>
    <row r="109" spans="7:8">
      <c r="G109" s="16"/>
      <c r="H109" s="16"/>
    </row>
    <row r="110" spans="7:8">
      <c r="G110" s="16"/>
      <c r="H110" s="16"/>
    </row>
    <row r="111" spans="7:8">
      <c r="G111" s="16"/>
      <c r="H111" s="16"/>
    </row>
    <row r="112" spans="7:8">
      <c r="G112" s="16"/>
      <c r="H112" s="16"/>
    </row>
    <row r="113" spans="7:8">
      <c r="G113" s="16"/>
      <c r="H113" s="16"/>
    </row>
    <row r="114" spans="7:8">
      <c r="G114" s="16"/>
      <c r="H114" s="16"/>
    </row>
    <row r="115" spans="7:8">
      <c r="G115" s="16"/>
      <c r="H115" s="16"/>
    </row>
    <row r="116" spans="7:8">
      <c r="G116" s="16"/>
      <c r="H116" s="16"/>
    </row>
    <row r="117" spans="7:8">
      <c r="G117" s="16"/>
      <c r="H117" s="16"/>
    </row>
    <row r="118" spans="7:8">
      <c r="G118" s="16"/>
      <c r="H118" s="16"/>
    </row>
    <row r="119" spans="7:8">
      <c r="G119" s="16"/>
      <c r="H119" s="16"/>
    </row>
    <row r="120" spans="7:8">
      <c r="G120" s="16"/>
      <c r="H120" s="16"/>
    </row>
    <row r="121" spans="7:8">
      <c r="G121" s="16"/>
      <c r="H121" s="16"/>
    </row>
    <row r="122" spans="7:8">
      <c r="G122" s="16"/>
      <c r="H122" s="16"/>
    </row>
    <row r="123" spans="7:8">
      <c r="G123" s="16"/>
      <c r="H123" s="16"/>
    </row>
    <row r="124" spans="7:8">
      <c r="G124" s="16"/>
      <c r="H124" s="16"/>
    </row>
    <row r="125" spans="7:8">
      <c r="G125" s="16"/>
      <c r="H125" s="16"/>
    </row>
    <row r="126" spans="7:8">
      <c r="G126" s="16"/>
      <c r="H126" s="16"/>
    </row>
    <row r="127" spans="7:8">
      <c r="G127" s="16"/>
      <c r="H127" s="16"/>
    </row>
    <row r="128" spans="7:8">
      <c r="G128" s="16"/>
      <c r="H128" s="16"/>
    </row>
    <row r="129" spans="7:8">
      <c r="G129" s="16"/>
      <c r="H129" s="16"/>
    </row>
    <row r="130" spans="7:8">
      <c r="G130" s="16"/>
      <c r="H130" s="16"/>
    </row>
    <row r="131" spans="7:8">
      <c r="G131" s="16"/>
      <c r="H131" s="16"/>
    </row>
    <row r="132" spans="7:8">
      <c r="G132" s="16"/>
      <c r="H132" s="16"/>
    </row>
    <row r="133" spans="7:8">
      <c r="G133" s="16"/>
      <c r="H133" s="16"/>
    </row>
    <row r="134" spans="7:8">
      <c r="G134" s="16"/>
      <c r="H134" s="16"/>
    </row>
    <row r="135" spans="7:8">
      <c r="G135" s="16"/>
      <c r="H135" s="16"/>
    </row>
    <row r="136" spans="7:8">
      <c r="G136" s="16"/>
      <c r="H136" s="16"/>
    </row>
    <row r="137" spans="7:8">
      <c r="G137" s="16"/>
      <c r="H137" s="16"/>
    </row>
    <row r="138" spans="7:8">
      <c r="G138" s="16"/>
      <c r="H138" s="16"/>
    </row>
    <row r="139" spans="7:8">
      <c r="G139" s="16"/>
      <c r="H139" s="16"/>
    </row>
    <row r="140" spans="7:8">
      <c r="G140" s="16"/>
      <c r="H140" s="16"/>
    </row>
    <row r="141" spans="7:8">
      <c r="G141" s="16"/>
      <c r="H141" s="16"/>
    </row>
    <row r="142" spans="7:8">
      <c r="G142" s="16"/>
      <c r="H142" s="16"/>
    </row>
    <row r="143" spans="7:8">
      <c r="G143" s="16"/>
      <c r="H143" s="16"/>
    </row>
    <row r="144" spans="7:8">
      <c r="G144" s="16"/>
      <c r="H144" s="16"/>
    </row>
    <row r="145" spans="7:8">
      <c r="G145" s="16"/>
      <c r="H145" s="16"/>
    </row>
    <row r="146" spans="7:8">
      <c r="G146" s="16"/>
      <c r="H146" s="16"/>
    </row>
    <row r="147" spans="7:8">
      <c r="G147" s="16"/>
      <c r="H147" s="16"/>
    </row>
    <row r="148" spans="7:8">
      <c r="G148" s="16"/>
      <c r="H148" s="16"/>
    </row>
    <row r="149" spans="7:8">
      <c r="G149" s="16"/>
      <c r="H149" s="16"/>
    </row>
    <row r="150" spans="7:8">
      <c r="G150" s="16"/>
      <c r="H150" s="16"/>
    </row>
    <row r="151" spans="7:8">
      <c r="G151" s="16"/>
      <c r="H151" s="16"/>
    </row>
    <row r="152" spans="7:8">
      <c r="G152" s="16"/>
      <c r="H152" s="16"/>
    </row>
    <row r="153" spans="7:8">
      <c r="G153" s="16"/>
      <c r="H153" s="16"/>
    </row>
    <row r="154" spans="7:8">
      <c r="G154" s="16"/>
      <c r="H154" s="16"/>
    </row>
    <row r="155" spans="7:8">
      <c r="G155" s="16"/>
      <c r="H155" s="16"/>
    </row>
    <row r="156" spans="7:8">
      <c r="G156" s="16"/>
      <c r="H156" s="16"/>
    </row>
    <row r="157" spans="7:8">
      <c r="G157" s="16"/>
      <c r="H157" s="16"/>
    </row>
    <row r="158" spans="7:8">
      <c r="G158" s="16"/>
      <c r="H158" s="16"/>
    </row>
    <row r="159" spans="7:8">
      <c r="G159" s="16"/>
      <c r="H159" s="16"/>
    </row>
    <row r="160" spans="7:8">
      <c r="G160" s="16"/>
      <c r="H160" s="16"/>
    </row>
    <row r="161" spans="7:8">
      <c r="G161" s="16"/>
      <c r="H161" s="16"/>
    </row>
    <row r="162" spans="7:8">
      <c r="G162" s="16"/>
      <c r="H162" s="16"/>
    </row>
    <row r="163" spans="7:8">
      <c r="G163" s="16"/>
      <c r="H163" s="16"/>
    </row>
    <row r="164" spans="7:8">
      <c r="G164" s="16"/>
      <c r="H164" s="16"/>
    </row>
    <row r="165" spans="7:8">
      <c r="G165" s="16"/>
      <c r="H165" s="16"/>
    </row>
    <row r="166" spans="7:8">
      <c r="G166" s="16"/>
      <c r="H166" s="16"/>
    </row>
    <row r="167" spans="7:8">
      <c r="G167" s="16"/>
      <c r="H167" s="16"/>
    </row>
    <row r="168" spans="7:8">
      <c r="G168" s="16"/>
      <c r="H168" s="16"/>
    </row>
    <row r="169" spans="7:8">
      <c r="G169" s="16"/>
      <c r="H169" s="16"/>
    </row>
    <row r="170" spans="7:8">
      <c r="G170" s="16"/>
      <c r="H170" s="16"/>
    </row>
    <row r="171" spans="7:8">
      <c r="G171" s="16"/>
      <c r="H171" s="16"/>
    </row>
    <row r="172" spans="7:8">
      <c r="G172" s="16"/>
      <c r="H172" s="16"/>
    </row>
    <row r="173" spans="7:8">
      <c r="G173" s="16"/>
      <c r="H173" s="16"/>
    </row>
    <row r="174" spans="7:8">
      <c r="G174" s="16"/>
      <c r="H174" s="16"/>
    </row>
    <row r="175" spans="7:8">
      <c r="G175" s="16"/>
      <c r="H175" s="16"/>
    </row>
    <row r="176" spans="7:8">
      <c r="G176" s="16"/>
      <c r="H176" s="16"/>
    </row>
    <row r="177" spans="7:8">
      <c r="G177" s="16"/>
      <c r="H177" s="16"/>
    </row>
    <row r="178" spans="7:8">
      <c r="G178" s="16"/>
      <c r="H178" s="16"/>
    </row>
    <row r="179" spans="7:8">
      <c r="G179" s="16"/>
      <c r="H179" s="16"/>
    </row>
    <row r="180" spans="7:8">
      <c r="G180" s="16"/>
      <c r="H180" s="16"/>
    </row>
    <row r="181" spans="7:8">
      <c r="G181" s="16"/>
      <c r="H181" s="16"/>
    </row>
    <row r="182" spans="7:8">
      <c r="G182" s="16"/>
      <c r="H182" s="16"/>
    </row>
    <row r="183" spans="7:8">
      <c r="G183" s="16"/>
      <c r="H183" s="16"/>
    </row>
    <row r="184" spans="7:8">
      <c r="G184" s="16"/>
      <c r="H184" s="16"/>
    </row>
    <row r="185" spans="7:8">
      <c r="G185" s="16"/>
      <c r="H185" s="16"/>
    </row>
    <row r="186" spans="7:8">
      <c r="G186" s="16"/>
      <c r="H186" s="16"/>
    </row>
    <row r="187" spans="7:8">
      <c r="G187" s="16"/>
      <c r="H187" s="16"/>
    </row>
    <row r="188" spans="7:8">
      <c r="G188" s="16"/>
      <c r="H188" s="16"/>
    </row>
    <row r="189" spans="7:8">
      <c r="G189" s="16"/>
      <c r="H189" s="16"/>
    </row>
    <row r="190" spans="7:8">
      <c r="G190" s="16"/>
      <c r="H190" s="16"/>
    </row>
  </sheetData>
  <mergeCells count="126">
    <mergeCell ref="M31:N32"/>
    <mergeCell ref="M24:N24"/>
    <mergeCell ref="M25:N26"/>
    <mergeCell ref="M27:N27"/>
    <mergeCell ref="M28:N29"/>
    <mergeCell ref="M30:N30"/>
    <mergeCell ref="M16:N17"/>
    <mergeCell ref="M18:N18"/>
    <mergeCell ref="M19:N20"/>
    <mergeCell ref="M21:N21"/>
    <mergeCell ref="M22:N23"/>
    <mergeCell ref="M9:N9"/>
    <mergeCell ref="M10:N11"/>
    <mergeCell ref="M12:N12"/>
    <mergeCell ref="M13:N14"/>
    <mergeCell ref="M15:N15"/>
    <mergeCell ref="M1:N2"/>
    <mergeCell ref="M3:N3"/>
    <mergeCell ref="M4:N5"/>
    <mergeCell ref="M6:N6"/>
    <mergeCell ref="M7:N8"/>
    <mergeCell ref="K19:L20"/>
    <mergeCell ref="K21:L21"/>
    <mergeCell ref="K22:L23"/>
    <mergeCell ref="I9:J9"/>
    <mergeCell ref="G28:H29"/>
    <mergeCell ref="G22:H23"/>
    <mergeCell ref="G25:H26"/>
    <mergeCell ref="I21:J21"/>
    <mergeCell ref="I22:J23"/>
    <mergeCell ref="I24:J24"/>
    <mergeCell ref="I25:J26"/>
    <mergeCell ref="I27:J27"/>
    <mergeCell ref="I28:J29"/>
    <mergeCell ref="I13:J14"/>
    <mergeCell ref="I15:J15"/>
    <mergeCell ref="I16:J17"/>
    <mergeCell ref="I18:J18"/>
    <mergeCell ref="I19:J20"/>
    <mergeCell ref="K15:L15"/>
    <mergeCell ref="K16:L17"/>
    <mergeCell ref="K18:L18"/>
    <mergeCell ref="I1:J2"/>
    <mergeCell ref="I3:J3"/>
    <mergeCell ref="I4:J5"/>
    <mergeCell ref="I6:J6"/>
    <mergeCell ref="I7:J8"/>
    <mergeCell ref="G16:H17"/>
    <mergeCell ref="G15:H15"/>
    <mergeCell ref="I10:J11"/>
    <mergeCell ref="I12:J12"/>
    <mergeCell ref="G1:H2"/>
    <mergeCell ref="G4:H5"/>
    <mergeCell ref="G7:H8"/>
    <mergeCell ref="G10:H11"/>
    <mergeCell ref="G13:H14"/>
    <mergeCell ref="K1:L2"/>
    <mergeCell ref="K3:L3"/>
    <mergeCell ref="K4:L5"/>
    <mergeCell ref="K6:L6"/>
    <mergeCell ref="K7:L8"/>
    <mergeCell ref="K9:L9"/>
    <mergeCell ref="K10:L11"/>
    <mergeCell ref="K12:L12"/>
    <mergeCell ref="K13:L14"/>
    <mergeCell ref="G37:H38"/>
    <mergeCell ref="G40:H41"/>
    <mergeCell ref="G43:H44"/>
    <mergeCell ref="G3:H3"/>
    <mergeCell ref="G6:H6"/>
    <mergeCell ref="G12:H12"/>
    <mergeCell ref="G9:H9"/>
    <mergeCell ref="G24:H24"/>
    <mergeCell ref="G27:H27"/>
    <mergeCell ref="G33:H33"/>
    <mergeCell ref="G30:H30"/>
    <mergeCell ref="G36:H36"/>
    <mergeCell ref="G39:H39"/>
    <mergeCell ref="G42:H42"/>
    <mergeCell ref="G18:H18"/>
    <mergeCell ref="G21:H21"/>
    <mergeCell ref="G31:H32"/>
    <mergeCell ref="G34:H35"/>
    <mergeCell ref="G19:H20"/>
    <mergeCell ref="I30:J30"/>
    <mergeCell ref="I31:J32"/>
    <mergeCell ref="I40:J41"/>
    <mergeCell ref="I42:J42"/>
    <mergeCell ref="I43:J44"/>
    <mergeCell ref="I33:J33"/>
    <mergeCell ref="I34:J35"/>
    <mergeCell ref="I36:J36"/>
    <mergeCell ref="I37:J38"/>
    <mergeCell ref="I39:J39"/>
    <mergeCell ref="Q1:R2"/>
    <mergeCell ref="Q3:R3"/>
    <mergeCell ref="Q4:R5"/>
    <mergeCell ref="Q6:R6"/>
    <mergeCell ref="Q7:R8"/>
    <mergeCell ref="Q16:R17"/>
    <mergeCell ref="Q18:R18"/>
    <mergeCell ref="Q19:R20"/>
    <mergeCell ref="Q9:R9"/>
    <mergeCell ref="Q10:R11"/>
    <mergeCell ref="Q12:R12"/>
    <mergeCell ref="Q13:R14"/>
    <mergeCell ref="Q15:R15"/>
    <mergeCell ref="O1:P2"/>
    <mergeCell ref="O3:P3"/>
    <mergeCell ref="O4:P5"/>
    <mergeCell ref="O6:P6"/>
    <mergeCell ref="O7:P8"/>
    <mergeCell ref="O9:P9"/>
    <mergeCell ref="O10:P11"/>
    <mergeCell ref="O12:P12"/>
    <mergeCell ref="O13:P14"/>
    <mergeCell ref="O28:P29"/>
    <mergeCell ref="O15:P15"/>
    <mergeCell ref="O16:P17"/>
    <mergeCell ref="O18:P18"/>
    <mergeCell ref="O19:P20"/>
    <mergeCell ref="O21:P21"/>
    <mergeCell ref="O22:P23"/>
    <mergeCell ref="O24:P24"/>
    <mergeCell ref="O25:P26"/>
    <mergeCell ref="O27:P27"/>
  </mergeCells>
  <pageMargins left="0.7" right="0.7" top="0.75" bottom="0.75" header="0.3" footer="0.3"/>
  <pageSetup paperSize="256" orientation="portrait" r:id="rId1"/>
  <colBreaks count="1" manualBreakCount="1">
    <brk id="6" max="1048575" man="1"/>
  </colBreak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rgb="FFFF0000"/>
  </sheetPr>
  <dimension ref="A1:KN500"/>
  <sheetViews>
    <sheetView zoomScale="80" zoomScaleNormal="80" workbookViewId="0">
      <selection activeCell="H10" sqref="A10:H10"/>
    </sheetView>
  </sheetViews>
  <sheetFormatPr defaultRowHeight="14.4"/>
  <cols>
    <col min="1" max="1" width="32.88671875" style="7" customWidth="1"/>
    <col min="2" max="2" width="28.44140625" style="9" customWidth="1"/>
    <col min="3" max="4" width="28.44140625" style="14" customWidth="1"/>
    <col min="5" max="5" width="37" customWidth="1"/>
    <col min="6" max="8" width="28.44140625" customWidth="1"/>
    <col min="9" max="9" width="25.6640625" style="82" customWidth="1"/>
  </cols>
  <sheetData>
    <row r="1" spans="1:300" ht="25.8">
      <c r="A1" s="4" t="s">
        <v>22</v>
      </c>
      <c r="B1" s="77" t="s">
        <v>21</v>
      </c>
      <c r="C1" s="13" t="s">
        <v>20</v>
      </c>
      <c r="D1" s="13" t="s">
        <v>19</v>
      </c>
      <c r="E1" s="5" t="s">
        <v>12</v>
      </c>
      <c r="F1" s="5" t="s">
        <v>13</v>
      </c>
      <c r="G1" s="6" t="s">
        <v>11</v>
      </c>
      <c r="H1" s="78" t="s">
        <v>10</v>
      </c>
      <c r="I1" s="80" t="s">
        <v>27</v>
      </c>
    </row>
    <row r="2" spans="1:300" s="3" customFormat="1" ht="31.5" customHeight="1">
      <c r="A2" s="76">
        <v>46174.371377314812</v>
      </c>
      <c r="B2" s="8" t="s">
        <v>0</v>
      </c>
      <c r="C2" s="34">
        <v>21</v>
      </c>
      <c r="D2" s="34">
        <v>41046</v>
      </c>
      <c r="E2" s="33" t="s">
        <v>28</v>
      </c>
      <c r="F2" s="33" t="s">
        <v>29</v>
      </c>
      <c r="G2" s="33" t="s">
        <v>3</v>
      </c>
      <c r="H2" s="79" t="s">
        <v>18</v>
      </c>
      <c r="I2" s="81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</row>
    <row r="3" spans="1:300" s="3" customFormat="1" ht="31.5" customHeight="1">
      <c r="A3" s="76">
        <v>46175.33902777778</v>
      </c>
      <c r="B3" s="8" t="s">
        <v>0</v>
      </c>
      <c r="C3" s="34">
        <v>2</v>
      </c>
      <c r="D3" s="34">
        <v>1393</v>
      </c>
      <c r="E3" s="33" t="s">
        <v>79</v>
      </c>
      <c r="F3" s="33" t="s">
        <v>76</v>
      </c>
      <c r="G3" s="33" t="s">
        <v>65</v>
      </c>
      <c r="H3" s="79" t="s">
        <v>72</v>
      </c>
      <c r="I3" s="81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</row>
    <row r="4" spans="1:300" s="3" customFormat="1" ht="31.5" customHeight="1">
      <c r="A4" s="76">
        <v>46175.339224537034</v>
      </c>
      <c r="B4" s="8" t="s">
        <v>0</v>
      </c>
      <c r="C4" s="34">
        <v>2</v>
      </c>
      <c r="D4" s="34">
        <v>1944</v>
      </c>
      <c r="E4" s="33" t="s">
        <v>80</v>
      </c>
      <c r="F4" s="33" t="s">
        <v>69</v>
      </c>
      <c r="G4" s="33" t="s">
        <v>71</v>
      </c>
      <c r="H4" s="79" t="s">
        <v>72</v>
      </c>
      <c r="I4" s="81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</row>
    <row r="5" spans="1:300" s="3" customFormat="1" ht="31.5" customHeight="1">
      <c r="A5" s="76">
        <v>46175.339479166665</v>
      </c>
      <c r="B5" s="8" t="s">
        <v>0</v>
      </c>
      <c r="C5" s="34">
        <v>3</v>
      </c>
      <c r="D5" s="34">
        <v>390</v>
      </c>
      <c r="E5" s="33" t="s">
        <v>24</v>
      </c>
      <c r="F5" s="33" t="s">
        <v>76</v>
      </c>
      <c r="G5" s="33" t="s">
        <v>73</v>
      </c>
      <c r="H5" s="79" t="s">
        <v>72</v>
      </c>
      <c r="I5" s="81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</row>
    <row r="6" spans="1:300" s="3" customFormat="1" ht="31.5" customHeight="1">
      <c r="A6" s="76">
        <v>46175.344467592593</v>
      </c>
      <c r="B6" s="8" t="s">
        <v>0</v>
      </c>
      <c r="C6" s="34">
        <v>180</v>
      </c>
      <c r="D6" s="34">
        <v>1434</v>
      </c>
      <c r="E6" s="33" t="s">
        <v>62</v>
      </c>
      <c r="F6" s="33" t="s">
        <v>29</v>
      </c>
      <c r="G6" s="33" t="s">
        <v>59</v>
      </c>
      <c r="H6" s="79" t="s">
        <v>18</v>
      </c>
      <c r="I6" s="81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</row>
    <row r="7" spans="1:300" s="3" customFormat="1" ht="31.5" customHeight="1">
      <c r="A7" s="76">
        <v>46175.344814814816</v>
      </c>
      <c r="B7" s="8" t="s">
        <v>0</v>
      </c>
      <c r="C7" s="34">
        <v>10</v>
      </c>
      <c r="D7" s="34">
        <v>4795</v>
      </c>
      <c r="E7" s="33" t="s">
        <v>58</v>
      </c>
      <c r="F7" s="33" t="s">
        <v>29</v>
      </c>
      <c r="G7" s="33" t="s">
        <v>5</v>
      </c>
      <c r="H7" s="79" t="s">
        <v>18</v>
      </c>
      <c r="I7" s="81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</row>
    <row r="8" spans="1:300" s="3" customFormat="1" ht="31.5" customHeight="1">
      <c r="A8" s="76">
        <v>46175.345266203702</v>
      </c>
      <c r="B8" s="8" t="s">
        <v>0</v>
      </c>
      <c r="C8" s="34">
        <v>925</v>
      </c>
      <c r="D8" s="34">
        <v>4979</v>
      </c>
      <c r="E8" s="33" t="s">
        <v>37</v>
      </c>
      <c r="F8" s="33" t="s">
        <v>29</v>
      </c>
      <c r="G8" s="33" t="s">
        <v>2</v>
      </c>
      <c r="H8" s="79" t="s">
        <v>18</v>
      </c>
      <c r="I8" s="81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</row>
    <row r="9" spans="1:300" s="3" customFormat="1" ht="31.5" customHeight="1">
      <c r="A9" s="76">
        <v>46175.345925925925</v>
      </c>
      <c r="B9" s="8" t="s">
        <v>0</v>
      </c>
      <c r="C9" s="34">
        <v>10</v>
      </c>
      <c r="D9" s="34">
        <v>60368</v>
      </c>
      <c r="E9" s="33" t="s">
        <v>40</v>
      </c>
      <c r="F9" s="33" t="s">
        <v>29</v>
      </c>
      <c r="G9" s="33" t="s">
        <v>3</v>
      </c>
      <c r="H9" s="79" t="s">
        <v>18</v>
      </c>
      <c r="I9" s="81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</row>
    <row r="10" spans="1:300" s="3" customFormat="1" ht="31.5" customHeight="1">
      <c r="A10" s="76">
        <v>46175.356944444444</v>
      </c>
      <c r="B10" s="8" t="s">
        <v>0</v>
      </c>
      <c r="C10" s="34">
        <v>1605</v>
      </c>
      <c r="D10" s="34">
        <v>6105</v>
      </c>
      <c r="E10" s="33" t="s">
        <v>94</v>
      </c>
      <c r="F10" s="33" t="s">
        <v>97</v>
      </c>
      <c r="G10" s="33" t="s">
        <v>59</v>
      </c>
      <c r="H10" s="79" t="s">
        <v>18</v>
      </c>
      <c r="I10" s="81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</row>
    <row r="11" spans="1:300" s="3" customFormat="1" ht="31.5" customHeight="1">
      <c r="A11" s="76">
        <v>46175.357233796298</v>
      </c>
      <c r="B11" s="8" t="s">
        <v>0</v>
      </c>
      <c r="C11" s="34">
        <v>805</v>
      </c>
      <c r="D11" s="34">
        <v>6287</v>
      </c>
      <c r="E11" s="33" t="s">
        <v>91</v>
      </c>
      <c r="F11" s="33" t="s">
        <v>97</v>
      </c>
      <c r="G11" s="33" t="s">
        <v>59</v>
      </c>
      <c r="H11" s="79" t="s">
        <v>18</v>
      </c>
      <c r="I11" s="8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</row>
    <row r="12" spans="1:300" s="3" customFormat="1" ht="31.5" customHeight="1">
      <c r="A12" s="76">
        <v>46175.357291666667</v>
      </c>
      <c r="B12" s="8" t="s">
        <v>0</v>
      </c>
      <c r="C12" s="34">
        <v>805</v>
      </c>
      <c r="D12" s="34">
        <v>6345</v>
      </c>
      <c r="E12" s="33" t="s">
        <v>90</v>
      </c>
      <c r="F12" s="33" t="s">
        <v>97</v>
      </c>
      <c r="G12" s="33" t="s">
        <v>59</v>
      </c>
      <c r="H12" s="79" t="s">
        <v>18</v>
      </c>
      <c r="I12" s="81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</row>
    <row r="13" spans="1:300" s="3" customFormat="1" ht="31.5" customHeight="1">
      <c r="A13" s="76">
        <v>46176.340902777774</v>
      </c>
      <c r="B13" s="8" t="s">
        <v>0</v>
      </c>
      <c r="C13" s="34">
        <v>1</v>
      </c>
      <c r="D13" s="34">
        <v>1943</v>
      </c>
      <c r="E13" s="33" t="s">
        <v>80</v>
      </c>
      <c r="F13" s="33" t="s">
        <v>69</v>
      </c>
      <c r="G13" s="33" t="s">
        <v>71</v>
      </c>
      <c r="H13" s="79" t="s">
        <v>72</v>
      </c>
      <c r="I13" s="81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</row>
    <row r="14" spans="1:300" s="3" customFormat="1" ht="31.5" customHeight="1">
      <c r="A14" s="76">
        <v>46176.341192129628</v>
      </c>
      <c r="B14" s="8" t="s">
        <v>0</v>
      </c>
      <c r="C14" s="34">
        <v>2</v>
      </c>
      <c r="D14" s="34">
        <v>388</v>
      </c>
      <c r="E14" s="33" t="s">
        <v>24</v>
      </c>
      <c r="F14" s="33" t="s">
        <v>76</v>
      </c>
      <c r="G14" s="33" t="s">
        <v>73</v>
      </c>
      <c r="H14" s="79" t="s">
        <v>72</v>
      </c>
      <c r="I14" s="81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</row>
    <row r="15" spans="1:300" s="3" customFormat="1" ht="31.5" customHeight="1">
      <c r="A15" s="76">
        <v>46176.341238425928</v>
      </c>
      <c r="B15" s="8" t="s">
        <v>0</v>
      </c>
      <c r="C15" s="34">
        <v>1</v>
      </c>
      <c r="D15" s="34">
        <v>350</v>
      </c>
      <c r="E15" s="33" t="s">
        <v>37</v>
      </c>
      <c r="F15" s="33" t="s">
        <v>76</v>
      </c>
      <c r="G15" s="33" t="s">
        <v>73</v>
      </c>
      <c r="H15" s="79" t="s">
        <v>72</v>
      </c>
      <c r="I15" s="81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</row>
    <row r="16" spans="1:300" s="3" customFormat="1" ht="31.5" customHeight="1">
      <c r="A16" s="76">
        <v>46176.342256944445</v>
      </c>
      <c r="B16" s="8" t="s">
        <v>0</v>
      </c>
      <c r="C16" s="34">
        <v>12</v>
      </c>
      <c r="D16" s="34">
        <v>5211</v>
      </c>
      <c r="E16" s="33" t="s">
        <v>42</v>
      </c>
      <c r="F16" s="33" t="s">
        <v>29</v>
      </c>
      <c r="G16" s="33" t="s">
        <v>5</v>
      </c>
      <c r="H16" s="79" t="s">
        <v>18</v>
      </c>
      <c r="I16" s="81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</row>
    <row r="17" spans="1:300" s="3" customFormat="1" ht="31.5" customHeight="1">
      <c r="A17" s="76">
        <v>46176.342893518522</v>
      </c>
      <c r="B17" s="8" t="s">
        <v>0</v>
      </c>
      <c r="C17" s="34">
        <v>1365</v>
      </c>
      <c r="D17" s="34">
        <v>8725</v>
      </c>
      <c r="E17" s="33" t="s">
        <v>50</v>
      </c>
      <c r="F17" s="33" t="s">
        <v>29</v>
      </c>
      <c r="G17" s="33" t="s">
        <v>4</v>
      </c>
      <c r="H17" s="79" t="s">
        <v>18</v>
      </c>
      <c r="I17" s="81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</row>
    <row r="18" spans="1:300" s="3" customFormat="1" ht="31.5" customHeight="1">
      <c r="A18" s="76">
        <v>46176.342974537038</v>
      </c>
      <c r="B18" s="8" t="s">
        <v>0</v>
      </c>
      <c r="C18" s="34">
        <v>205</v>
      </c>
      <c r="D18" s="34">
        <v>6989</v>
      </c>
      <c r="E18" s="33" t="s">
        <v>53</v>
      </c>
      <c r="F18" s="33" t="s">
        <v>29</v>
      </c>
      <c r="G18" s="33" t="s">
        <v>4</v>
      </c>
      <c r="H18" s="79" t="s">
        <v>18</v>
      </c>
      <c r="I18" s="81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</row>
    <row r="19" spans="1:300" s="3" customFormat="1" ht="31.5" customHeight="1">
      <c r="A19" s="76">
        <v>46176.34302083333</v>
      </c>
      <c r="B19" s="8" t="s">
        <v>0</v>
      </c>
      <c r="C19" s="34">
        <v>45</v>
      </c>
      <c r="D19" s="34">
        <v>25650</v>
      </c>
      <c r="E19" s="33" t="s">
        <v>46</v>
      </c>
      <c r="F19" s="33" t="s">
        <v>29</v>
      </c>
      <c r="G19" s="33" t="s">
        <v>4</v>
      </c>
      <c r="H19" s="79" t="s">
        <v>18</v>
      </c>
      <c r="I19" s="81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</row>
    <row r="20" spans="1:300" s="3" customFormat="1" ht="31.5" customHeight="1">
      <c r="A20" s="76">
        <v>46176.343784722223</v>
      </c>
      <c r="B20" s="8" t="s">
        <v>0</v>
      </c>
      <c r="C20" s="34">
        <v>8</v>
      </c>
      <c r="D20" s="34">
        <v>60360</v>
      </c>
      <c r="E20" s="33" t="s">
        <v>40</v>
      </c>
      <c r="F20" s="33" t="s">
        <v>29</v>
      </c>
      <c r="G20" s="33" t="s">
        <v>3</v>
      </c>
      <c r="H20" s="79" t="s">
        <v>18</v>
      </c>
      <c r="I20" s="81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</row>
    <row r="21" spans="1:300" s="3" customFormat="1" ht="31.5" customHeight="1">
      <c r="A21" s="76">
        <v>46176.343842592592</v>
      </c>
      <c r="B21" s="8" t="s">
        <v>0</v>
      </c>
      <c r="C21" s="34">
        <v>25</v>
      </c>
      <c r="D21" s="34">
        <v>6862</v>
      </c>
      <c r="E21" s="33" t="s">
        <v>31</v>
      </c>
      <c r="F21" s="33" t="s">
        <v>29</v>
      </c>
      <c r="G21" s="33" t="s">
        <v>3</v>
      </c>
      <c r="H21" s="79" t="s">
        <v>18</v>
      </c>
      <c r="I21" s="8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</row>
    <row r="22" spans="1:300" s="3" customFormat="1" ht="31.5" customHeight="1">
      <c r="A22" s="76">
        <v>46176.34447916667</v>
      </c>
      <c r="B22" s="8" t="s">
        <v>0</v>
      </c>
      <c r="C22" s="34">
        <v>810</v>
      </c>
      <c r="D22" s="34">
        <v>2108</v>
      </c>
      <c r="E22" s="33" t="s">
        <v>54</v>
      </c>
      <c r="F22" s="33" t="s">
        <v>29</v>
      </c>
      <c r="G22" s="33" t="s">
        <v>4</v>
      </c>
      <c r="H22" s="79" t="s">
        <v>18</v>
      </c>
      <c r="I22" s="81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</row>
    <row r="23" spans="1:300" s="3" customFormat="1" ht="31.5" customHeight="1">
      <c r="A23" s="76">
        <v>46177.367488425924</v>
      </c>
      <c r="B23" s="8" t="s">
        <v>0</v>
      </c>
      <c r="C23" s="34">
        <v>10</v>
      </c>
      <c r="D23" s="34">
        <v>1383</v>
      </c>
      <c r="E23" s="33" t="s">
        <v>79</v>
      </c>
      <c r="F23" s="33" t="s">
        <v>76</v>
      </c>
      <c r="G23" s="33" t="s">
        <v>65</v>
      </c>
      <c r="H23" s="79" t="s">
        <v>72</v>
      </c>
      <c r="I23" s="81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</row>
    <row r="24" spans="1:300" s="3" customFormat="1" ht="31.5" customHeight="1">
      <c r="A24" s="76">
        <v>46177.367719907408</v>
      </c>
      <c r="B24" s="8" t="s">
        <v>0</v>
      </c>
      <c r="C24" s="34">
        <v>4</v>
      </c>
      <c r="D24" s="34">
        <v>1939</v>
      </c>
      <c r="E24" s="33" t="s">
        <v>80</v>
      </c>
      <c r="F24" s="33" t="s">
        <v>69</v>
      </c>
      <c r="G24" s="33" t="s">
        <v>71</v>
      </c>
      <c r="H24" s="79" t="s">
        <v>72</v>
      </c>
      <c r="I24" s="81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</row>
    <row r="25" spans="1:300" s="3" customFormat="1" ht="31.5" customHeight="1">
      <c r="A25" s="76">
        <v>46177.368437500001</v>
      </c>
      <c r="B25" s="8" t="s">
        <v>0</v>
      </c>
      <c r="C25" s="34">
        <v>205</v>
      </c>
      <c r="D25" s="34">
        <v>23723</v>
      </c>
      <c r="E25" s="33" t="s">
        <v>36</v>
      </c>
      <c r="F25" s="33" t="s">
        <v>29</v>
      </c>
      <c r="G25" s="33" t="s">
        <v>5</v>
      </c>
      <c r="H25" s="79" t="s">
        <v>18</v>
      </c>
      <c r="I25" s="81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</row>
    <row r="26" spans="1:300" s="3" customFormat="1" ht="31.5" customHeight="1">
      <c r="A26" s="76">
        <v>46177.368611111109</v>
      </c>
      <c r="B26" s="8" t="s">
        <v>0</v>
      </c>
      <c r="C26" s="34">
        <v>125</v>
      </c>
      <c r="D26" s="34">
        <v>20126</v>
      </c>
      <c r="E26" s="33" t="s">
        <v>37</v>
      </c>
      <c r="F26" s="33" t="s">
        <v>29</v>
      </c>
      <c r="G26" s="33" t="s">
        <v>5</v>
      </c>
      <c r="H26" s="79" t="s">
        <v>18</v>
      </c>
      <c r="I26" s="81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</row>
    <row r="27" spans="1:300" s="3" customFormat="1" ht="31.5" customHeight="1">
      <c r="A27" s="76">
        <v>46177.368750000001</v>
      </c>
      <c r="B27" s="8" t="s">
        <v>0</v>
      </c>
      <c r="C27" s="34">
        <v>165</v>
      </c>
      <c r="D27" s="34">
        <v>4630</v>
      </c>
      <c r="E27" s="33" t="s">
        <v>58</v>
      </c>
      <c r="F27" s="33" t="s">
        <v>29</v>
      </c>
      <c r="G27" s="33" t="s">
        <v>5</v>
      </c>
      <c r="H27" s="79" t="s">
        <v>18</v>
      </c>
      <c r="I27" s="81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</row>
    <row r="28" spans="1:300" s="3" customFormat="1" ht="31.5" customHeight="1">
      <c r="A28" s="76">
        <v>46177.368969907409</v>
      </c>
      <c r="B28" s="8" t="s">
        <v>0</v>
      </c>
      <c r="C28" s="34">
        <v>205</v>
      </c>
      <c r="D28" s="34">
        <v>6192</v>
      </c>
      <c r="E28" s="33" t="s">
        <v>24</v>
      </c>
      <c r="F28" s="33" t="s">
        <v>29</v>
      </c>
      <c r="G28" s="33" t="s">
        <v>5</v>
      </c>
      <c r="H28" s="79" t="s">
        <v>18</v>
      </c>
      <c r="I28" s="81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</row>
    <row r="29" spans="1:300" s="3" customFormat="1" ht="31.5" customHeight="1">
      <c r="A29" s="76">
        <v>46177.369409722225</v>
      </c>
      <c r="B29" s="8" t="s">
        <v>0</v>
      </c>
      <c r="C29" s="34">
        <v>245</v>
      </c>
      <c r="D29" s="34">
        <v>854</v>
      </c>
      <c r="E29" s="33" t="s">
        <v>36</v>
      </c>
      <c r="F29" s="33" t="s">
        <v>29</v>
      </c>
      <c r="G29" s="33" t="s">
        <v>3</v>
      </c>
      <c r="H29" s="79" t="s">
        <v>18</v>
      </c>
      <c r="I29" s="81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</row>
    <row r="30" spans="1:300" s="3" customFormat="1" ht="31.5" customHeight="1">
      <c r="A30" s="76">
        <v>46177.369687500002</v>
      </c>
      <c r="B30" s="8" t="s">
        <v>0</v>
      </c>
      <c r="C30" s="34">
        <v>325</v>
      </c>
      <c r="D30" s="34">
        <v>6537</v>
      </c>
      <c r="E30" s="33" t="s">
        <v>31</v>
      </c>
      <c r="F30" s="33" t="s">
        <v>29</v>
      </c>
      <c r="G30" s="33" t="s">
        <v>3</v>
      </c>
      <c r="H30" s="79" t="s">
        <v>18</v>
      </c>
      <c r="I30" s="81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</row>
    <row r="31" spans="1:300" s="3" customFormat="1" ht="31.5" customHeight="1">
      <c r="A31" s="76">
        <v>46177.369930555556</v>
      </c>
      <c r="B31" s="8" t="s">
        <v>0</v>
      </c>
      <c r="C31" s="34">
        <v>365</v>
      </c>
      <c r="D31" s="34">
        <v>489</v>
      </c>
      <c r="E31" s="33" t="s">
        <v>36</v>
      </c>
      <c r="F31" s="33" t="s">
        <v>29</v>
      </c>
      <c r="G31" s="33" t="s">
        <v>3</v>
      </c>
      <c r="H31" s="79" t="s">
        <v>18</v>
      </c>
      <c r="I31" s="8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</row>
    <row r="32" spans="1:300" s="3" customFormat="1" ht="31.5" customHeight="1">
      <c r="A32" s="76">
        <v>46177.370289351849</v>
      </c>
      <c r="B32" s="8" t="s">
        <v>0</v>
      </c>
      <c r="C32" s="34">
        <v>3064</v>
      </c>
      <c r="D32" s="34">
        <v>37982</v>
      </c>
      <c r="E32" s="33" t="s">
        <v>28</v>
      </c>
      <c r="F32" s="33" t="s">
        <v>29</v>
      </c>
      <c r="G32" s="33" t="s">
        <v>3</v>
      </c>
      <c r="H32" s="79" t="s">
        <v>18</v>
      </c>
      <c r="I32" s="81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</row>
    <row r="33" spans="1:300" s="3" customFormat="1" ht="31.5" customHeight="1">
      <c r="A33" s="76"/>
      <c r="B33" s="8"/>
      <c r="C33" s="34"/>
      <c r="D33" s="34"/>
      <c r="E33" s="33"/>
      <c r="F33" s="33"/>
      <c r="G33" s="33"/>
      <c r="H33" s="79"/>
      <c r="I33" s="81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</row>
    <row r="34" spans="1:300" s="3" customFormat="1" ht="31.5" customHeight="1">
      <c r="A34" s="76"/>
      <c r="B34" s="8"/>
      <c r="C34" s="34"/>
      <c r="D34" s="34"/>
      <c r="E34" s="33"/>
      <c r="F34" s="33"/>
      <c r="G34" s="33"/>
      <c r="H34" s="79"/>
      <c r="I34" s="81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</row>
    <row r="35" spans="1:300" s="3" customFormat="1" ht="31.5" customHeight="1">
      <c r="A35" s="76"/>
      <c r="B35" s="8"/>
      <c r="C35" s="34"/>
      <c r="D35" s="34"/>
      <c r="E35" s="33"/>
      <c r="F35" s="33"/>
      <c r="G35" s="33"/>
      <c r="H35" s="79"/>
      <c r="I35" s="81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</row>
    <row r="36" spans="1:300" s="3" customFormat="1" ht="31.5" customHeight="1">
      <c r="A36" s="76"/>
      <c r="B36" s="8"/>
      <c r="C36" s="34"/>
      <c r="D36" s="34"/>
      <c r="E36" s="33"/>
      <c r="F36" s="33"/>
      <c r="G36" s="33"/>
      <c r="H36" s="79"/>
      <c r="I36" s="81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</row>
    <row r="37" spans="1:300" s="3" customFormat="1" ht="31.5" customHeight="1">
      <c r="A37" s="76"/>
      <c r="B37" s="8"/>
      <c r="C37" s="34"/>
      <c r="D37" s="34"/>
      <c r="E37" s="33"/>
      <c r="F37" s="33"/>
      <c r="G37" s="33"/>
      <c r="H37" s="79"/>
      <c r="I37" s="81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</row>
    <row r="38" spans="1:300" s="3" customFormat="1" ht="31.5" customHeight="1">
      <c r="A38" s="76"/>
      <c r="B38" s="8"/>
      <c r="C38" s="34"/>
      <c r="D38" s="34"/>
      <c r="E38" s="33"/>
      <c r="F38" s="33"/>
      <c r="G38" s="33"/>
      <c r="H38" s="79"/>
      <c r="I38" s="81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</row>
    <row r="39" spans="1:300" s="3" customFormat="1" ht="31.5" customHeight="1">
      <c r="A39" s="76"/>
      <c r="B39" s="8"/>
      <c r="C39" s="34"/>
      <c r="D39" s="34"/>
      <c r="E39" s="33"/>
      <c r="F39" s="33"/>
      <c r="G39" s="33"/>
      <c r="H39" s="79"/>
      <c r="I39" s="81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</row>
    <row r="40" spans="1:300" s="3" customFormat="1" ht="31.5" customHeight="1">
      <c r="A40" s="76"/>
      <c r="B40" s="8"/>
      <c r="C40" s="34"/>
      <c r="D40" s="34"/>
      <c r="E40" s="33"/>
      <c r="F40" s="33"/>
      <c r="G40" s="33"/>
      <c r="H40" s="79"/>
      <c r="I40" s="81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</row>
    <row r="41" spans="1:300" s="3" customFormat="1" ht="31.5" customHeight="1">
      <c r="A41" s="76"/>
      <c r="B41" s="8"/>
      <c r="C41" s="34"/>
      <c r="D41" s="34"/>
      <c r="E41" s="33"/>
      <c r="F41" s="33"/>
      <c r="G41" s="33"/>
      <c r="H41" s="79"/>
      <c r="I41" s="8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</row>
    <row r="42" spans="1:300" s="3" customFormat="1" ht="31.5" customHeight="1">
      <c r="A42" s="76"/>
      <c r="B42" s="8"/>
      <c r="C42" s="34"/>
      <c r="D42" s="34"/>
      <c r="E42" s="33"/>
      <c r="F42" s="33"/>
      <c r="G42" s="33"/>
      <c r="H42" s="79"/>
      <c r="I42" s="81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</row>
    <row r="43" spans="1:300" s="3" customFormat="1" ht="31.5" customHeight="1">
      <c r="A43" s="76"/>
      <c r="B43" s="8"/>
      <c r="C43" s="34"/>
      <c r="D43" s="34"/>
      <c r="E43" s="33"/>
      <c r="F43" s="33"/>
      <c r="G43" s="33"/>
      <c r="H43" s="79"/>
      <c r="I43" s="81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</row>
    <row r="44" spans="1:300" s="3" customFormat="1" ht="31.5" customHeight="1">
      <c r="A44" s="76"/>
      <c r="B44" s="8"/>
      <c r="C44" s="34"/>
      <c r="D44" s="34"/>
      <c r="E44" s="33"/>
      <c r="F44" s="33"/>
      <c r="G44" s="33"/>
      <c r="H44" s="79"/>
      <c r="I44" s="81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</row>
    <row r="45" spans="1:300" s="3" customFormat="1" ht="31.5" customHeight="1">
      <c r="A45" s="76"/>
      <c r="B45" s="8"/>
      <c r="C45" s="34"/>
      <c r="D45" s="34"/>
      <c r="E45" s="33"/>
      <c r="F45" s="33"/>
      <c r="G45" s="33"/>
      <c r="H45" s="79"/>
      <c r="I45" s="81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</row>
    <row r="46" spans="1:300" s="3" customFormat="1" ht="31.5" customHeight="1">
      <c r="A46" s="76"/>
      <c r="B46" s="8"/>
      <c r="C46" s="34"/>
      <c r="D46" s="34"/>
      <c r="E46" s="33"/>
      <c r="F46" s="33"/>
      <c r="G46" s="33"/>
      <c r="H46" s="79"/>
      <c r="I46" s="81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</row>
    <row r="47" spans="1:300" s="3" customFormat="1" ht="31.5" customHeight="1">
      <c r="A47" s="76"/>
      <c r="B47" s="8"/>
      <c r="C47" s="34"/>
      <c r="D47" s="34"/>
      <c r="E47" s="33"/>
      <c r="F47" s="33"/>
      <c r="G47" s="33"/>
      <c r="H47" s="79"/>
      <c r="I47" s="81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</row>
    <row r="48" spans="1:300" s="3" customFormat="1" ht="31.5" customHeight="1">
      <c r="A48" s="76"/>
      <c r="B48" s="8"/>
      <c r="C48" s="34"/>
      <c r="D48" s="34"/>
      <c r="E48" s="33"/>
      <c r="F48" s="33"/>
      <c r="G48" s="33"/>
      <c r="H48" s="79"/>
      <c r="I48" s="81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</row>
    <row r="49" spans="1:300" s="3" customFormat="1" ht="31.5" customHeight="1">
      <c r="A49" s="76"/>
      <c r="B49" s="8"/>
      <c r="C49" s="34"/>
      <c r="D49" s="34"/>
      <c r="E49" s="33"/>
      <c r="F49" s="33"/>
      <c r="G49" s="33"/>
      <c r="H49" s="79"/>
      <c r="I49" s="81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</row>
    <row r="50" spans="1:300" s="3" customFormat="1" ht="31.5" customHeight="1">
      <c r="A50" s="76"/>
      <c r="B50" s="8"/>
      <c r="C50" s="34"/>
      <c r="D50" s="34"/>
      <c r="E50" s="33"/>
      <c r="F50" s="33"/>
      <c r="G50" s="33"/>
      <c r="H50" s="79"/>
      <c r="I50" s="81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</row>
    <row r="51" spans="1:300" s="3" customFormat="1" ht="31.5" customHeight="1">
      <c r="A51" s="76"/>
      <c r="B51" s="8"/>
      <c r="C51" s="34"/>
      <c r="D51" s="34"/>
      <c r="E51" s="33"/>
      <c r="F51" s="33"/>
      <c r="G51" s="33"/>
      <c r="H51" s="79"/>
      <c r="I51" s="8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</row>
    <row r="52" spans="1:300" s="3" customFormat="1" ht="31.5" customHeight="1">
      <c r="A52" s="76"/>
      <c r="B52" s="8"/>
      <c r="C52" s="34"/>
      <c r="D52" s="34"/>
      <c r="E52" s="33"/>
      <c r="F52" s="33"/>
      <c r="G52" s="33"/>
      <c r="H52" s="79"/>
      <c r="I52" s="81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</row>
    <row r="53" spans="1:300" s="3" customFormat="1" ht="31.5" customHeight="1">
      <c r="A53" s="76"/>
      <c r="B53" s="8"/>
      <c r="C53" s="34"/>
      <c r="D53" s="34"/>
      <c r="E53" s="33"/>
      <c r="F53" s="33"/>
      <c r="G53" s="33"/>
      <c r="H53" s="79"/>
      <c r="I53" s="81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</row>
    <row r="54" spans="1:300" s="3" customFormat="1" ht="31.5" customHeight="1">
      <c r="A54" s="76"/>
      <c r="B54" s="8"/>
      <c r="C54" s="34"/>
      <c r="D54" s="34"/>
      <c r="E54" s="33"/>
      <c r="F54" s="33"/>
      <c r="G54" s="33"/>
      <c r="H54" s="79"/>
      <c r="I54" s="81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</row>
    <row r="55" spans="1:300" s="3" customFormat="1" ht="31.5" customHeight="1">
      <c r="A55" s="76"/>
      <c r="B55" s="8"/>
      <c r="C55" s="34"/>
      <c r="D55" s="34"/>
      <c r="E55" s="33"/>
      <c r="F55" s="33"/>
      <c r="G55" s="33"/>
      <c r="H55" s="79"/>
      <c r="I55" s="81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</row>
    <row r="56" spans="1:300" s="3" customFormat="1" ht="31.5" customHeight="1">
      <c r="A56" s="76"/>
      <c r="B56" s="8"/>
      <c r="C56" s="34"/>
      <c r="D56" s="34"/>
      <c r="E56" s="33"/>
      <c r="F56" s="33"/>
      <c r="G56" s="33"/>
      <c r="H56" s="79"/>
      <c r="I56" s="81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</row>
    <row r="57" spans="1:300" s="3" customFormat="1" ht="31.5" customHeight="1">
      <c r="A57" s="76"/>
      <c r="B57" s="8"/>
      <c r="C57" s="34"/>
      <c r="D57" s="34"/>
      <c r="E57" s="33"/>
      <c r="F57" s="33"/>
      <c r="G57" s="33"/>
      <c r="H57" s="79"/>
      <c r="I57" s="81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</row>
    <row r="58" spans="1:300" s="3" customFormat="1" ht="31.5" customHeight="1">
      <c r="A58" s="76"/>
      <c r="B58" s="8"/>
      <c r="C58" s="34"/>
      <c r="D58" s="34"/>
      <c r="E58" s="33"/>
      <c r="F58" s="33"/>
      <c r="G58" s="33"/>
      <c r="H58" s="79"/>
      <c r="I58" s="81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</row>
    <row r="59" spans="1:300" s="3" customFormat="1" ht="31.5" customHeight="1">
      <c r="A59" s="76"/>
      <c r="B59" s="8"/>
      <c r="C59" s="34"/>
      <c r="D59" s="34"/>
      <c r="E59" s="33"/>
      <c r="F59" s="33"/>
      <c r="G59" s="33"/>
      <c r="H59" s="79"/>
      <c r="I59" s="81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</row>
    <row r="60" spans="1:300" s="3" customFormat="1" ht="31.5" customHeight="1">
      <c r="A60" s="76"/>
      <c r="B60" s="8"/>
      <c r="C60" s="34"/>
      <c r="D60" s="34"/>
      <c r="E60" s="33"/>
      <c r="F60" s="33"/>
      <c r="G60" s="33"/>
      <c r="H60" s="79"/>
      <c r="I60" s="81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</row>
    <row r="61" spans="1:300" s="3" customFormat="1" ht="31.5" customHeight="1">
      <c r="A61" s="76"/>
      <c r="B61" s="8"/>
      <c r="C61" s="34"/>
      <c r="D61" s="34"/>
      <c r="E61" s="33"/>
      <c r="F61" s="33"/>
      <c r="G61" s="33"/>
      <c r="H61" s="79"/>
      <c r="I61" s="8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</row>
    <row r="62" spans="1:300" s="3" customFormat="1" ht="31.5" customHeight="1">
      <c r="A62" s="76"/>
      <c r="B62" s="8"/>
      <c r="C62" s="34"/>
      <c r="D62" s="34"/>
      <c r="E62" s="33"/>
      <c r="F62" s="33"/>
      <c r="G62" s="33"/>
      <c r="H62" s="79"/>
      <c r="I62" s="81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</row>
    <row r="63" spans="1:300" s="3" customFormat="1" ht="31.5" customHeight="1">
      <c r="A63" s="76"/>
      <c r="B63" s="8"/>
      <c r="C63" s="34"/>
      <c r="D63" s="34"/>
      <c r="E63" s="33"/>
      <c r="F63" s="33"/>
      <c r="G63" s="33"/>
      <c r="H63" s="79"/>
      <c r="I63" s="81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</row>
    <row r="64" spans="1:300" s="3" customFormat="1" ht="31.5" customHeight="1">
      <c r="A64" s="76"/>
      <c r="B64" s="8"/>
      <c r="C64" s="34"/>
      <c r="D64" s="34"/>
      <c r="E64" s="33"/>
      <c r="F64" s="33"/>
      <c r="G64" s="33"/>
      <c r="H64" s="79"/>
      <c r="I64" s="81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</row>
    <row r="65" spans="1:300" s="3" customFormat="1" ht="31.5" customHeight="1">
      <c r="A65" s="76"/>
      <c r="B65" s="8"/>
      <c r="C65" s="34"/>
      <c r="D65" s="34"/>
      <c r="E65" s="33"/>
      <c r="F65" s="33"/>
      <c r="G65" s="33"/>
      <c r="H65" s="79"/>
      <c r="I65" s="81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</row>
    <row r="66" spans="1:300" s="3" customFormat="1" ht="31.5" customHeight="1">
      <c r="A66" s="76"/>
      <c r="B66" s="8"/>
      <c r="C66" s="34"/>
      <c r="D66" s="34"/>
      <c r="E66" s="33"/>
      <c r="F66" s="33"/>
      <c r="G66" s="33"/>
      <c r="H66" s="79"/>
      <c r="I66" s="81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</row>
    <row r="67" spans="1:300" s="3" customFormat="1" ht="31.5" customHeight="1">
      <c r="A67" s="76"/>
      <c r="B67" s="8"/>
      <c r="C67" s="34"/>
      <c r="D67" s="34"/>
      <c r="E67" s="33"/>
      <c r="F67" s="33"/>
      <c r="G67" s="33"/>
      <c r="H67" s="79"/>
      <c r="I67" s="81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</row>
    <row r="68" spans="1:300" s="3" customFormat="1" ht="31.5" customHeight="1">
      <c r="A68" s="76"/>
      <c r="B68" s="8"/>
      <c r="C68" s="34"/>
      <c r="D68" s="34"/>
      <c r="E68" s="33"/>
      <c r="F68" s="33"/>
      <c r="G68" s="33"/>
      <c r="H68" s="79"/>
      <c r="I68" s="81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</row>
    <row r="69" spans="1:300" s="3" customFormat="1" ht="31.5" customHeight="1">
      <c r="A69" s="76"/>
      <c r="B69" s="8"/>
      <c r="C69" s="34"/>
      <c r="D69" s="34"/>
      <c r="E69" s="33"/>
      <c r="F69" s="33"/>
      <c r="G69" s="33"/>
      <c r="H69" s="79"/>
      <c r="I69" s="81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</row>
    <row r="70" spans="1:300" s="3" customFormat="1" ht="31.5" customHeight="1">
      <c r="A70" s="76"/>
      <c r="B70" s="8"/>
      <c r="C70" s="34"/>
      <c r="D70" s="34"/>
      <c r="E70" s="33"/>
      <c r="F70" s="33"/>
      <c r="G70" s="33"/>
      <c r="H70" s="79"/>
      <c r="I70" s="81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</row>
    <row r="71" spans="1:300" s="3" customFormat="1" ht="31.5" customHeight="1">
      <c r="A71" s="76"/>
      <c r="B71" s="8"/>
      <c r="C71" s="34"/>
      <c r="D71" s="34"/>
      <c r="E71" s="33"/>
      <c r="F71" s="33"/>
      <c r="G71" s="33"/>
      <c r="H71" s="79"/>
      <c r="I71" s="8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</row>
    <row r="72" spans="1:300" s="3" customFormat="1" ht="31.5" customHeight="1">
      <c r="A72" s="76"/>
      <c r="B72" s="8"/>
      <c r="C72" s="34"/>
      <c r="D72" s="34"/>
      <c r="E72" s="33"/>
      <c r="F72" s="33"/>
      <c r="G72" s="33"/>
      <c r="H72" s="79"/>
      <c r="I72" s="81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</row>
    <row r="73" spans="1:300" s="3" customFormat="1" ht="31.5" customHeight="1">
      <c r="A73" s="76"/>
      <c r="B73" s="8"/>
      <c r="C73" s="34"/>
      <c r="D73" s="34"/>
      <c r="E73" s="33"/>
      <c r="F73" s="33"/>
      <c r="G73" s="33"/>
      <c r="H73" s="79"/>
      <c r="I73" s="81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</row>
    <row r="74" spans="1:300" s="3" customFormat="1" ht="31.5" customHeight="1">
      <c r="A74" s="76"/>
      <c r="B74" s="8"/>
      <c r="C74" s="34"/>
      <c r="D74" s="34"/>
      <c r="E74" s="33"/>
      <c r="F74" s="33"/>
      <c r="G74" s="33"/>
      <c r="H74" s="79"/>
      <c r="I74" s="81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</row>
    <row r="75" spans="1:300" s="3" customFormat="1" ht="31.5" customHeight="1">
      <c r="A75" s="76"/>
      <c r="B75" s="8"/>
      <c r="C75" s="34"/>
      <c r="D75" s="34"/>
      <c r="E75" s="33"/>
      <c r="F75" s="33"/>
      <c r="G75" s="33"/>
      <c r="H75" s="79"/>
      <c r="I75" s="81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</row>
    <row r="76" spans="1:300" s="3" customFormat="1" ht="31.5" customHeight="1">
      <c r="A76" s="76"/>
      <c r="B76" s="8"/>
      <c r="C76" s="34"/>
      <c r="D76" s="34"/>
      <c r="E76" s="33"/>
      <c r="F76" s="33"/>
      <c r="G76" s="33"/>
      <c r="H76" s="79"/>
      <c r="I76" s="81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</row>
    <row r="77" spans="1:300" s="3" customFormat="1" ht="31.5" customHeight="1">
      <c r="A77" s="76"/>
      <c r="B77" s="8"/>
      <c r="C77" s="34"/>
      <c r="D77" s="34"/>
      <c r="E77" s="33"/>
      <c r="F77" s="33"/>
      <c r="G77" s="33"/>
      <c r="H77" s="79"/>
      <c r="I77" s="81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</row>
    <row r="78" spans="1:300" s="3" customFormat="1" ht="31.5" customHeight="1">
      <c r="A78" s="76"/>
      <c r="B78" s="8"/>
      <c r="C78" s="34"/>
      <c r="D78" s="34"/>
      <c r="E78" s="33"/>
      <c r="F78" s="33"/>
      <c r="G78" s="33"/>
      <c r="H78" s="79"/>
      <c r="I78" s="81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</row>
    <row r="79" spans="1:300" s="3" customFormat="1" ht="31.5" customHeight="1">
      <c r="A79" s="76"/>
      <c r="B79" s="8"/>
      <c r="C79" s="34"/>
      <c r="D79" s="34"/>
      <c r="E79" s="33"/>
      <c r="F79" s="33"/>
      <c r="G79" s="33"/>
      <c r="H79" s="79"/>
      <c r="I79" s="81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</row>
    <row r="80" spans="1:300" s="3" customFormat="1" ht="31.5" customHeight="1">
      <c r="A80" s="76"/>
      <c r="B80" s="8"/>
      <c r="C80" s="34"/>
      <c r="D80" s="34"/>
      <c r="E80" s="33"/>
      <c r="F80" s="33"/>
      <c r="G80" s="33"/>
      <c r="H80" s="79"/>
      <c r="I80" s="81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</row>
    <row r="81" spans="1:300" s="3" customFormat="1" ht="31.5" customHeight="1">
      <c r="A81" s="76"/>
      <c r="B81" s="8"/>
      <c r="C81" s="34"/>
      <c r="D81" s="34"/>
      <c r="E81" s="33"/>
      <c r="F81" s="33"/>
      <c r="G81" s="33"/>
      <c r="H81" s="79"/>
      <c r="I81" s="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</row>
    <row r="82" spans="1:300" s="3" customFormat="1" ht="31.5" customHeight="1">
      <c r="A82" s="76"/>
      <c r="B82" s="8"/>
      <c r="C82" s="34"/>
      <c r="D82" s="34"/>
      <c r="E82" s="33"/>
      <c r="F82" s="33"/>
      <c r="G82" s="33"/>
      <c r="H82" s="79"/>
      <c r="I82" s="81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</row>
    <row r="83" spans="1:300" s="3" customFormat="1" ht="31.5" customHeight="1">
      <c r="A83" s="76"/>
      <c r="B83" s="8"/>
      <c r="C83" s="34"/>
      <c r="D83" s="34"/>
      <c r="E83" s="33"/>
      <c r="F83" s="33"/>
      <c r="G83" s="33"/>
      <c r="H83" s="79"/>
      <c r="I83" s="81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</row>
    <row r="84" spans="1:300" s="3" customFormat="1" ht="31.5" customHeight="1">
      <c r="A84" s="76"/>
      <c r="B84" s="8"/>
      <c r="C84" s="34"/>
      <c r="D84" s="34"/>
      <c r="E84" s="33"/>
      <c r="F84" s="33"/>
      <c r="G84" s="33"/>
      <c r="H84" s="79"/>
      <c r="I84" s="81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</row>
    <row r="85" spans="1:300" s="3" customFormat="1" ht="31.5" customHeight="1">
      <c r="A85" s="76"/>
      <c r="B85" s="8"/>
      <c r="C85" s="34"/>
      <c r="D85" s="34"/>
      <c r="E85" s="33"/>
      <c r="F85" s="33"/>
      <c r="G85" s="33"/>
      <c r="H85" s="79"/>
      <c r="I85" s="81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</row>
    <row r="86" spans="1:300" s="3" customFormat="1" ht="31.5" customHeight="1">
      <c r="A86" s="76"/>
      <c r="B86" s="8"/>
      <c r="C86" s="34"/>
      <c r="D86" s="34"/>
      <c r="E86" s="33"/>
      <c r="F86" s="33"/>
      <c r="G86" s="33"/>
      <c r="H86" s="79"/>
      <c r="I86" s="82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</row>
    <row r="87" spans="1:300" s="3" customFormat="1" ht="31.5" customHeight="1">
      <c r="A87" s="76"/>
      <c r="B87" s="8"/>
      <c r="C87" s="34"/>
      <c r="D87" s="34"/>
      <c r="E87" s="33"/>
      <c r="F87" s="33"/>
      <c r="G87" s="33"/>
      <c r="H87" s="79"/>
      <c r="I87" s="82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</row>
    <row r="88" spans="1:300" s="3" customFormat="1" ht="31.5" customHeight="1">
      <c r="A88" s="76"/>
      <c r="B88" s="8"/>
      <c r="C88" s="34"/>
      <c r="D88" s="34"/>
      <c r="E88" s="33"/>
      <c r="F88" s="33"/>
      <c r="G88" s="33"/>
      <c r="H88" s="79"/>
      <c r="I88" s="82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</row>
    <row r="89" spans="1:300" s="3" customFormat="1" ht="31.5" customHeight="1">
      <c r="A89" s="76"/>
      <c r="B89" s="8"/>
      <c r="C89" s="34"/>
      <c r="D89" s="34"/>
      <c r="E89" s="33"/>
      <c r="F89" s="33"/>
      <c r="G89" s="33"/>
      <c r="H89" s="79"/>
      <c r="I89" s="82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</row>
    <row r="90" spans="1:300" s="3" customFormat="1" ht="31.5" customHeight="1">
      <c r="A90" s="76"/>
      <c r="B90" s="8"/>
      <c r="C90" s="34"/>
      <c r="D90" s="34"/>
      <c r="E90" s="33"/>
      <c r="F90" s="33"/>
      <c r="G90" s="33"/>
      <c r="H90" s="79"/>
      <c r="I90" s="82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</row>
    <row r="91" spans="1:300" s="3" customFormat="1" ht="31.5" customHeight="1">
      <c r="A91" s="76"/>
      <c r="B91" s="8"/>
      <c r="C91" s="34"/>
      <c r="D91" s="34"/>
      <c r="E91" s="33"/>
      <c r="F91" s="33"/>
      <c r="G91" s="33"/>
      <c r="H91" s="79"/>
      <c r="I91" s="82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</row>
    <row r="92" spans="1:300" s="3" customFormat="1" ht="31.5" customHeight="1">
      <c r="A92" s="76"/>
      <c r="B92" s="8"/>
      <c r="C92" s="34"/>
      <c r="D92" s="34"/>
      <c r="E92" s="33"/>
      <c r="F92" s="33"/>
      <c r="G92" s="33"/>
      <c r="H92" s="79"/>
      <c r="I92" s="8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</row>
    <row r="93" spans="1:300" s="3" customFormat="1" ht="31.5" customHeight="1">
      <c r="A93" s="76"/>
      <c r="B93" s="8"/>
      <c r="C93" s="34"/>
      <c r="D93" s="34"/>
      <c r="E93" s="33"/>
      <c r="F93" s="33"/>
      <c r="G93" s="33"/>
      <c r="H93" s="79"/>
      <c r="I93" s="82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</row>
    <row r="94" spans="1:300" s="3" customFormat="1" ht="31.5" customHeight="1">
      <c r="A94" s="76"/>
      <c r="B94" s="8"/>
      <c r="C94" s="34"/>
      <c r="D94" s="34"/>
      <c r="E94" s="33"/>
      <c r="F94" s="33"/>
      <c r="G94" s="33"/>
      <c r="H94" s="79"/>
      <c r="I94" s="82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</row>
    <row r="95" spans="1:300" s="3" customFormat="1" ht="31.5" customHeight="1">
      <c r="A95" s="76"/>
      <c r="B95" s="8"/>
      <c r="C95" s="34"/>
      <c r="D95" s="34"/>
      <c r="E95" s="33"/>
      <c r="F95" s="33"/>
      <c r="G95" s="33"/>
      <c r="H95" s="79"/>
      <c r="I95" s="82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</row>
    <row r="96" spans="1:300" s="3" customFormat="1" ht="31.5" customHeight="1">
      <c r="A96" s="76"/>
      <c r="B96" s="8"/>
      <c r="C96" s="34"/>
      <c r="D96" s="34"/>
      <c r="E96" s="33"/>
      <c r="F96" s="33"/>
      <c r="G96" s="33"/>
      <c r="H96" s="79"/>
      <c r="I96" s="82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</row>
    <row r="97" spans="1:300" s="3" customFormat="1" ht="31.5" customHeight="1">
      <c r="A97" s="76"/>
      <c r="B97" s="8"/>
      <c r="C97" s="34"/>
      <c r="D97" s="34"/>
      <c r="E97" s="33"/>
      <c r="F97" s="33"/>
      <c r="G97" s="33"/>
      <c r="H97" s="79"/>
      <c r="I97" s="82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</row>
    <row r="98" spans="1:300" s="3" customFormat="1" ht="31.5" customHeight="1">
      <c r="A98" s="76"/>
      <c r="B98" s="8"/>
      <c r="C98" s="34"/>
      <c r="D98" s="34"/>
      <c r="E98" s="33"/>
      <c r="F98" s="33"/>
      <c r="G98" s="33"/>
      <c r="H98" s="79"/>
      <c r="I98" s="82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</row>
    <row r="99" spans="1:300" s="3" customFormat="1" ht="31.5" customHeight="1">
      <c r="A99" s="76"/>
      <c r="B99" s="8"/>
      <c r="C99" s="34"/>
      <c r="D99" s="34"/>
      <c r="E99" s="33"/>
      <c r="F99" s="33"/>
      <c r="G99" s="33"/>
      <c r="H99" s="79"/>
      <c r="I99" s="82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</row>
    <row r="100" spans="1:300" s="3" customFormat="1" ht="31.5" customHeight="1">
      <c r="A100" s="76"/>
      <c r="B100" s="8"/>
      <c r="C100" s="34"/>
      <c r="D100" s="34"/>
      <c r="E100" s="33"/>
      <c r="F100" s="33"/>
      <c r="G100" s="33"/>
      <c r="H100" s="79"/>
      <c r="I100" s="82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</row>
    <row r="101" spans="1:300" ht="40.5" customHeight="1">
      <c r="A101" s="76"/>
      <c r="B101" s="8"/>
      <c r="C101" s="34"/>
      <c r="D101" s="34"/>
      <c r="E101" s="33"/>
      <c r="F101" s="33"/>
      <c r="G101" s="33"/>
      <c r="H101" s="79"/>
    </row>
    <row r="102" spans="1:300" ht="40.5" customHeight="1">
      <c r="A102" s="76"/>
      <c r="B102" s="8"/>
      <c r="C102" s="34"/>
      <c r="D102" s="34"/>
      <c r="E102" s="33"/>
      <c r="F102" s="33"/>
      <c r="G102" s="33"/>
      <c r="H102" s="79"/>
    </row>
    <row r="103" spans="1:300" ht="40.5" customHeight="1">
      <c r="A103" s="76"/>
      <c r="B103" s="8"/>
      <c r="C103" s="34"/>
      <c r="D103" s="34"/>
      <c r="E103" s="33"/>
      <c r="F103" s="33"/>
      <c r="G103" s="33"/>
      <c r="H103" s="79"/>
    </row>
    <row r="104" spans="1:300" ht="40.5" customHeight="1">
      <c r="A104" s="76"/>
      <c r="B104" s="8"/>
      <c r="C104" s="34"/>
      <c r="D104" s="34"/>
      <c r="E104" s="33"/>
      <c r="F104" s="33"/>
      <c r="G104" s="33"/>
      <c r="H104" s="79"/>
    </row>
    <row r="105" spans="1:300" ht="40.5" customHeight="1">
      <c r="A105" s="76"/>
      <c r="B105" s="8"/>
      <c r="C105" s="34"/>
      <c r="D105" s="34"/>
      <c r="E105" s="33"/>
      <c r="F105" s="33"/>
      <c r="G105" s="33"/>
      <c r="H105" s="79"/>
    </row>
    <row r="106" spans="1:300" ht="40.5" customHeight="1">
      <c r="A106" s="76"/>
      <c r="B106" s="8"/>
      <c r="C106" s="34"/>
      <c r="D106" s="34"/>
      <c r="E106" s="33"/>
      <c r="F106" s="33"/>
      <c r="G106" s="33"/>
      <c r="H106" s="79"/>
    </row>
    <row r="107" spans="1:300" ht="40.5" customHeight="1">
      <c r="A107" s="76"/>
      <c r="B107" s="8"/>
      <c r="C107" s="34"/>
      <c r="D107" s="34"/>
      <c r="E107" s="33"/>
      <c r="F107" s="33"/>
      <c r="G107" s="33"/>
      <c r="H107" s="79"/>
    </row>
    <row r="108" spans="1:300" ht="40.5" customHeight="1">
      <c r="A108" s="76"/>
      <c r="B108" s="8"/>
      <c r="C108" s="34"/>
      <c r="D108" s="34"/>
      <c r="E108" s="33"/>
      <c r="F108" s="33"/>
      <c r="G108" s="33"/>
      <c r="H108" s="79"/>
    </row>
    <row r="109" spans="1:300" ht="40.5" customHeight="1">
      <c r="A109" s="76"/>
      <c r="B109" s="8"/>
      <c r="C109" s="34"/>
      <c r="D109" s="34"/>
      <c r="E109" s="33"/>
      <c r="F109" s="33"/>
      <c r="G109" s="33"/>
      <c r="H109" s="79"/>
    </row>
    <row r="110" spans="1:300" ht="40.5" customHeight="1">
      <c r="A110" s="76"/>
      <c r="B110" s="8"/>
      <c r="C110" s="34"/>
      <c r="D110" s="34"/>
      <c r="E110" s="33"/>
      <c r="F110" s="33"/>
      <c r="G110" s="33"/>
      <c r="H110" s="79"/>
    </row>
    <row r="111" spans="1:300" ht="40.5" customHeight="1">
      <c r="A111" s="76"/>
      <c r="B111" s="8"/>
      <c r="C111" s="34"/>
      <c r="D111" s="34"/>
      <c r="E111" s="33"/>
      <c r="F111" s="33"/>
      <c r="G111" s="33"/>
      <c r="H111" s="79"/>
    </row>
    <row r="112" spans="1:300" ht="40.5" customHeight="1">
      <c r="A112" s="76"/>
      <c r="B112" s="8"/>
      <c r="C112" s="34"/>
      <c r="D112" s="34"/>
      <c r="E112" s="33"/>
      <c r="F112" s="33"/>
      <c r="G112" s="33"/>
      <c r="H112" s="79"/>
    </row>
    <row r="113" spans="1:8" ht="40.5" customHeight="1">
      <c r="A113" s="76"/>
      <c r="B113" s="8"/>
      <c r="C113" s="34"/>
      <c r="D113" s="34"/>
      <c r="E113" s="33"/>
      <c r="F113" s="33"/>
      <c r="G113" s="33"/>
      <c r="H113" s="79"/>
    </row>
    <row r="114" spans="1:8" ht="40.5" customHeight="1">
      <c r="A114" s="76"/>
      <c r="B114" s="8"/>
      <c r="C114" s="34"/>
      <c r="D114" s="34"/>
      <c r="E114" s="33"/>
      <c r="F114" s="33"/>
      <c r="G114" s="33"/>
      <c r="H114" s="79"/>
    </row>
    <row r="115" spans="1:8" ht="40.5" customHeight="1">
      <c r="A115" s="76"/>
      <c r="B115" s="8"/>
      <c r="C115" s="34"/>
      <c r="D115" s="34"/>
      <c r="E115" s="33"/>
      <c r="F115" s="33"/>
      <c r="G115" s="33"/>
      <c r="H115" s="79"/>
    </row>
    <row r="116" spans="1:8" ht="40.5" customHeight="1">
      <c r="A116" s="76"/>
      <c r="B116" s="8"/>
      <c r="C116" s="34"/>
      <c r="D116" s="34"/>
      <c r="E116" s="33"/>
      <c r="F116" s="33"/>
      <c r="G116" s="33"/>
      <c r="H116" s="79"/>
    </row>
    <row r="117" spans="1:8" ht="40.5" customHeight="1">
      <c r="A117" s="76"/>
      <c r="B117" s="8"/>
      <c r="C117" s="34"/>
      <c r="D117" s="34"/>
      <c r="E117" s="33"/>
      <c r="F117" s="33"/>
      <c r="G117" s="33"/>
      <c r="H117" s="79"/>
    </row>
    <row r="118" spans="1:8" ht="40.5" customHeight="1">
      <c r="A118" s="76"/>
      <c r="B118" s="8"/>
      <c r="C118" s="34"/>
      <c r="D118" s="34"/>
      <c r="E118" s="33"/>
      <c r="F118" s="33"/>
      <c r="G118" s="33"/>
      <c r="H118" s="79"/>
    </row>
    <row r="119" spans="1:8" ht="40.5" customHeight="1">
      <c r="A119" s="76"/>
      <c r="B119" s="8"/>
      <c r="C119" s="34"/>
      <c r="D119" s="34"/>
      <c r="E119" s="33"/>
      <c r="F119" s="33"/>
      <c r="G119" s="33"/>
      <c r="H119" s="79"/>
    </row>
    <row r="120" spans="1:8" ht="40.5" customHeight="1">
      <c r="A120" s="76"/>
      <c r="B120" s="8"/>
      <c r="C120" s="34"/>
      <c r="D120" s="34"/>
      <c r="E120" s="33"/>
      <c r="F120" s="33"/>
      <c r="G120" s="33"/>
      <c r="H120" s="79"/>
    </row>
    <row r="121" spans="1:8" ht="40.5" customHeight="1">
      <c r="A121" s="76"/>
      <c r="B121" s="8"/>
      <c r="C121" s="34"/>
      <c r="D121" s="34"/>
      <c r="E121" s="33"/>
      <c r="F121" s="33"/>
      <c r="G121" s="33"/>
      <c r="H121" s="79"/>
    </row>
    <row r="122" spans="1:8" ht="40.5" customHeight="1">
      <c r="A122" s="76"/>
      <c r="B122" s="8"/>
      <c r="C122" s="34"/>
      <c r="D122" s="34"/>
      <c r="E122" s="33"/>
      <c r="F122" s="33"/>
      <c r="G122" s="33"/>
      <c r="H122" s="79"/>
    </row>
    <row r="123" spans="1:8" ht="40.5" customHeight="1">
      <c r="A123" s="76"/>
      <c r="B123" s="8"/>
      <c r="C123" s="34"/>
      <c r="D123" s="34"/>
      <c r="E123" s="33"/>
      <c r="F123" s="33"/>
      <c r="G123" s="33"/>
      <c r="H123" s="79"/>
    </row>
    <row r="124" spans="1:8" ht="40.5" customHeight="1">
      <c r="A124" s="76"/>
      <c r="B124" s="8"/>
      <c r="C124" s="34"/>
      <c r="D124" s="34"/>
      <c r="E124" s="33"/>
      <c r="F124" s="33"/>
      <c r="G124" s="33"/>
      <c r="H124" s="79"/>
    </row>
    <row r="125" spans="1:8" ht="40.5" customHeight="1">
      <c r="A125" s="76"/>
      <c r="B125" s="8"/>
      <c r="C125" s="34"/>
      <c r="D125" s="34"/>
      <c r="E125" s="33"/>
      <c r="F125" s="33"/>
      <c r="G125" s="33"/>
      <c r="H125" s="79"/>
    </row>
    <row r="126" spans="1:8" ht="40.5" customHeight="1">
      <c r="A126" s="76"/>
      <c r="B126" s="8"/>
      <c r="C126" s="34"/>
      <c r="D126" s="34"/>
      <c r="E126" s="33"/>
      <c r="F126" s="33"/>
      <c r="G126" s="33"/>
      <c r="H126" s="79"/>
    </row>
    <row r="127" spans="1:8" ht="40.5" customHeight="1">
      <c r="A127" s="76"/>
      <c r="B127" s="8"/>
      <c r="C127" s="34"/>
      <c r="D127" s="34"/>
      <c r="E127" s="33"/>
      <c r="F127" s="33"/>
      <c r="G127" s="33"/>
      <c r="H127" s="79"/>
    </row>
    <row r="128" spans="1:8" ht="40.5" customHeight="1">
      <c r="A128" s="76"/>
      <c r="B128" s="8"/>
      <c r="C128" s="34"/>
      <c r="D128" s="34"/>
      <c r="E128" s="33"/>
      <c r="F128" s="33"/>
      <c r="G128" s="33"/>
      <c r="H128" s="79"/>
    </row>
    <row r="129" spans="1:8" ht="40.5" customHeight="1">
      <c r="A129" s="76"/>
      <c r="B129" s="8"/>
      <c r="C129" s="34"/>
      <c r="D129" s="34"/>
      <c r="E129" s="33"/>
      <c r="F129" s="33"/>
      <c r="G129" s="33"/>
      <c r="H129" s="79"/>
    </row>
    <row r="130" spans="1:8" ht="40.5" customHeight="1">
      <c r="A130" s="76"/>
      <c r="B130" s="8"/>
      <c r="C130" s="34"/>
      <c r="D130" s="34"/>
      <c r="E130" s="33"/>
      <c r="F130" s="33"/>
      <c r="G130" s="33"/>
      <c r="H130" s="79"/>
    </row>
    <row r="131" spans="1:8" ht="40.5" customHeight="1">
      <c r="A131" s="76"/>
      <c r="B131" s="8"/>
      <c r="C131" s="34"/>
      <c r="D131" s="34"/>
      <c r="E131" s="33"/>
      <c r="F131" s="33"/>
      <c r="G131" s="33"/>
      <c r="H131" s="79"/>
    </row>
    <row r="132" spans="1:8" ht="40.5" customHeight="1">
      <c r="A132" s="76"/>
      <c r="B132" s="8"/>
      <c r="C132" s="34"/>
      <c r="D132" s="34"/>
      <c r="E132" s="33"/>
      <c r="F132" s="33"/>
      <c r="G132" s="33"/>
      <c r="H132" s="79"/>
    </row>
    <row r="133" spans="1:8" ht="40.5" customHeight="1">
      <c r="A133" s="76"/>
      <c r="B133" s="8"/>
      <c r="C133" s="34"/>
      <c r="D133" s="34"/>
      <c r="E133" s="33"/>
      <c r="F133" s="33"/>
      <c r="G133" s="33"/>
      <c r="H133" s="79"/>
    </row>
    <row r="134" spans="1:8" ht="40.5" customHeight="1">
      <c r="A134" s="76"/>
      <c r="B134" s="8"/>
      <c r="C134" s="34"/>
      <c r="D134" s="34"/>
      <c r="E134" s="33"/>
      <c r="F134" s="33"/>
      <c r="G134" s="33"/>
      <c r="H134" s="79"/>
    </row>
    <row r="135" spans="1:8" ht="40.5" customHeight="1">
      <c r="A135" s="76"/>
      <c r="B135" s="8"/>
      <c r="C135" s="34"/>
      <c r="D135" s="34"/>
      <c r="E135" s="33"/>
      <c r="F135" s="33"/>
      <c r="G135" s="33"/>
      <c r="H135" s="79"/>
    </row>
    <row r="136" spans="1:8" ht="40.5" customHeight="1">
      <c r="A136" s="76"/>
      <c r="B136" s="8"/>
      <c r="C136" s="34"/>
      <c r="D136" s="34"/>
      <c r="E136" s="33"/>
      <c r="F136" s="33"/>
      <c r="G136" s="33"/>
      <c r="H136" s="79"/>
    </row>
    <row r="137" spans="1:8" ht="40.5" customHeight="1">
      <c r="A137" s="76"/>
      <c r="B137" s="8"/>
      <c r="C137" s="34"/>
      <c r="D137" s="34"/>
      <c r="E137" s="33"/>
      <c r="F137" s="33"/>
      <c r="G137" s="33"/>
      <c r="H137" s="79"/>
    </row>
    <row r="138" spans="1:8" ht="40.5" customHeight="1">
      <c r="A138" s="76"/>
      <c r="B138" s="8"/>
      <c r="C138" s="34"/>
      <c r="D138" s="34"/>
      <c r="E138" s="33"/>
      <c r="F138" s="33"/>
      <c r="G138" s="33"/>
      <c r="H138" s="79"/>
    </row>
    <row r="139" spans="1:8" ht="40.5" customHeight="1">
      <c r="A139" s="76"/>
      <c r="B139" s="8"/>
      <c r="C139" s="34"/>
      <c r="D139" s="34"/>
      <c r="E139" s="33"/>
      <c r="F139" s="33"/>
      <c r="G139" s="33"/>
      <c r="H139" s="79"/>
    </row>
    <row r="140" spans="1:8" ht="40.5" customHeight="1">
      <c r="A140" s="76"/>
      <c r="B140" s="8"/>
      <c r="C140" s="34"/>
      <c r="D140" s="34"/>
      <c r="E140" s="33"/>
      <c r="F140" s="33"/>
      <c r="G140" s="33"/>
      <c r="H140" s="79"/>
    </row>
    <row r="141" spans="1:8" ht="40.5" customHeight="1">
      <c r="A141" s="76"/>
      <c r="B141" s="8"/>
      <c r="C141" s="34"/>
      <c r="D141" s="34"/>
      <c r="E141" s="33"/>
      <c r="F141" s="33"/>
      <c r="G141" s="33"/>
      <c r="H141" s="79"/>
    </row>
    <row r="142" spans="1:8" ht="40.5" customHeight="1">
      <c r="A142" s="76"/>
      <c r="B142" s="8"/>
      <c r="C142" s="34"/>
      <c r="D142" s="34"/>
      <c r="E142" s="33"/>
      <c r="F142" s="33"/>
      <c r="G142" s="33"/>
      <c r="H142" s="79"/>
    </row>
    <row r="143" spans="1:8" ht="40.5" customHeight="1">
      <c r="A143" s="76"/>
      <c r="B143" s="8"/>
      <c r="C143" s="34"/>
      <c r="D143" s="34"/>
      <c r="E143" s="33"/>
      <c r="F143" s="33"/>
      <c r="G143" s="33"/>
      <c r="H143" s="79"/>
    </row>
    <row r="144" spans="1:8" ht="40.5" customHeight="1">
      <c r="A144" s="76"/>
      <c r="B144" s="8"/>
      <c r="C144" s="34"/>
      <c r="D144" s="34"/>
      <c r="E144" s="33"/>
      <c r="F144" s="33"/>
      <c r="G144" s="33"/>
      <c r="H144" s="79"/>
    </row>
    <row r="145" spans="1:8" ht="40.5" customHeight="1">
      <c r="A145" s="76"/>
      <c r="B145" s="8"/>
      <c r="C145" s="34"/>
      <c r="D145" s="34"/>
      <c r="E145" s="33"/>
      <c r="F145" s="33"/>
      <c r="G145" s="33"/>
      <c r="H145" s="79"/>
    </row>
    <row r="146" spans="1:8" ht="40.5" customHeight="1">
      <c r="A146" s="76"/>
      <c r="B146" s="8"/>
      <c r="C146" s="34"/>
      <c r="D146" s="34"/>
      <c r="E146" s="33"/>
      <c r="F146" s="33"/>
      <c r="G146" s="33"/>
      <c r="H146" s="79"/>
    </row>
    <row r="147" spans="1:8" ht="40.5" customHeight="1">
      <c r="A147" s="76"/>
      <c r="B147" s="8"/>
      <c r="C147" s="34"/>
      <c r="D147" s="34"/>
      <c r="E147" s="33"/>
      <c r="F147" s="33"/>
      <c r="G147" s="33"/>
      <c r="H147" s="79"/>
    </row>
    <row r="148" spans="1:8" ht="40.5" customHeight="1">
      <c r="A148" s="76"/>
      <c r="B148" s="8"/>
      <c r="C148" s="34"/>
      <c r="D148" s="34"/>
      <c r="E148" s="33"/>
      <c r="F148" s="33"/>
      <c r="G148" s="33"/>
      <c r="H148" s="79"/>
    </row>
    <row r="149" spans="1:8" ht="40.5" customHeight="1">
      <c r="A149" s="76"/>
      <c r="B149" s="8"/>
      <c r="C149" s="34"/>
      <c r="D149" s="34"/>
      <c r="E149" s="33"/>
      <c r="F149" s="33"/>
      <c r="G149" s="33"/>
      <c r="H149" s="79"/>
    </row>
    <row r="150" spans="1:8" ht="40.5" customHeight="1">
      <c r="A150" s="76"/>
      <c r="B150" s="8"/>
      <c r="C150" s="34"/>
      <c r="D150" s="34"/>
      <c r="E150" s="33"/>
      <c r="F150" s="33"/>
      <c r="G150" s="33"/>
      <c r="H150" s="79"/>
    </row>
    <row r="151" spans="1:8" ht="40.5" customHeight="1">
      <c r="A151" s="76"/>
      <c r="B151" s="8"/>
      <c r="C151" s="34"/>
      <c r="D151" s="34"/>
      <c r="E151" s="33"/>
      <c r="F151" s="33"/>
      <c r="G151" s="33"/>
      <c r="H151" s="79"/>
    </row>
    <row r="152" spans="1:8" ht="40.5" customHeight="1">
      <c r="A152" s="76"/>
      <c r="B152" s="8"/>
      <c r="C152" s="34"/>
      <c r="D152" s="34"/>
      <c r="E152" s="33"/>
      <c r="F152" s="33"/>
      <c r="G152" s="33"/>
      <c r="H152" s="79"/>
    </row>
    <row r="153" spans="1:8" ht="40.5" customHeight="1">
      <c r="A153" s="76"/>
      <c r="B153" s="8"/>
      <c r="C153" s="34"/>
      <c r="D153" s="34"/>
      <c r="E153" s="33"/>
      <c r="F153" s="33"/>
      <c r="G153" s="33"/>
      <c r="H153" s="79"/>
    </row>
    <row r="154" spans="1:8" ht="40.5" customHeight="1">
      <c r="A154" s="76"/>
      <c r="B154" s="8"/>
      <c r="C154" s="34"/>
      <c r="D154" s="34"/>
      <c r="E154" s="33"/>
      <c r="F154" s="33"/>
      <c r="G154" s="33"/>
      <c r="H154" s="79"/>
    </row>
    <row r="155" spans="1:8" ht="40.5" customHeight="1">
      <c r="A155" s="76"/>
      <c r="B155" s="8"/>
      <c r="C155" s="34"/>
      <c r="D155" s="34"/>
      <c r="E155" s="33"/>
      <c r="F155" s="33"/>
      <c r="G155" s="33"/>
      <c r="H155" s="79"/>
    </row>
    <row r="156" spans="1:8" ht="40.5" customHeight="1">
      <c r="A156" s="76"/>
      <c r="B156" s="8"/>
      <c r="C156" s="34"/>
      <c r="D156" s="34"/>
      <c r="E156" s="33"/>
      <c r="F156" s="33"/>
      <c r="G156" s="33"/>
      <c r="H156" s="79"/>
    </row>
    <row r="157" spans="1:8" ht="40.5" customHeight="1">
      <c r="A157" s="76"/>
      <c r="B157" s="8"/>
      <c r="C157" s="34"/>
      <c r="D157" s="34"/>
      <c r="E157" s="33"/>
      <c r="F157" s="33"/>
      <c r="G157" s="33"/>
      <c r="H157" s="79"/>
    </row>
    <row r="158" spans="1:8" ht="40.5" customHeight="1">
      <c r="A158" s="76"/>
      <c r="B158" s="8"/>
      <c r="C158" s="34"/>
      <c r="D158" s="34"/>
      <c r="E158" s="33"/>
      <c r="F158" s="33"/>
      <c r="G158" s="33"/>
      <c r="H158" s="79"/>
    </row>
    <row r="159" spans="1:8" ht="40.5" customHeight="1">
      <c r="A159" s="76"/>
      <c r="B159" s="8"/>
      <c r="C159" s="34"/>
      <c r="D159" s="34"/>
      <c r="E159" s="33"/>
      <c r="F159" s="33"/>
      <c r="G159" s="33"/>
      <c r="H159" s="79"/>
    </row>
    <row r="160" spans="1:8" ht="40.5" customHeight="1">
      <c r="A160" s="76"/>
      <c r="B160" s="8"/>
      <c r="C160" s="34"/>
      <c r="D160" s="34"/>
      <c r="E160" s="33"/>
      <c r="F160" s="33"/>
      <c r="G160" s="33"/>
      <c r="H160" s="79"/>
    </row>
    <row r="161" spans="1:8" ht="40.5" customHeight="1">
      <c r="A161" s="76"/>
      <c r="B161" s="8"/>
      <c r="C161" s="34"/>
      <c r="D161" s="34"/>
      <c r="E161" s="33"/>
      <c r="F161" s="33"/>
      <c r="G161" s="33"/>
      <c r="H161" s="79"/>
    </row>
    <row r="162" spans="1:8" ht="40.5" customHeight="1">
      <c r="A162" s="76"/>
      <c r="B162" s="8"/>
      <c r="C162" s="34"/>
      <c r="D162" s="34"/>
      <c r="E162" s="33"/>
      <c r="F162" s="33"/>
      <c r="G162" s="33"/>
      <c r="H162" s="79"/>
    </row>
    <row r="163" spans="1:8" ht="40.5" customHeight="1">
      <c r="A163" s="76"/>
      <c r="B163" s="8"/>
      <c r="C163" s="34"/>
      <c r="D163" s="34"/>
      <c r="E163" s="33"/>
      <c r="F163" s="33"/>
      <c r="G163" s="33"/>
      <c r="H163" s="79"/>
    </row>
    <row r="164" spans="1:8" ht="40.5" customHeight="1">
      <c r="A164" s="76"/>
      <c r="B164" s="8"/>
      <c r="C164" s="34"/>
      <c r="D164" s="34"/>
      <c r="E164" s="33"/>
      <c r="F164" s="33"/>
      <c r="G164" s="33"/>
      <c r="H164" s="79"/>
    </row>
    <row r="165" spans="1:8" ht="40.5" customHeight="1">
      <c r="A165" s="76"/>
      <c r="B165" s="8"/>
      <c r="C165" s="34"/>
      <c r="D165" s="34"/>
      <c r="E165" s="33"/>
      <c r="F165" s="33"/>
      <c r="G165" s="33"/>
      <c r="H165" s="79"/>
    </row>
    <row r="166" spans="1:8" ht="40.5" customHeight="1">
      <c r="A166" s="76"/>
      <c r="B166" s="8"/>
      <c r="C166" s="34"/>
      <c r="D166" s="34"/>
      <c r="E166" s="33"/>
      <c r="F166" s="33"/>
      <c r="G166" s="33"/>
      <c r="H166" s="79"/>
    </row>
    <row r="167" spans="1:8" ht="40.5" customHeight="1">
      <c r="A167" s="76"/>
      <c r="B167" s="8"/>
      <c r="C167" s="34"/>
      <c r="D167" s="34"/>
      <c r="E167" s="33"/>
      <c r="F167" s="33"/>
      <c r="G167" s="33"/>
      <c r="H167" s="79"/>
    </row>
    <row r="168" spans="1:8" ht="40.5" customHeight="1">
      <c r="A168" s="76"/>
      <c r="B168" s="8"/>
      <c r="C168" s="34"/>
      <c r="D168" s="34"/>
      <c r="E168" s="33"/>
      <c r="F168" s="33"/>
      <c r="G168" s="33"/>
      <c r="H168" s="79"/>
    </row>
    <row r="169" spans="1:8" ht="40.5" customHeight="1">
      <c r="A169" s="76"/>
      <c r="B169" s="8"/>
      <c r="C169" s="34"/>
      <c r="D169" s="34"/>
      <c r="E169" s="33"/>
      <c r="F169" s="33"/>
      <c r="G169" s="33"/>
      <c r="H169" s="79"/>
    </row>
    <row r="170" spans="1:8" ht="40.5" customHeight="1">
      <c r="A170" s="76"/>
      <c r="B170" s="8"/>
      <c r="C170" s="34"/>
      <c r="D170" s="34"/>
      <c r="E170" s="33"/>
      <c r="F170" s="33"/>
      <c r="G170" s="33"/>
      <c r="H170" s="79"/>
    </row>
    <row r="171" spans="1:8" ht="40.5" customHeight="1">
      <c r="A171" s="76"/>
      <c r="B171" s="8"/>
      <c r="C171" s="34"/>
      <c r="D171" s="34"/>
      <c r="E171" s="33"/>
      <c r="F171" s="33"/>
      <c r="G171" s="33"/>
      <c r="H171" s="79"/>
    </row>
    <row r="172" spans="1:8" ht="40.5" customHeight="1">
      <c r="A172" s="76"/>
      <c r="B172" s="8"/>
      <c r="C172" s="34"/>
      <c r="D172" s="34"/>
      <c r="E172" s="33"/>
      <c r="F172" s="33"/>
      <c r="G172" s="33"/>
      <c r="H172" s="79"/>
    </row>
    <row r="173" spans="1:8" ht="40.5" customHeight="1">
      <c r="A173" s="76"/>
      <c r="B173" s="8"/>
      <c r="C173" s="34"/>
      <c r="D173" s="34"/>
      <c r="E173" s="33"/>
      <c r="F173" s="33"/>
      <c r="G173" s="33"/>
      <c r="H173" s="79"/>
    </row>
    <row r="174" spans="1:8" ht="40.5" customHeight="1">
      <c r="A174" s="76"/>
      <c r="B174" s="8"/>
      <c r="C174" s="34"/>
      <c r="D174" s="34"/>
      <c r="E174" s="33"/>
      <c r="F174" s="33"/>
      <c r="G174" s="33"/>
      <c r="H174" s="79"/>
    </row>
    <row r="175" spans="1:8" ht="40.5" customHeight="1">
      <c r="A175" s="76"/>
      <c r="B175" s="8"/>
      <c r="C175" s="34"/>
      <c r="D175" s="34"/>
      <c r="E175" s="33"/>
      <c r="F175" s="33"/>
      <c r="G175" s="33"/>
      <c r="H175" s="79"/>
    </row>
    <row r="176" spans="1:8" ht="40.5" customHeight="1">
      <c r="A176" s="76"/>
      <c r="B176" s="8"/>
      <c r="C176" s="34"/>
      <c r="D176" s="34"/>
      <c r="E176" s="33"/>
      <c r="F176" s="33"/>
      <c r="G176" s="33"/>
      <c r="H176" s="79"/>
    </row>
    <row r="177" spans="1:8" ht="40.5" customHeight="1">
      <c r="A177" s="76"/>
      <c r="B177" s="8"/>
      <c r="C177" s="34"/>
      <c r="D177" s="34"/>
      <c r="E177" s="33"/>
      <c r="F177" s="33"/>
      <c r="G177" s="33"/>
      <c r="H177" s="79"/>
    </row>
    <row r="178" spans="1:8" ht="40.5" customHeight="1">
      <c r="A178" s="76"/>
      <c r="B178" s="8"/>
      <c r="C178" s="34"/>
      <c r="D178" s="34"/>
      <c r="E178" s="33"/>
      <c r="F178" s="33"/>
      <c r="G178" s="33"/>
      <c r="H178" s="79"/>
    </row>
    <row r="179" spans="1:8" ht="40.5" customHeight="1">
      <c r="A179" s="76"/>
      <c r="B179" s="8"/>
      <c r="C179" s="34"/>
      <c r="D179" s="34"/>
      <c r="E179" s="33"/>
      <c r="F179" s="33"/>
      <c r="G179" s="33"/>
      <c r="H179" s="79"/>
    </row>
    <row r="180" spans="1:8" ht="40.5" customHeight="1">
      <c r="A180" s="76"/>
      <c r="B180" s="8"/>
      <c r="C180" s="34"/>
      <c r="D180" s="34"/>
      <c r="E180" s="33"/>
      <c r="F180" s="33"/>
      <c r="G180" s="33"/>
      <c r="H180" s="79"/>
    </row>
    <row r="181" spans="1:8" ht="40.5" customHeight="1">
      <c r="A181" s="76"/>
      <c r="B181" s="8"/>
      <c r="C181" s="34"/>
      <c r="D181" s="34"/>
      <c r="E181" s="33"/>
      <c r="F181" s="33"/>
      <c r="G181" s="33"/>
      <c r="H181" s="79"/>
    </row>
    <row r="182" spans="1:8" ht="40.5" customHeight="1">
      <c r="A182" s="76"/>
      <c r="B182" s="8"/>
      <c r="C182" s="34"/>
      <c r="D182" s="34"/>
      <c r="E182" s="33"/>
      <c r="F182" s="33"/>
      <c r="G182" s="33"/>
      <c r="H182" s="79"/>
    </row>
    <row r="183" spans="1:8" ht="40.5" customHeight="1">
      <c r="A183" s="76"/>
      <c r="B183" s="8"/>
      <c r="C183" s="34"/>
      <c r="D183" s="34"/>
      <c r="E183" s="33"/>
      <c r="F183" s="33"/>
      <c r="G183" s="33"/>
      <c r="H183" s="79"/>
    </row>
    <row r="184" spans="1:8" ht="40.5" customHeight="1">
      <c r="A184" s="76"/>
      <c r="B184" s="8"/>
      <c r="C184" s="34"/>
      <c r="D184" s="34"/>
      <c r="E184" s="33"/>
      <c r="F184" s="33"/>
      <c r="G184" s="33"/>
      <c r="H184" s="79"/>
    </row>
    <row r="185" spans="1:8" ht="40.5" customHeight="1">
      <c r="A185" s="76"/>
      <c r="B185" s="8"/>
      <c r="C185" s="34"/>
      <c r="D185" s="34"/>
      <c r="E185" s="33"/>
      <c r="F185" s="33"/>
      <c r="G185" s="33"/>
      <c r="H185" s="79"/>
    </row>
    <row r="186" spans="1:8" ht="40.5" customHeight="1">
      <c r="A186" s="76"/>
      <c r="B186" s="8"/>
      <c r="C186" s="34"/>
      <c r="D186" s="34"/>
      <c r="E186" s="33"/>
      <c r="F186" s="33"/>
      <c r="G186" s="33"/>
      <c r="H186" s="79"/>
    </row>
    <row r="187" spans="1:8" ht="40.5" customHeight="1">
      <c r="A187" s="76"/>
      <c r="B187" s="8"/>
      <c r="C187" s="34"/>
      <c r="D187" s="34"/>
      <c r="E187" s="33"/>
      <c r="F187" s="33"/>
      <c r="G187" s="33"/>
      <c r="H187" s="79"/>
    </row>
    <row r="188" spans="1:8" ht="40.5" customHeight="1">
      <c r="A188" s="76"/>
      <c r="B188" s="8"/>
      <c r="C188" s="34"/>
      <c r="D188" s="34"/>
      <c r="E188" s="33"/>
      <c r="F188" s="33"/>
      <c r="G188" s="33"/>
      <c r="H188" s="79"/>
    </row>
    <row r="189" spans="1:8" ht="40.5" customHeight="1">
      <c r="A189" s="76"/>
      <c r="B189" s="8"/>
      <c r="C189" s="34"/>
      <c r="D189" s="34"/>
      <c r="E189" s="33"/>
      <c r="F189" s="33"/>
      <c r="G189" s="33"/>
      <c r="H189" s="79"/>
    </row>
    <row r="190" spans="1:8" ht="40.5" customHeight="1">
      <c r="A190" s="76"/>
      <c r="B190" s="8"/>
      <c r="C190" s="34"/>
      <c r="D190" s="34"/>
      <c r="E190" s="33"/>
      <c r="F190" s="33"/>
      <c r="G190" s="33"/>
      <c r="H190" s="79"/>
    </row>
    <row r="191" spans="1:8" ht="40.5" customHeight="1">
      <c r="A191" s="76"/>
      <c r="B191" s="8"/>
      <c r="C191" s="34"/>
      <c r="D191" s="34"/>
      <c r="E191" s="33"/>
      <c r="F191" s="33"/>
      <c r="G191" s="33"/>
      <c r="H191" s="79"/>
    </row>
    <row r="192" spans="1:8" ht="40.5" customHeight="1">
      <c r="A192" s="76"/>
      <c r="B192" s="8"/>
      <c r="C192" s="34"/>
      <c r="D192" s="34"/>
      <c r="E192" s="33"/>
      <c r="F192" s="33"/>
      <c r="G192" s="33"/>
      <c r="H192" s="79"/>
    </row>
    <row r="193" spans="1:8" ht="40.5" customHeight="1">
      <c r="A193" s="76"/>
      <c r="B193" s="8"/>
      <c r="C193" s="34"/>
      <c r="D193" s="34"/>
      <c r="E193" s="33"/>
      <c r="F193" s="33"/>
      <c r="G193" s="33"/>
      <c r="H193" s="79"/>
    </row>
    <row r="194" spans="1:8" ht="40.5" customHeight="1">
      <c r="A194" s="76"/>
      <c r="B194" s="8"/>
      <c r="C194" s="34"/>
      <c r="D194" s="34"/>
      <c r="E194" s="33"/>
      <c r="F194" s="33"/>
      <c r="G194" s="33"/>
      <c r="H194" s="79"/>
    </row>
    <row r="195" spans="1:8" ht="40.5" customHeight="1">
      <c r="A195" s="76"/>
      <c r="B195" s="8"/>
      <c r="C195" s="34"/>
      <c r="D195" s="34"/>
      <c r="E195" s="33"/>
      <c r="F195" s="33"/>
      <c r="G195" s="33"/>
      <c r="H195" s="79"/>
    </row>
    <row r="196" spans="1:8" ht="40.5" customHeight="1">
      <c r="A196" s="76"/>
      <c r="B196" s="8"/>
      <c r="C196" s="34"/>
      <c r="D196" s="34"/>
      <c r="E196" s="33"/>
      <c r="F196" s="33"/>
      <c r="G196" s="33"/>
      <c r="H196" s="79"/>
    </row>
    <row r="197" spans="1:8" ht="40.5" customHeight="1">
      <c r="A197" s="76"/>
      <c r="B197" s="8"/>
      <c r="C197" s="34"/>
      <c r="D197" s="34"/>
      <c r="E197" s="33"/>
      <c r="F197" s="33"/>
      <c r="G197" s="33"/>
      <c r="H197" s="79"/>
    </row>
    <row r="198" spans="1:8" ht="40.5" customHeight="1">
      <c r="A198" s="76"/>
      <c r="B198" s="8"/>
      <c r="C198" s="34"/>
      <c r="D198" s="34"/>
      <c r="E198" s="33"/>
      <c r="F198" s="33"/>
      <c r="G198" s="33"/>
      <c r="H198" s="79"/>
    </row>
    <row r="199" spans="1:8" ht="40.5" customHeight="1">
      <c r="A199" s="76"/>
      <c r="B199" s="8"/>
      <c r="C199" s="34"/>
      <c r="D199" s="34"/>
      <c r="E199" s="33"/>
      <c r="F199" s="33"/>
      <c r="G199" s="33"/>
      <c r="H199" s="79"/>
    </row>
    <row r="200" spans="1:8" ht="40.5" customHeight="1">
      <c r="A200" s="76"/>
      <c r="B200" s="8"/>
      <c r="C200" s="34"/>
      <c r="D200" s="34"/>
      <c r="E200" s="33"/>
      <c r="F200" s="33"/>
      <c r="G200" s="33"/>
      <c r="H200" s="79"/>
    </row>
    <row r="201" spans="1:8" ht="40.5" customHeight="1">
      <c r="A201" s="76"/>
      <c r="B201" s="8"/>
      <c r="C201" s="34"/>
      <c r="D201" s="34"/>
      <c r="E201" s="33"/>
      <c r="F201" s="33"/>
      <c r="G201" s="33"/>
      <c r="H201" s="79"/>
    </row>
    <row r="202" spans="1:8" ht="40.5" customHeight="1">
      <c r="A202" s="76"/>
      <c r="B202" s="8"/>
      <c r="C202" s="34"/>
      <c r="D202" s="34"/>
      <c r="E202" s="33"/>
      <c r="F202" s="33"/>
      <c r="G202" s="33"/>
      <c r="H202" s="79"/>
    </row>
    <row r="203" spans="1:8" ht="40.5" customHeight="1">
      <c r="A203" s="76"/>
      <c r="B203" s="8"/>
      <c r="C203" s="34"/>
      <c r="D203" s="34"/>
      <c r="E203" s="33"/>
      <c r="F203" s="33"/>
      <c r="G203" s="33"/>
      <c r="H203" s="79"/>
    </row>
    <row r="204" spans="1:8" ht="40.5" customHeight="1">
      <c r="A204" s="76"/>
      <c r="B204" s="8"/>
      <c r="C204" s="34"/>
      <c r="D204" s="34"/>
      <c r="E204" s="33"/>
      <c r="F204" s="33"/>
      <c r="G204" s="33"/>
      <c r="H204" s="79"/>
    </row>
    <row r="205" spans="1:8" ht="40.5" customHeight="1">
      <c r="A205" s="76"/>
      <c r="B205" s="8"/>
      <c r="C205" s="34"/>
      <c r="D205" s="34"/>
      <c r="E205" s="33"/>
      <c r="F205" s="33"/>
      <c r="G205" s="33"/>
      <c r="H205" s="79"/>
    </row>
    <row r="206" spans="1:8" ht="40.5" customHeight="1">
      <c r="A206" s="76"/>
      <c r="B206" s="8"/>
      <c r="C206" s="34"/>
      <c r="D206" s="34"/>
      <c r="E206" s="33"/>
      <c r="F206" s="33"/>
      <c r="G206" s="33"/>
      <c r="H206" s="79"/>
    </row>
    <row r="207" spans="1:8" ht="40.5" customHeight="1">
      <c r="A207" s="76"/>
      <c r="B207" s="8"/>
      <c r="C207" s="34"/>
      <c r="D207" s="34"/>
      <c r="E207" s="33"/>
      <c r="F207" s="33"/>
      <c r="G207" s="33"/>
      <c r="H207" s="79"/>
    </row>
    <row r="208" spans="1:8" ht="40.5" customHeight="1">
      <c r="A208" s="76"/>
      <c r="B208" s="8"/>
      <c r="C208" s="34"/>
      <c r="D208" s="34"/>
      <c r="E208" s="33"/>
      <c r="F208" s="33"/>
      <c r="G208" s="33"/>
      <c r="H208" s="79"/>
    </row>
    <row r="209" spans="1:8" ht="40.5" customHeight="1">
      <c r="A209" s="76"/>
      <c r="B209" s="8"/>
      <c r="C209" s="34"/>
      <c r="D209" s="34"/>
      <c r="E209" s="33"/>
      <c r="F209" s="33"/>
      <c r="G209" s="33"/>
      <c r="H209" s="79"/>
    </row>
    <row r="210" spans="1:8" ht="40.5" customHeight="1">
      <c r="A210" s="76"/>
      <c r="B210" s="8"/>
      <c r="C210" s="34"/>
      <c r="D210" s="34"/>
      <c r="E210" s="33"/>
      <c r="F210" s="33"/>
      <c r="G210" s="33"/>
      <c r="H210" s="79"/>
    </row>
    <row r="211" spans="1:8" ht="40.5" customHeight="1">
      <c r="A211" s="76"/>
      <c r="B211" s="8"/>
      <c r="C211" s="34"/>
      <c r="D211" s="34"/>
      <c r="E211" s="33"/>
      <c r="F211" s="33"/>
      <c r="G211" s="33"/>
      <c r="H211" s="79"/>
    </row>
    <row r="212" spans="1:8" ht="40.5" customHeight="1">
      <c r="A212" s="76"/>
      <c r="B212" s="8"/>
      <c r="C212" s="34"/>
      <c r="D212" s="34"/>
      <c r="E212" s="33"/>
      <c r="F212" s="33"/>
      <c r="G212" s="33"/>
      <c r="H212" s="79"/>
    </row>
    <row r="213" spans="1:8" ht="40.5" customHeight="1">
      <c r="A213" s="76"/>
      <c r="B213" s="8"/>
      <c r="C213" s="34"/>
      <c r="D213" s="34"/>
      <c r="E213" s="33"/>
      <c r="F213" s="33"/>
      <c r="G213" s="33"/>
      <c r="H213" s="79"/>
    </row>
    <row r="214" spans="1:8" ht="40.5" customHeight="1">
      <c r="A214" s="76"/>
      <c r="B214" s="8"/>
      <c r="C214" s="34"/>
      <c r="D214" s="34"/>
      <c r="E214" s="33"/>
      <c r="F214" s="33"/>
      <c r="G214" s="33"/>
      <c r="H214" s="79"/>
    </row>
    <row r="215" spans="1:8" ht="40.5" customHeight="1">
      <c r="A215" s="76"/>
      <c r="B215" s="8"/>
      <c r="C215" s="34"/>
      <c r="D215" s="34"/>
      <c r="E215" s="33"/>
      <c r="F215" s="33"/>
      <c r="G215" s="33"/>
      <c r="H215" s="79"/>
    </row>
    <row r="216" spans="1:8" ht="40.5" customHeight="1">
      <c r="A216" s="76"/>
      <c r="B216" s="8"/>
      <c r="C216" s="34"/>
      <c r="D216" s="34"/>
      <c r="E216" s="33"/>
      <c r="F216" s="33"/>
      <c r="G216" s="33"/>
      <c r="H216" s="79"/>
    </row>
    <row r="217" spans="1:8" ht="40.5" customHeight="1">
      <c r="A217" s="76"/>
      <c r="B217" s="8"/>
      <c r="C217" s="34"/>
      <c r="D217" s="34"/>
      <c r="E217" s="33"/>
      <c r="F217" s="33"/>
      <c r="G217" s="33"/>
      <c r="H217" s="79"/>
    </row>
    <row r="218" spans="1:8" ht="25.8">
      <c r="A218" s="76"/>
      <c r="B218" s="8"/>
      <c r="C218" s="34"/>
      <c r="D218" s="34"/>
      <c r="E218" s="33"/>
      <c r="F218" s="33"/>
      <c r="G218" s="33"/>
      <c r="H218" s="79"/>
    </row>
    <row r="219" spans="1:8" ht="25.8">
      <c r="A219" s="76"/>
      <c r="B219" s="8"/>
      <c r="C219" s="34"/>
      <c r="D219" s="34"/>
      <c r="E219" s="33"/>
      <c r="F219" s="33"/>
      <c r="G219" s="33"/>
      <c r="H219" s="79"/>
    </row>
    <row r="220" spans="1:8" ht="25.8">
      <c r="A220" s="76"/>
      <c r="B220" s="8"/>
      <c r="C220" s="34"/>
      <c r="D220" s="34"/>
      <c r="E220" s="33"/>
      <c r="F220" s="33"/>
      <c r="G220" s="33"/>
      <c r="H220" s="79"/>
    </row>
    <row r="221" spans="1:8" ht="25.8">
      <c r="A221" s="76"/>
      <c r="B221" s="8"/>
      <c r="C221" s="34"/>
      <c r="D221" s="34"/>
      <c r="E221" s="33"/>
      <c r="F221" s="33"/>
      <c r="G221" s="33"/>
      <c r="H221" s="79"/>
    </row>
    <row r="222" spans="1:8" ht="25.8">
      <c r="A222" s="76"/>
      <c r="B222" s="8"/>
      <c r="C222" s="34"/>
      <c r="D222" s="34"/>
      <c r="E222" s="33"/>
      <c r="F222" s="33"/>
      <c r="G222" s="33"/>
      <c r="H222" s="79"/>
    </row>
    <row r="223" spans="1:8" ht="25.8">
      <c r="A223" s="76"/>
      <c r="B223" s="8"/>
      <c r="C223" s="34"/>
      <c r="D223" s="34"/>
      <c r="E223" s="33"/>
      <c r="F223" s="33"/>
      <c r="G223" s="33"/>
      <c r="H223" s="79"/>
    </row>
    <row r="224" spans="1:8" ht="25.8">
      <c r="A224" s="76"/>
      <c r="B224" s="8"/>
      <c r="C224" s="34"/>
      <c r="D224" s="34"/>
      <c r="E224" s="33"/>
      <c r="F224" s="33"/>
      <c r="G224" s="33"/>
      <c r="H224" s="79"/>
    </row>
    <row r="225" spans="1:8" ht="25.8">
      <c r="A225" s="76"/>
      <c r="B225" s="8"/>
      <c r="C225" s="34"/>
      <c r="D225" s="34"/>
      <c r="E225" s="33"/>
      <c r="F225" s="33"/>
      <c r="G225" s="33"/>
      <c r="H225" s="79"/>
    </row>
    <row r="226" spans="1:8" ht="25.8">
      <c r="A226" s="76"/>
      <c r="B226" s="8"/>
      <c r="C226" s="34"/>
      <c r="D226" s="34"/>
      <c r="E226" s="33"/>
      <c r="F226" s="33"/>
      <c r="G226" s="33"/>
      <c r="H226" s="79"/>
    </row>
    <row r="227" spans="1:8" ht="25.8">
      <c r="A227" s="76"/>
      <c r="B227" s="8"/>
      <c r="C227" s="34"/>
      <c r="D227" s="34"/>
      <c r="E227" s="33"/>
      <c r="F227" s="33"/>
      <c r="G227" s="33"/>
      <c r="H227" s="79"/>
    </row>
    <row r="228" spans="1:8" ht="25.8">
      <c r="A228" s="76"/>
      <c r="B228" s="8"/>
      <c r="C228" s="34"/>
      <c r="D228" s="34"/>
      <c r="E228" s="33"/>
      <c r="F228" s="33"/>
      <c r="G228" s="33"/>
      <c r="H228" s="79"/>
    </row>
    <row r="229" spans="1:8" ht="25.8">
      <c r="A229" s="76"/>
      <c r="B229" s="8"/>
      <c r="C229" s="34"/>
      <c r="D229" s="34"/>
      <c r="E229" s="33"/>
      <c r="F229" s="33"/>
      <c r="G229" s="33"/>
      <c r="H229" s="79"/>
    </row>
    <row r="230" spans="1:8" ht="25.8">
      <c r="A230" s="76"/>
      <c r="B230" s="8"/>
      <c r="C230" s="34"/>
      <c r="D230" s="34"/>
      <c r="E230" s="33"/>
      <c r="F230" s="33"/>
      <c r="G230" s="33"/>
      <c r="H230" s="79"/>
    </row>
    <row r="231" spans="1:8" ht="25.8">
      <c r="A231" s="76"/>
      <c r="B231" s="8"/>
      <c r="C231" s="34"/>
      <c r="D231" s="34"/>
      <c r="E231" s="33"/>
      <c r="F231" s="33"/>
      <c r="G231" s="33"/>
      <c r="H231" s="79"/>
    </row>
    <row r="232" spans="1:8" ht="25.8">
      <c r="A232" s="76"/>
      <c r="B232" s="8"/>
      <c r="C232" s="34"/>
      <c r="D232" s="34"/>
      <c r="E232" s="33"/>
      <c r="F232" s="33"/>
      <c r="G232" s="33"/>
      <c r="H232" s="79"/>
    </row>
    <row r="233" spans="1:8" ht="25.8">
      <c r="A233" s="76"/>
      <c r="B233" s="8"/>
      <c r="C233" s="34"/>
      <c r="D233" s="34"/>
      <c r="E233" s="33"/>
      <c r="F233" s="33"/>
      <c r="G233" s="33"/>
      <c r="H233" s="79"/>
    </row>
    <row r="234" spans="1:8" ht="25.8">
      <c r="A234" s="76"/>
      <c r="B234" s="8"/>
      <c r="C234" s="34"/>
      <c r="D234" s="34"/>
      <c r="E234" s="33"/>
      <c r="F234" s="33"/>
      <c r="G234" s="33"/>
      <c r="H234" s="79"/>
    </row>
    <row r="235" spans="1:8" ht="25.8">
      <c r="A235" s="76"/>
      <c r="B235" s="8"/>
      <c r="C235" s="34"/>
      <c r="D235" s="34"/>
      <c r="E235" s="33"/>
      <c r="F235" s="33"/>
      <c r="G235" s="33"/>
      <c r="H235" s="79"/>
    </row>
    <row r="236" spans="1:8" ht="25.8">
      <c r="A236" s="76"/>
      <c r="B236" s="8"/>
      <c r="C236" s="34"/>
      <c r="D236" s="34"/>
      <c r="E236" s="33"/>
      <c r="F236" s="33"/>
      <c r="G236" s="33"/>
      <c r="H236" s="79"/>
    </row>
    <row r="237" spans="1:8" ht="25.8">
      <c r="A237" s="76"/>
      <c r="B237" s="8"/>
      <c r="C237" s="34"/>
      <c r="D237" s="34"/>
      <c r="E237" s="33"/>
      <c r="F237" s="33"/>
      <c r="G237" s="33"/>
      <c r="H237" s="79"/>
    </row>
    <row r="238" spans="1:8" ht="25.8">
      <c r="A238" s="76"/>
      <c r="B238" s="8"/>
      <c r="C238" s="34"/>
      <c r="D238" s="34"/>
      <c r="E238" s="33"/>
      <c r="F238" s="33"/>
      <c r="G238" s="33"/>
      <c r="H238" s="79"/>
    </row>
    <row r="239" spans="1:8" ht="25.8">
      <c r="A239" s="76"/>
      <c r="B239" s="8"/>
      <c r="C239" s="34"/>
      <c r="D239" s="34"/>
      <c r="E239" s="33"/>
      <c r="F239" s="33"/>
      <c r="G239" s="33"/>
      <c r="H239" s="79"/>
    </row>
    <row r="240" spans="1:8" ht="25.8">
      <c r="A240" s="76"/>
      <c r="B240" s="8"/>
      <c r="C240" s="34"/>
      <c r="D240" s="34"/>
      <c r="E240" s="33"/>
      <c r="F240" s="33"/>
      <c r="G240" s="33"/>
      <c r="H240" s="79"/>
    </row>
    <row r="241" spans="1:8" ht="25.8">
      <c r="A241" s="76"/>
      <c r="B241" s="8"/>
      <c r="C241" s="34"/>
      <c r="D241" s="34"/>
      <c r="E241" s="33"/>
      <c r="F241" s="33"/>
      <c r="G241" s="33"/>
      <c r="H241" s="79"/>
    </row>
    <row r="242" spans="1:8" ht="25.8">
      <c r="A242" s="76"/>
      <c r="B242" s="8"/>
      <c r="C242" s="34"/>
      <c r="D242" s="34"/>
      <c r="E242" s="33"/>
      <c r="F242" s="33"/>
      <c r="G242" s="33"/>
      <c r="H242" s="79"/>
    </row>
    <row r="243" spans="1:8" ht="25.8">
      <c r="A243" s="76"/>
      <c r="B243" s="8"/>
      <c r="C243" s="34"/>
      <c r="D243" s="34"/>
      <c r="E243" s="33"/>
      <c r="F243" s="33"/>
      <c r="G243" s="33"/>
      <c r="H243" s="79"/>
    </row>
    <row r="244" spans="1:8" ht="25.8">
      <c r="A244" s="33"/>
      <c r="B244" s="8"/>
      <c r="C244" s="34"/>
      <c r="D244" s="34"/>
      <c r="E244" s="33"/>
      <c r="F244" s="33"/>
      <c r="G244" s="33"/>
      <c r="H244" s="79"/>
    </row>
    <row r="245" spans="1:8" ht="25.8">
      <c r="A245" s="33"/>
      <c r="B245" s="8"/>
      <c r="C245" s="34"/>
      <c r="D245" s="34"/>
      <c r="E245" s="33"/>
      <c r="F245" s="33"/>
      <c r="G245" s="33"/>
      <c r="H245" s="79"/>
    </row>
    <row r="246" spans="1:8" ht="25.8">
      <c r="A246" s="33"/>
      <c r="B246" s="8"/>
      <c r="C246" s="34"/>
      <c r="D246" s="34"/>
      <c r="E246" s="33"/>
      <c r="F246" s="33"/>
      <c r="G246" s="33"/>
      <c r="H246" s="79"/>
    </row>
    <row r="247" spans="1:8" ht="25.8">
      <c r="A247" s="33"/>
      <c r="B247" s="8"/>
      <c r="C247" s="34"/>
      <c r="D247" s="34"/>
      <c r="E247" s="33"/>
      <c r="F247" s="33"/>
      <c r="G247" s="33"/>
      <c r="H247" s="79"/>
    </row>
    <row r="248" spans="1:8" ht="25.8">
      <c r="A248" s="33"/>
      <c r="B248" s="8"/>
      <c r="C248" s="34"/>
      <c r="D248" s="34"/>
      <c r="E248" s="33"/>
      <c r="F248" s="33"/>
      <c r="G248" s="33"/>
      <c r="H248" s="79"/>
    </row>
    <row r="249" spans="1:8" ht="25.8">
      <c r="A249" s="33"/>
      <c r="B249" s="8"/>
      <c r="C249" s="34"/>
      <c r="D249" s="34"/>
      <c r="E249" s="33"/>
      <c r="F249" s="33"/>
      <c r="G249" s="33"/>
      <c r="H249" s="79"/>
    </row>
    <row r="250" spans="1:8" ht="25.8">
      <c r="A250" s="33"/>
      <c r="B250" s="8"/>
      <c r="C250" s="34"/>
      <c r="D250" s="34"/>
      <c r="E250" s="33"/>
      <c r="F250" s="33"/>
      <c r="G250" s="33"/>
      <c r="H250" s="79"/>
    </row>
    <row r="251" spans="1:8" ht="25.8">
      <c r="A251" s="33"/>
      <c r="B251" s="8"/>
      <c r="C251" s="34"/>
      <c r="D251" s="34"/>
      <c r="E251" s="33"/>
      <c r="F251" s="33"/>
      <c r="G251" s="33"/>
      <c r="H251" s="79"/>
    </row>
    <row r="252" spans="1:8" ht="25.8">
      <c r="A252" s="33"/>
      <c r="B252" s="8"/>
      <c r="C252" s="34"/>
      <c r="D252" s="34"/>
      <c r="E252" s="33"/>
      <c r="F252" s="33"/>
      <c r="G252" s="33"/>
      <c r="H252" s="79"/>
    </row>
    <row r="253" spans="1:8" ht="25.8">
      <c r="A253" s="33"/>
      <c r="B253" s="8"/>
      <c r="C253" s="34"/>
      <c r="D253" s="34"/>
      <c r="E253" s="33"/>
      <c r="F253" s="33"/>
      <c r="G253" s="33"/>
      <c r="H253" s="79"/>
    </row>
    <row r="254" spans="1:8" ht="25.8">
      <c r="A254" s="33"/>
      <c r="B254" s="8"/>
      <c r="C254" s="34"/>
      <c r="D254" s="34"/>
      <c r="E254" s="33"/>
      <c r="F254" s="33"/>
      <c r="G254" s="33"/>
      <c r="H254" s="79"/>
    </row>
    <row r="255" spans="1:8" ht="25.8">
      <c r="A255" s="33"/>
      <c r="B255" s="8"/>
      <c r="C255" s="34"/>
      <c r="D255" s="34"/>
      <c r="E255" s="33"/>
      <c r="F255" s="33"/>
      <c r="G255" s="33"/>
      <c r="H255" s="79"/>
    </row>
    <row r="256" spans="1:8" ht="25.8">
      <c r="A256" s="33"/>
      <c r="B256" s="8"/>
      <c r="C256" s="34"/>
      <c r="D256" s="34"/>
      <c r="E256" s="33"/>
      <c r="F256" s="33"/>
      <c r="G256" s="33"/>
      <c r="H256" s="79"/>
    </row>
    <row r="257" spans="1:8" ht="25.8">
      <c r="A257" s="33"/>
      <c r="B257" s="8"/>
      <c r="C257" s="34"/>
      <c r="D257" s="34"/>
      <c r="E257" s="33"/>
      <c r="F257" s="33"/>
      <c r="G257" s="33"/>
      <c r="H257" s="79"/>
    </row>
    <row r="258" spans="1:8" ht="25.8">
      <c r="A258" s="33"/>
      <c r="B258" s="8"/>
      <c r="C258" s="34"/>
      <c r="D258" s="34"/>
      <c r="E258" s="33"/>
      <c r="F258" s="33"/>
      <c r="G258" s="33"/>
      <c r="H258" s="79"/>
    </row>
    <row r="259" spans="1:8" ht="25.8">
      <c r="A259" s="33"/>
      <c r="B259" s="8"/>
      <c r="C259" s="34"/>
      <c r="D259" s="34"/>
      <c r="E259" s="33"/>
      <c r="F259" s="33"/>
      <c r="G259" s="33"/>
      <c r="H259" s="79"/>
    </row>
    <row r="260" spans="1:8" ht="25.8">
      <c r="A260" s="33"/>
      <c r="B260" s="8"/>
      <c r="C260" s="34"/>
      <c r="D260" s="34"/>
      <c r="E260" s="33"/>
      <c r="F260" s="33"/>
      <c r="G260" s="33"/>
      <c r="H260" s="79"/>
    </row>
    <row r="261" spans="1:8" ht="25.8">
      <c r="A261" s="33"/>
      <c r="B261" s="8"/>
      <c r="C261" s="34"/>
      <c r="D261" s="34"/>
      <c r="E261" s="33"/>
      <c r="F261" s="33"/>
      <c r="G261" s="33"/>
      <c r="H261" s="79"/>
    </row>
    <row r="262" spans="1:8" ht="25.8">
      <c r="A262" s="33"/>
      <c r="B262" s="8"/>
      <c r="C262" s="34"/>
      <c r="D262" s="34"/>
      <c r="E262" s="33"/>
      <c r="F262" s="33"/>
      <c r="G262" s="33"/>
      <c r="H262" s="79"/>
    </row>
    <row r="263" spans="1:8" ht="25.8">
      <c r="A263" s="33"/>
      <c r="B263" s="8"/>
      <c r="C263" s="34"/>
      <c r="D263" s="34"/>
      <c r="E263" s="33"/>
      <c r="F263" s="33"/>
      <c r="G263" s="33"/>
      <c r="H263" s="79"/>
    </row>
    <row r="264" spans="1:8" ht="25.8">
      <c r="A264" s="33"/>
      <c r="B264" s="8"/>
      <c r="C264" s="34"/>
      <c r="D264" s="34"/>
      <c r="E264" s="33"/>
      <c r="F264" s="33"/>
      <c r="G264" s="33"/>
      <c r="H264" s="79"/>
    </row>
    <row r="265" spans="1:8" ht="25.8">
      <c r="A265" s="33"/>
      <c r="B265" s="8"/>
      <c r="C265" s="34"/>
      <c r="D265" s="34"/>
      <c r="E265" s="33"/>
      <c r="F265" s="33"/>
      <c r="G265" s="33"/>
      <c r="H265" s="79"/>
    </row>
    <row r="266" spans="1:8" ht="25.8">
      <c r="A266" s="33"/>
      <c r="B266" s="8"/>
      <c r="C266" s="34"/>
      <c r="D266" s="34"/>
      <c r="E266" s="33"/>
      <c r="F266" s="33"/>
      <c r="G266" s="33"/>
      <c r="H266" s="79"/>
    </row>
    <row r="267" spans="1:8" ht="25.8">
      <c r="A267" s="33"/>
      <c r="B267" s="8"/>
      <c r="C267" s="34"/>
      <c r="D267" s="34"/>
      <c r="E267" s="33"/>
      <c r="F267" s="33"/>
      <c r="G267" s="33"/>
      <c r="H267" s="79"/>
    </row>
    <row r="268" spans="1:8" ht="25.8">
      <c r="A268" s="33"/>
      <c r="B268" s="8"/>
      <c r="C268" s="34"/>
      <c r="D268" s="34"/>
      <c r="E268" s="33"/>
      <c r="F268" s="33"/>
      <c r="G268" s="33"/>
      <c r="H268" s="79"/>
    </row>
    <row r="269" spans="1:8" ht="25.8">
      <c r="A269" s="33"/>
      <c r="B269" s="8"/>
      <c r="C269" s="34"/>
      <c r="D269" s="34"/>
      <c r="E269" s="33"/>
      <c r="F269" s="33"/>
      <c r="G269" s="33"/>
      <c r="H269" s="79"/>
    </row>
    <row r="270" spans="1:8" ht="25.8">
      <c r="A270" s="33"/>
      <c r="B270" s="8"/>
      <c r="C270" s="34"/>
      <c r="D270" s="34"/>
      <c r="E270" s="33"/>
      <c r="F270" s="33"/>
      <c r="G270" s="33"/>
      <c r="H270" s="79"/>
    </row>
    <row r="271" spans="1:8" ht="25.8">
      <c r="A271" s="33"/>
      <c r="B271" s="8"/>
      <c r="C271" s="34"/>
      <c r="D271" s="34"/>
      <c r="E271" s="33"/>
      <c r="F271" s="33"/>
      <c r="G271" s="33"/>
      <c r="H271" s="79"/>
    </row>
    <row r="272" spans="1:8" ht="25.8">
      <c r="A272" s="33"/>
      <c r="B272" s="8"/>
      <c r="C272" s="34"/>
      <c r="D272" s="34"/>
      <c r="E272" s="33"/>
      <c r="F272" s="33"/>
      <c r="G272" s="33"/>
      <c r="H272" s="79"/>
    </row>
    <row r="273" spans="1:8" ht="25.8">
      <c r="A273" s="33"/>
      <c r="B273" s="8"/>
      <c r="C273" s="34"/>
      <c r="D273" s="34"/>
      <c r="E273" s="33"/>
      <c r="F273" s="33"/>
      <c r="G273" s="33"/>
      <c r="H273" s="79"/>
    </row>
    <row r="274" spans="1:8" ht="25.8">
      <c r="A274" s="33"/>
      <c r="B274" s="8"/>
      <c r="C274" s="34"/>
      <c r="D274" s="34"/>
      <c r="E274" s="33"/>
      <c r="F274" s="33"/>
      <c r="G274" s="33"/>
      <c r="H274" s="79"/>
    </row>
    <row r="275" spans="1:8" ht="25.8">
      <c r="A275" s="33"/>
      <c r="B275" s="8"/>
      <c r="C275" s="34"/>
      <c r="D275" s="34"/>
      <c r="E275" s="33"/>
      <c r="F275" s="33"/>
      <c r="G275" s="33"/>
      <c r="H275" s="79"/>
    </row>
    <row r="276" spans="1:8" ht="25.8">
      <c r="A276" s="33"/>
      <c r="B276" s="8"/>
      <c r="C276" s="34"/>
      <c r="D276" s="34"/>
      <c r="E276" s="33"/>
      <c r="F276" s="33"/>
      <c r="G276" s="33"/>
      <c r="H276" s="79"/>
    </row>
    <row r="277" spans="1:8" ht="25.8">
      <c r="A277" s="33"/>
      <c r="B277" s="8"/>
      <c r="C277" s="34"/>
      <c r="D277" s="34"/>
      <c r="E277" s="33"/>
      <c r="F277" s="33"/>
      <c r="G277" s="33"/>
      <c r="H277" s="79"/>
    </row>
    <row r="278" spans="1:8" ht="25.8">
      <c r="A278" s="33"/>
      <c r="B278" s="8"/>
      <c r="C278" s="34"/>
      <c r="D278" s="34"/>
      <c r="E278" s="33"/>
      <c r="F278" s="33"/>
      <c r="G278" s="33"/>
      <c r="H278" s="79"/>
    </row>
    <row r="279" spans="1:8" ht="25.8">
      <c r="A279" s="33"/>
      <c r="B279" s="8"/>
      <c r="C279" s="34"/>
      <c r="D279" s="34"/>
      <c r="E279" s="33"/>
      <c r="F279" s="33"/>
      <c r="G279" s="33"/>
      <c r="H279" s="79"/>
    </row>
    <row r="280" spans="1:8" ht="25.8">
      <c r="A280" s="33"/>
      <c r="B280" s="8"/>
      <c r="C280" s="34"/>
      <c r="D280" s="34"/>
      <c r="E280" s="33"/>
      <c r="F280" s="33"/>
      <c r="G280" s="33"/>
      <c r="H280" s="79"/>
    </row>
    <row r="281" spans="1:8" ht="25.8">
      <c r="A281" s="33"/>
      <c r="B281" s="8"/>
      <c r="C281" s="34"/>
      <c r="D281" s="34"/>
      <c r="E281" s="33"/>
      <c r="F281" s="33"/>
      <c r="G281" s="33"/>
      <c r="H281" s="79"/>
    </row>
    <row r="282" spans="1:8" ht="25.8">
      <c r="A282" s="33"/>
      <c r="B282" s="8"/>
      <c r="C282" s="34"/>
      <c r="D282" s="34"/>
      <c r="E282" s="33"/>
      <c r="F282" s="33"/>
      <c r="G282" s="33"/>
      <c r="H282" s="79"/>
    </row>
    <row r="283" spans="1:8" ht="25.8">
      <c r="A283" s="33"/>
      <c r="B283" s="8"/>
      <c r="C283" s="34"/>
      <c r="D283" s="34"/>
      <c r="E283" s="33"/>
      <c r="F283" s="33"/>
      <c r="G283" s="33"/>
      <c r="H283" s="79"/>
    </row>
    <row r="284" spans="1:8" ht="25.8">
      <c r="A284" s="33"/>
      <c r="B284" s="8"/>
      <c r="C284" s="34"/>
      <c r="D284" s="34"/>
      <c r="E284" s="33"/>
      <c r="F284" s="33"/>
      <c r="G284" s="33"/>
      <c r="H284" s="79"/>
    </row>
    <row r="285" spans="1:8" ht="25.8">
      <c r="A285" s="33"/>
      <c r="B285" s="8"/>
      <c r="C285" s="34"/>
      <c r="D285" s="34"/>
      <c r="E285" s="33"/>
      <c r="F285" s="33"/>
      <c r="G285" s="33"/>
      <c r="H285" s="79"/>
    </row>
    <row r="286" spans="1:8" ht="25.8">
      <c r="A286" s="33"/>
      <c r="B286" s="8"/>
      <c r="C286" s="34"/>
      <c r="D286" s="34"/>
      <c r="E286" s="33"/>
      <c r="F286" s="33"/>
      <c r="G286" s="33"/>
      <c r="H286" s="79"/>
    </row>
    <row r="287" spans="1:8" ht="25.8">
      <c r="A287" s="33"/>
      <c r="B287" s="8"/>
      <c r="C287" s="34"/>
      <c r="D287" s="34"/>
      <c r="E287" s="33"/>
      <c r="F287" s="33"/>
      <c r="G287" s="33"/>
      <c r="H287" s="79"/>
    </row>
    <row r="288" spans="1:8" ht="25.8">
      <c r="A288" s="33"/>
      <c r="B288" s="8"/>
      <c r="C288" s="34"/>
      <c r="D288" s="34"/>
      <c r="E288" s="33"/>
      <c r="F288" s="33"/>
      <c r="G288" s="33"/>
      <c r="H288" s="79"/>
    </row>
    <row r="289" spans="1:8" ht="25.8">
      <c r="A289" s="33"/>
      <c r="B289" s="8"/>
      <c r="C289" s="34"/>
      <c r="D289" s="34"/>
      <c r="E289" s="33"/>
      <c r="F289" s="33"/>
      <c r="G289" s="33"/>
      <c r="H289" s="79"/>
    </row>
    <row r="290" spans="1:8" ht="25.8">
      <c r="A290" s="33"/>
      <c r="B290" s="8"/>
      <c r="C290" s="34"/>
      <c r="D290" s="34"/>
      <c r="E290" s="33"/>
      <c r="F290" s="33"/>
      <c r="G290" s="33"/>
      <c r="H290" s="79"/>
    </row>
    <row r="291" spans="1:8" ht="25.8">
      <c r="A291" s="33"/>
      <c r="B291" s="8"/>
      <c r="C291" s="34"/>
      <c r="D291" s="34"/>
      <c r="E291" s="33"/>
      <c r="F291" s="33"/>
      <c r="G291" s="33"/>
      <c r="H291" s="79"/>
    </row>
    <row r="292" spans="1:8" ht="25.8">
      <c r="A292" s="33"/>
      <c r="B292" s="8"/>
      <c r="C292" s="34"/>
      <c r="D292" s="34"/>
      <c r="E292" s="33"/>
      <c r="F292" s="33"/>
      <c r="G292" s="33"/>
      <c r="H292" s="79"/>
    </row>
    <row r="293" spans="1:8" ht="25.8">
      <c r="A293" s="33"/>
      <c r="B293" s="8"/>
      <c r="C293" s="34"/>
      <c r="D293" s="34"/>
      <c r="E293" s="33"/>
      <c r="F293" s="33"/>
      <c r="G293" s="33"/>
      <c r="H293" s="79"/>
    </row>
    <row r="294" spans="1:8" ht="25.8">
      <c r="A294" s="33"/>
      <c r="B294" s="8"/>
      <c r="C294" s="34"/>
      <c r="D294" s="34"/>
      <c r="E294" s="33"/>
      <c r="F294" s="33"/>
      <c r="G294" s="33"/>
      <c r="H294" s="79"/>
    </row>
    <row r="295" spans="1:8" ht="25.8">
      <c r="A295" s="33"/>
      <c r="B295" s="8"/>
      <c r="C295" s="34"/>
      <c r="D295" s="34"/>
      <c r="E295" s="33"/>
      <c r="F295" s="33"/>
      <c r="G295" s="33"/>
      <c r="H295" s="79"/>
    </row>
    <row r="296" spans="1:8" ht="25.8">
      <c r="A296" s="33"/>
      <c r="B296" s="8"/>
      <c r="C296" s="34"/>
      <c r="D296" s="34"/>
      <c r="E296" s="33"/>
      <c r="F296" s="33"/>
      <c r="G296" s="33"/>
      <c r="H296" s="79"/>
    </row>
    <row r="297" spans="1:8" ht="25.8">
      <c r="A297" s="33"/>
      <c r="B297" s="8"/>
      <c r="C297" s="34"/>
      <c r="D297" s="34"/>
      <c r="E297" s="33"/>
      <c r="F297" s="33"/>
      <c r="G297" s="33"/>
      <c r="H297" s="79"/>
    </row>
    <row r="298" spans="1:8" ht="25.8">
      <c r="A298" s="33"/>
      <c r="B298" s="8"/>
      <c r="C298" s="34"/>
      <c r="D298" s="34"/>
      <c r="E298" s="33"/>
      <c r="F298" s="33"/>
      <c r="G298" s="33"/>
      <c r="H298" s="79"/>
    </row>
    <row r="299" spans="1:8" ht="25.8">
      <c r="A299" s="33"/>
      <c r="B299" s="8"/>
      <c r="C299" s="34"/>
      <c r="D299" s="34"/>
      <c r="E299" s="33"/>
      <c r="F299" s="33"/>
      <c r="G299" s="33"/>
      <c r="H299" s="79"/>
    </row>
    <row r="300" spans="1:8" ht="25.8">
      <c r="A300" s="33"/>
      <c r="B300" s="8"/>
      <c r="C300" s="34"/>
      <c r="D300" s="34"/>
      <c r="E300" s="33"/>
      <c r="F300" s="33"/>
      <c r="G300" s="33"/>
      <c r="H300" s="79"/>
    </row>
    <row r="301" spans="1:8" ht="25.8">
      <c r="A301" s="33"/>
      <c r="B301" s="8"/>
      <c r="C301" s="34"/>
      <c r="D301" s="34"/>
      <c r="E301" s="33"/>
      <c r="F301" s="33"/>
      <c r="G301" s="33"/>
      <c r="H301" s="79"/>
    </row>
    <row r="302" spans="1:8" ht="25.8">
      <c r="A302" s="33"/>
      <c r="B302" s="8"/>
      <c r="C302" s="34"/>
      <c r="D302" s="34"/>
      <c r="E302" s="33"/>
      <c r="F302" s="33"/>
      <c r="G302" s="33"/>
      <c r="H302" s="79"/>
    </row>
    <row r="303" spans="1:8" ht="25.8">
      <c r="A303" s="33"/>
      <c r="B303" s="8"/>
      <c r="C303" s="34"/>
      <c r="D303" s="34"/>
      <c r="E303" s="33"/>
      <c r="F303" s="33"/>
      <c r="G303" s="33"/>
      <c r="H303" s="79"/>
    </row>
    <row r="304" spans="1:8" ht="25.8">
      <c r="A304" s="33"/>
      <c r="B304" s="8"/>
      <c r="C304" s="34"/>
      <c r="D304" s="34"/>
      <c r="E304" s="33"/>
      <c r="F304" s="33"/>
      <c r="G304" s="33"/>
      <c r="H304" s="79"/>
    </row>
    <row r="305" spans="1:8" ht="25.8">
      <c r="A305" s="33"/>
      <c r="B305" s="8"/>
      <c r="C305" s="34"/>
      <c r="D305" s="34"/>
      <c r="E305" s="33"/>
      <c r="F305" s="33"/>
      <c r="G305" s="33"/>
      <c r="H305" s="79"/>
    </row>
    <row r="306" spans="1:8" ht="25.8">
      <c r="A306" s="33"/>
      <c r="B306" s="8"/>
      <c r="C306" s="34"/>
      <c r="D306" s="34"/>
      <c r="E306" s="33"/>
      <c r="F306" s="33"/>
      <c r="G306" s="33"/>
      <c r="H306" s="79"/>
    </row>
    <row r="307" spans="1:8" ht="25.8">
      <c r="A307" s="33"/>
      <c r="B307" s="8"/>
      <c r="C307" s="34"/>
      <c r="D307" s="34"/>
      <c r="E307" s="33"/>
      <c r="F307" s="33"/>
      <c r="G307" s="33"/>
      <c r="H307" s="79"/>
    </row>
    <row r="308" spans="1:8" ht="25.8">
      <c r="A308" s="33"/>
      <c r="B308" s="8"/>
      <c r="C308" s="34"/>
      <c r="D308" s="34"/>
      <c r="E308" s="33"/>
      <c r="F308" s="33"/>
      <c r="G308" s="33"/>
      <c r="H308" s="79"/>
    </row>
    <row r="309" spans="1:8" ht="25.8">
      <c r="A309" s="33"/>
      <c r="B309" s="8"/>
      <c r="C309" s="34"/>
      <c r="D309" s="34"/>
      <c r="E309" s="33"/>
      <c r="F309" s="33"/>
      <c r="G309" s="33"/>
      <c r="H309" s="79"/>
    </row>
    <row r="310" spans="1:8" ht="25.8">
      <c r="A310" s="33"/>
      <c r="B310" s="8"/>
      <c r="C310" s="34"/>
      <c r="D310" s="34"/>
      <c r="E310" s="33"/>
      <c r="F310" s="33"/>
      <c r="G310" s="33"/>
      <c r="H310" s="79"/>
    </row>
    <row r="311" spans="1:8" ht="25.8">
      <c r="A311" s="33"/>
      <c r="B311" s="8"/>
      <c r="C311" s="34"/>
      <c r="D311" s="34"/>
      <c r="E311" s="33"/>
      <c r="F311" s="33"/>
      <c r="G311" s="33"/>
      <c r="H311" s="79"/>
    </row>
    <row r="312" spans="1:8" ht="25.8">
      <c r="A312" s="33"/>
      <c r="B312" s="8"/>
      <c r="C312" s="34"/>
      <c r="D312" s="34"/>
      <c r="E312" s="33"/>
      <c r="F312" s="33"/>
      <c r="G312" s="33"/>
      <c r="H312" s="79"/>
    </row>
    <row r="313" spans="1:8" ht="25.8">
      <c r="A313" s="33"/>
      <c r="B313" s="8"/>
      <c r="C313" s="34"/>
      <c r="D313" s="34"/>
      <c r="E313" s="33"/>
      <c r="F313" s="33"/>
      <c r="G313" s="33"/>
      <c r="H313" s="79"/>
    </row>
    <row r="314" spans="1:8" ht="25.8">
      <c r="A314" s="33"/>
      <c r="B314" s="8"/>
      <c r="C314" s="34"/>
      <c r="D314" s="34"/>
      <c r="E314" s="33"/>
      <c r="F314" s="33"/>
      <c r="G314" s="33"/>
      <c r="H314" s="79"/>
    </row>
    <row r="315" spans="1:8" ht="25.8">
      <c r="A315" s="33"/>
      <c r="B315" s="8"/>
      <c r="C315" s="34"/>
      <c r="D315" s="34"/>
      <c r="E315" s="33"/>
      <c r="F315" s="33"/>
      <c r="G315" s="33"/>
      <c r="H315" s="79"/>
    </row>
    <row r="316" spans="1:8" ht="25.8">
      <c r="A316" s="33"/>
      <c r="B316" s="8"/>
      <c r="C316" s="34"/>
      <c r="D316" s="34"/>
      <c r="E316" s="33"/>
      <c r="F316" s="33"/>
      <c r="G316" s="33"/>
      <c r="H316" s="79"/>
    </row>
    <row r="317" spans="1:8" ht="25.8">
      <c r="A317" s="33"/>
      <c r="B317" s="8"/>
      <c r="C317" s="34"/>
      <c r="D317" s="34"/>
      <c r="E317" s="33"/>
      <c r="F317" s="33"/>
      <c r="G317" s="33"/>
      <c r="H317" s="79"/>
    </row>
    <row r="318" spans="1:8" ht="25.8">
      <c r="A318" s="33"/>
      <c r="B318" s="8"/>
      <c r="C318" s="34"/>
      <c r="D318" s="34"/>
      <c r="E318" s="33"/>
      <c r="F318" s="33"/>
      <c r="G318" s="33"/>
      <c r="H318" s="79"/>
    </row>
    <row r="319" spans="1:8" ht="25.8">
      <c r="A319" s="33"/>
      <c r="B319" s="8"/>
      <c r="C319" s="34"/>
      <c r="D319" s="34"/>
      <c r="E319" s="33"/>
      <c r="F319" s="33"/>
      <c r="G319" s="33"/>
      <c r="H319" s="79"/>
    </row>
    <row r="320" spans="1:8" ht="25.8">
      <c r="A320" s="33"/>
      <c r="B320" s="8"/>
      <c r="C320" s="34"/>
      <c r="D320" s="34"/>
      <c r="E320" s="33"/>
      <c r="F320" s="33"/>
      <c r="G320" s="33"/>
      <c r="H320" s="79"/>
    </row>
    <row r="321" spans="1:8" ht="25.8">
      <c r="A321" s="33"/>
      <c r="B321" s="8"/>
      <c r="C321" s="34"/>
      <c r="D321" s="34"/>
      <c r="E321" s="33"/>
      <c r="F321" s="33"/>
      <c r="G321" s="33"/>
      <c r="H321" s="79"/>
    </row>
    <row r="322" spans="1:8" ht="25.8">
      <c r="A322" s="33"/>
      <c r="B322" s="8"/>
      <c r="C322" s="34"/>
      <c r="D322" s="34"/>
      <c r="E322" s="33"/>
      <c r="F322" s="33"/>
      <c r="G322" s="33"/>
      <c r="H322" s="79"/>
    </row>
    <row r="323" spans="1:8" ht="25.8">
      <c r="A323" s="33"/>
      <c r="B323" s="8"/>
      <c r="C323" s="34"/>
      <c r="D323" s="34"/>
      <c r="E323" s="33"/>
      <c r="F323" s="33"/>
      <c r="G323" s="33"/>
      <c r="H323" s="79"/>
    </row>
    <row r="324" spans="1:8" ht="25.8">
      <c r="A324" s="33"/>
      <c r="B324" s="8"/>
      <c r="C324" s="34"/>
      <c r="D324" s="34"/>
      <c r="E324" s="33"/>
      <c r="F324" s="33"/>
      <c r="G324" s="33"/>
      <c r="H324" s="79"/>
    </row>
    <row r="325" spans="1:8" ht="25.8">
      <c r="A325" s="33"/>
      <c r="B325" s="8"/>
      <c r="C325" s="34"/>
      <c r="D325" s="34"/>
      <c r="E325" s="33"/>
      <c r="F325" s="33"/>
      <c r="G325" s="33"/>
      <c r="H325" s="79"/>
    </row>
    <row r="326" spans="1:8" ht="25.8">
      <c r="A326" s="33"/>
      <c r="B326" s="8"/>
      <c r="C326" s="34"/>
      <c r="D326" s="34"/>
      <c r="E326" s="33"/>
      <c r="F326" s="33"/>
      <c r="G326" s="33"/>
      <c r="H326" s="79"/>
    </row>
    <row r="327" spans="1:8" ht="25.8">
      <c r="A327" s="33"/>
      <c r="B327" s="8"/>
      <c r="C327" s="34"/>
      <c r="D327" s="34"/>
      <c r="E327" s="33"/>
      <c r="F327" s="33"/>
      <c r="G327" s="33"/>
      <c r="H327" s="79"/>
    </row>
    <row r="328" spans="1:8" ht="25.8">
      <c r="A328" s="33"/>
      <c r="B328" s="8"/>
      <c r="C328" s="34"/>
      <c r="D328" s="34"/>
      <c r="E328" s="33"/>
      <c r="F328" s="33"/>
      <c r="G328" s="33"/>
      <c r="H328" s="79"/>
    </row>
    <row r="329" spans="1:8" ht="25.8">
      <c r="A329" s="33"/>
      <c r="B329" s="8"/>
      <c r="C329" s="34"/>
      <c r="D329" s="34"/>
      <c r="E329" s="33"/>
      <c r="F329" s="33"/>
      <c r="G329" s="33"/>
      <c r="H329" s="79"/>
    </row>
    <row r="330" spans="1:8" ht="25.8">
      <c r="A330" s="33"/>
      <c r="B330" s="8"/>
      <c r="C330" s="34"/>
      <c r="D330" s="34"/>
      <c r="E330" s="33"/>
      <c r="F330" s="33"/>
      <c r="G330" s="33"/>
      <c r="H330" s="79"/>
    </row>
    <row r="331" spans="1:8" ht="25.8">
      <c r="A331" s="33"/>
      <c r="B331" s="8"/>
      <c r="C331" s="34"/>
      <c r="D331" s="34"/>
      <c r="E331" s="33"/>
      <c r="F331" s="33"/>
      <c r="G331" s="33"/>
      <c r="H331" s="79"/>
    </row>
    <row r="332" spans="1:8" ht="25.8">
      <c r="A332" s="33"/>
      <c r="B332" s="8"/>
      <c r="C332" s="34"/>
      <c r="D332" s="34"/>
      <c r="E332" s="33"/>
      <c r="F332" s="33"/>
      <c r="G332" s="33"/>
      <c r="H332" s="79"/>
    </row>
    <row r="333" spans="1:8" ht="25.8">
      <c r="A333" s="33"/>
      <c r="B333" s="8"/>
      <c r="C333" s="34"/>
      <c r="D333" s="34"/>
      <c r="E333" s="33"/>
      <c r="F333" s="33"/>
      <c r="G333" s="33"/>
      <c r="H333" s="79"/>
    </row>
    <row r="334" spans="1:8" ht="25.8">
      <c r="A334" s="33"/>
      <c r="B334" s="8"/>
      <c r="C334" s="34"/>
      <c r="D334" s="34"/>
      <c r="E334" s="33"/>
      <c r="F334" s="33"/>
      <c r="G334" s="33"/>
      <c r="H334" s="79"/>
    </row>
    <row r="335" spans="1:8" ht="25.8">
      <c r="A335" s="33"/>
      <c r="B335" s="8"/>
      <c r="C335" s="34"/>
      <c r="D335" s="34"/>
      <c r="E335" s="33"/>
      <c r="F335" s="33"/>
      <c r="G335" s="33"/>
      <c r="H335" s="79"/>
    </row>
    <row r="336" spans="1:8" ht="25.8">
      <c r="A336" s="33"/>
      <c r="B336" s="8"/>
      <c r="C336" s="34"/>
      <c r="D336" s="34"/>
      <c r="E336" s="33"/>
      <c r="F336" s="33"/>
      <c r="G336" s="33"/>
      <c r="H336" s="79"/>
    </row>
    <row r="337" spans="1:8" ht="25.8">
      <c r="A337" s="33"/>
      <c r="B337" s="8"/>
      <c r="C337" s="34"/>
      <c r="D337" s="34"/>
      <c r="E337" s="33"/>
      <c r="F337" s="33"/>
      <c r="G337" s="33"/>
      <c r="H337" s="79"/>
    </row>
    <row r="338" spans="1:8" ht="25.8">
      <c r="A338" s="33"/>
      <c r="B338" s="8"/>
      <c r="C338" s="34"/>
      <c r="D338" s="34"/>
      <c r="E338" s="33"/>
      <c r="F338" s="33"/>
      <c r="G338" s="33"/>
      <c r="H338" s="79"/>
    </row>
    <row r="339" spans="1:8" ht="25.8">
      <c r="A339" s="33"/>
      <c r="B339" s="8"/>
      <c r="C339" s="34"/>
      <c r="D339" s="34"/>
      <c r="E339" s="33"/>
      <c r="F339" s="33"/>
      <c r="G339" s="33"/>
      <c r="H339" s="79"/>
    </row>
    <row r="340" spans="1:8" ht="25.8">
      <c r="A340" s="33"/>
      <c r="B340" s="8"/>
      <c r="C340" s="34"/>
      <c r="D340" s="34"/>
      <c r="E340" s="33"/>
      <c r="F340" s="33"/>
      <c r="G340" s="33"/>
      <c r="H340" s="79"/>
    </row>
    <row r="341" spans="1:8" ht="25.8">
      <c r="A341" s="33"/>
      <c r="B341" s="8"/>
      <c r="C341" s="34"/>
      <c r="D341" s="34"/>
      <c r="E341" s="33"/>
      <c r="F341" s="33"/>
      <c r="G341" s="33"/>
      <c r="H341" s="79"/>
    </row>
    <row r="342" spans="1:8" ht="25.8">
      <c r="A342" s="33"/>
      <c r="B342" s="8"/>
      <c r="C342" s="34"/>
      <c r="D342" s="34"/>
      <c r="E342" s="33"/>
      <c r="F342" s="33"/>
      <c r="G342" s="33"/>
      <c r="H342" s="79"/>
    </row>
    <row r="343" spans="1:8" ht="25.8">
      <c r="A343" s="33"/>
      <c r="B343" s="8"/>
      <c r="C343" s="34"/>
      <c r="D343" s="34"/>
      <c r="E343" s="33"/>
      <c r="F343" s="33"/>
      <c r="G343" s="33"/>
      <c r="H343" s="79"/>
    </row>
    <row r="344" spans="1:8" ht="25.8">
      <c r="A344" s="33"/>
      <c r="B344" s="8"/>
      <c r="C344" s="34"/>
      <c r="D344" s="34"/>
      <c r="E344" s="33"/>
      <c r="F344" s="33"/>
      <c r="G344" s="33"/>
      <c r="H344" s="79"/>
    </row>
    <row r="345" spans="1:8" ht="25.8">
      <c r="A345" s="33"/>
      <c r="B345" s="8"/>
      <c r="C345" s="34"/>
      <c r="D345" s="34"/>
      <c r="E345" s="33"/>
      <c r="F345" s="33"/>
      <c r="G345" s="33"/>
      <c r="H345" s="79"/>
    </row>
    <row r="346" spans="1:8" ht="25.8">
      <c r="A346" s="33"/>
      <c r="B346" s="8"/>
      <c r="C346" s="34"/>
      <c r="D346" s="34"/>
      <c r="E346" s="33"/>
      <c r="F346" s="33"/>
      <c r="G346" s="33"/>
      <c r="H346" s="79"/>
    </row>
    <row r="347" spans="1:8" ht="25.8">
      <c r="A347" s="33"/>
      <c r="B347" s="8"/>
      <c r="C347" s="34"/>
      <c r="D347" s="34"/>
      <c r="E347" s="33"/>
      <c r="F347" s="33"/>
      <c r="G347" s="33"/>
      <c r="H347" s="79"/>
    </row>
    <row r="348" spans="1:8" ht="25.8">
      <c r="A348" s="33"/>
      <c r="B348" s="8"/>
      <c r="C348" s="34"/>
      <c r="D348" s="34"/>
      <c r="E348" s="33"/>
      <c r="F348" s="33"/>
      <c r="G348" s="33"/>
      <c r="H348" s="79"/>
    </row>
    <row r="349" spans="1:8" ht="25.8">
      <c r="A349" s="33"/>
      <c r="B349" s="8"/>
      <c r="C349" s="34"/>
      <c r="D349" s="34"/>
      <c r="E349" s="33"/>
      <c r="F349" s="33"/>
      <c r="G349" s="33"/>
      <c r="H349" s="79"/>
    </row>
    <row r="350" spans="1:8" ht="25.8">
      <c r="A350" s="33"/>
      <c r="B350" s="8"/>
      <c r="C350" s="34"/>
      <c r="D350" s="34"/>
      <c r="E350" s="33"/>
      <c r="F350" s="33"/>
      <c r="G350" s="33"/>
      <c r="H350" s="79"/>
    </row>
    <row r="351" spans="1:8" ht="25.8">
      <c r="A351" s="33"/>
      <c r="B351" s="8"/>
      <c r="C351" s="34"/>
      <c r="D351" s="34"/>
      <c r="E351" s="33"/>
      <c r="F351" s="33"/>
      <c r="G351" s="33"/>
      <c r="H351" s="79"/>
    </row>
    <row r="352" spans="1:8" ht="25.8">
      <c r="A352" s="33"/>
      <c r="B352" s="8"/>
      <c r="C352" s="34"/>
      <c r="D352" s="34"/>
      <c r="E352" s="33"/>
      <c r="F352" s="33"/>
      <c r="G352" s="33"/>
      <c r="H352" s="79"/>
    </row>
    <row r="353" spans="1:8" ht="25.8">
      <c r="A353" s="33"/>
      <c r="B353" s="8"/>
      <c r="C353" s="34"/>
      <c r="D353" s="34"/>
      <c r="E353" s="33"/>
      <c r="F353" s="33"/>
      <c r="G353" s="33"/>
      <c r="H353" s="79"/>
    </row>
    <row r="354" spans="1:8" ht="25.8">
      <c r="A354" s="33"/>
      <c r="B354" s="8"/>
      <c r="C354" s="34"/>
      <c r="D354" s="34"/>
      <c r="E354" s="33"/>
      <c r="F354" s="33"/>
      <c r="G354" s="33"/>
      <c r="H354" s="79"/>
    </row>
    <row r="355" spans="1:8" ht="25.8">
      <c r="A355" s="33"/>
      <c r="B355" s="8"/>
      <c r="C355" s="34"/>
      <c r="D355" s="34"/>
      <c r="E355" s="33"/>
      <c r="F355" s="33"/>
      <c r="G355" s="33"/>
      <c r="H355" s="79"/>
    </row>
    <row r="356" spans="1:8" ht="25.8">
      <c r="A356" s="33"/>
      <c r="B356" s="8"/>
      <c r="C356" s="34"/>
      <c r="D356" s="34"/>
      <c r="E356" s="33"/>
      <c r="F356" s="33"/>
      <c r="G356" s="33"/>
      <c r="H356" s="79"/>
    </row>
    <row r="357" spans="1:8" ht="25.8">
      <c r="A357" s="33"/>
      <c r="B357" s="8"/>
      <c r="C357" s="34"/>
      <c r="D357" s="34"/>
      <c r="E357" s="33"/>
      <c r="F357" s="33"/>
      <c r="G357" s="33"/>
      <c r="H357" s="79"/>
    </row>
    <row r="358" spans="1:8" ht="25.8">
      <c r="A358" s="33"/>
      <c r="B358" s="8"/>
      <c r="C358" s="34"/>
      <c r="D358" s="34"/>
      <c r="E358" s="33"/>
      <c r="F358" s="33"/>
      <c r="G358" s="33"/>
      <c r="H358" s="79"/>
    </row>
    <row r="359" spans="1:8" ht="25.8">
      <c r="A359" s="33"/>
      <c r="B359" s="8"/>
      <c r="C359" s="34"/>
      <c r="D359" s="34"/>
      <c r="E359" s="33"/>
      <c r="F359" s="33"/>
      <c r="G359" s="33"/>
      <c r="H359" s="79"/>
    </row>
    <row r="360" spans="1:8" ht="25.8">
      <c r="A360" s="33"/>
      <c r="B360" s="8"/>
      <c r="C360" s="34"/>
      <c r="D360" s="34"/>
      <c r="E360" s="33"/>
      <c r="F360" s="33"/>
      <c r="G360" s="33"/>
      <c r="H360" s="79"/>
    </row>
    <row r="361" spans="1:8" ht="25.8">
      <c r="A361" s="33"/>
      <c r="B361" s="8"/>
      <c r="C361" s="34"/>
      <c r="D361" s="34"/>
      <c r="E361" s="33"/>
      <c r="F361" s="33"/>
      <c r="G361" s="33"/>
      <c r="H361" s="79"/>
    </row>
    <row r="362" spans="1:8" ht="25.8">
      <c r="A362" s="33"/>
      <c r="B362" s="8"/>
      <c r="C362" s="34"/>
      <c r="D362" s="34"/>
      <c r="E362" s="33"/>
      <c r="F362" s="33"/>
      <c r="G362" s="33"/>
      <c r="H362" s="79"/>
    </row>
    <row r="363" spans="1:8" ht="25.8">
      <c r="A363" s="33"/>
      <c r="B363" s="8"/>
      <c r="C363" s="34"/>
      <c r="D363" s="34"/>
      <c r="E363" s="33"/>
      <c r="F363" s="33"/>
      <c r="G363" s="33"/>
      <c r="H363" s="79"/>
    </row>
    <row r="364" spans="1:8" ht="25.8">
      <c r="A364" s="33"/>
      <c r="B364" s="8"/>
      <c r="C364" s="34"/>
      <c r="D364" s="34"/>
      <c r="E364" s="33"/>
      <c r="F364" s="33"/>
      <c r="G364" s="33"/>
      <c r="H364" s="79"/>
    </row>
    <row r="365" spans="1:8" ht="25.8">
      <c r="A365" s="33"/>
      <c r="B365" s="8"/>
      <c r="C365" s="34"/>
      <c r="D365" s="34"/>
      <c r="E365" s="33"/>
      <c r="F365" s="33"/>
      <c r="G365" s="33"/>
      <c r="H365" s="79"/>
    </row>
    <row r="366" spans="1:8" ht="25.8">
      <c r="A366" s="33"/>
      <c r="B366" s="8"/>
      <c r="C366" s="34"/>
      <c r="D366" s="34"/>
      <c r="E366" s="33"/>
      <c r="F366" s="33"/>
      <c r="G366" s="33"/>
      <c r="H366" s="79"/>
    </row>
    <row r="367" spans="1:8" ht="25.8">
      <c r="A367" s="33"/>
      <c r="B367" s="8"/>
      <c r="C367" s="34"/>
      <c r="D367" s="34"/>
      <c r="E367" s="33"/>
      <c r="F367" s="33"/>
      <c r="G367" s="33"/>
      <c r="H367" s="79"/>
    </row>
    <row r="368" spans="1:8" ht="25.8">
      <c r="A368" s="33"/>
      <c r="B368" s="8"/>
      <c r="C368" s="34"/>
      <c r="D368" s="34"/>
      <c r="E368" s="33"/>
      <c r="F368" s="33"/>
      <c r="G368" s="33"/>
      <c r="H368" s="79"/>
    </row>
    <row r="369" spans="1:8" ht="25.8">
      <c r="A369" s="33"/>
      <c r="B369" s="8"/>
      <c r="C369" s="34"/>
      <c r="D369" s="34"/>
      <c r="E369" s="33"/>
      <c r="F369" s="33"/>
      <c r="G369" s="33"/>
      <c r="H369" s="79"/>
    </row>
    <row r="370" spans="1:8" ht="25.8">
      <c r="A370" s="33"/>
      <c r="B370" s="8"/>
      <c r="C370" s="34"/>
      <c r="D370" s="34"/>
      <c r="E370" s="33"/>
      <c r="F370" s="33"/>
      <c r="G370" s="33"/>
      <c r="H370" s="79"/>
    </row>
    <row r="371" spans="1:8" ht="25.8">
      <c r="A371" s="33"/>
      <c r="B371" s="8"/>
      <c r="C371" s="34"/>
      <c r="D371" s="34"/>
      <c r="E371" s="33"/>
      <c r="F371" s="33"/>
      <c r="G371" s="33"/>
      <c r="H371" s="79"/>
    </row>
    <row r="372" spans="1:8" ht="25.8">
      <c r="A372" s="33"/>
      <c r="B372" s="8"/>
      <c r="C372" s="34"/>
      <c r="D372" s="34"/>
      <c r="E372" s="33"/>
      <c r="F372" s="33"/>
      <c r="G372" s="33"/>
      <c r="H372" s="79"/>
    </row>
    <row r="373" spans="1:8" ht="25.8">
      <c r="A373" s="33"/>
      <c r="B373" s="8"/>
      <c r="C373" s="34"/>
      <c r="D373" s="34"/>
      <c r="E373" s="33"/>
      <c r="F373" s="33"/>
      <c r="G373" s="33"/>
      <c r="H373" s="79"/>
    </row>
    <row r="374" spans="1:8" ht="25.8">
      <c r="A374" s="33"/>
      <c r="B374" s="8"/>
      <c r="C374" s="34"/>
      <c r="D374" s="34"/>
      <c r="E374" s="33"/>
      <c r="F374" s="33"/>
      <c r="G374" s="33"/>
      <c r="H374" s="79"/>
    </row>
    <row r="375" spans="1:8" ht="25.8">
      <c r="A375" s="33"/>
      <c r="B375" s="8"/>
      <c r="C375" s="34"/>
      <c r="D375" s="34"/>
      <c r="E375" s="33"/>
      <c r="F375" s="33"/>
      <c r="G375" s="33"/>
      <c r="H375" s="79"/>
    </row>
    <row r="376" spans="1:8" ht="25.8">
      <c r="A376" s="33"/>
      <c r="B376" s="8"/>
      <c r="C376" s="34"/>
      <c r="D376" s="34"/>
      <c r="E376" s="33"/>
      <c r="F376" s="33"/>
      <c r="G376" s="33"/>
      <c r="H376" s="79"/>
    </row>
    <row r="377" spans="1:8" ht="25.8">
      <c r="A377" s="33"/>
      <c r="B377" s="8"/>
      <c r="C377" s="34"/>
      <c r="D377" s="34"/>
      <c r="E377" s="33"/>
      <c r="F377" s="33"/>
      <c r="G377" s="33"/>
      <c r="H377" s="79"/>
    </row>
    <row r="378" spans="1:8" ht="25.8">
      <c r="A378" s="33"/>
      <c r="B378" s="8"/>
      <c r="C378" s="34"/>
      <c r="D378" s="34"/>
      <c r="E378" s="33"/>
      <c r="F378" s="33"/>
      <c r="G378" s="33"/>
      <c r="H378" s="79"/>
    </row>
    <row r="379" spans="1:8" ht="25.8">
      <c r="A379" s="33"/>
      <c r="B379" s="8"/>
      <c r="C379" s="34"/>
      <c r="D379" s="34"/>
      <c r="E379" s="33"/>
      <c r="F379" s="33"/>
      <c r="G379" s="33"/>
      <c r="H379" s="79"/>
    </row>
    <row r="380" spans="1:8" ht="25.8">
      <c r="A380" s="33"/>
      <c r="B380" s="8"/>
      <c r="C380" s="34"/>
      <c r="D380" s="34"/>
      <c r="E380" s="33"/>
      <c r="F380" s="33"/>
      <c r="G380" s="33"/>
      <c r="H380" s="79"/>
    </row>
    <row r="381" spans="1:8" ht="25.8">
      <c r="A381" s="33"/>
      <c r="B381" s="8"/>
      <c r="C381" s="34"/>
      <c r="D381" s="34"/>
      <c r="E381" s="33"/>
      <c r="F381" s="33"/>
      <c r="G381" s="33"/>
      <c r="H381" s="79"/>
    </row>
    <row r="382" spans="1:8" ht="25.8">
      <c r="A382" s="33"/>
      <c r="B382" s="8"/>
      <c r="C382" s="34"/>
      <c r="D382" s="34"/>
      <c r="E382" s="33"/>
      <c r="F382" s="33"/>
      <c r="G382" s="33"/>
      <c r="H382" s="79"/>
    </row>
    <row r="383" spans="1:8" ht="25.8">
      <c r="A383" s="33"/>
      <c r="B383" s="8"/>
      <c r="C383" s="34"/>
      <c r="D383" s="34"/>
      <c r="E383" s="33"/>
      <c r="F383" s="33"/>
      <c r="G383" s="33"/>
      <c r="H383" s="79"/>
    </row>
    <row r="384" spans="1:8" ht="25.8">
      <c r="A384" s="33"/>
      <c r="B384" s="8"/>
      <c r="C384" s="34"/>
      <c r="D384" s="34"/>
      <c r="E384" s="33"/>
      <c r="F384" s="33"/>
      <c r="G384" s="33"/>
      <c r="H384" s="79"/>
    </row>
    <row r="385" spans="1:8" ht="25.8">
      <c r="A385" s="33"/>
      <c r="B385" s="8"/>
      <c r="C385" s="34"/>
      <c r="D385" s="34"/>
      <c r="E385" s="33"/>
      <c r="F385" s="33"/>
      <c r="G385" s="33"/>
      <c r="H385" s="79"/>
    </row>
    <row r="386" spans="1:8" ht="25.8">
      <c r="A386" s="33"/>
      <c r="B386" s="8"/>
      <c r="C386" s="34"/>
      <c r="D386" s="34"/>
      <c r="E386" s="33"/>
      <c r="F386" s="33"/>
      <c r="G386" s="33"/>
      <c r="H386" s="79"/>
    </row>
    <row r="387" spans="1:8" ht="25.8">
      <c r="A387" s="33"/>
      <c r="B387" s="8"/>
      <c r="C387" s="34"/>
      <c r="D387" s="34"/>
      <c r="E387" s="33"/>
      <c r="F387" s="33"/>
      <c r="G387" s="33"/>
      <c r="H387" s="79"/>
    </row>
    <row r="388" spans="1:8" ht="25.8">
      <c r="A388" s="33"/>
      <c r="B388" s="8"/>
      <c r="C388" s="34"/>
      <c r="D388" s="34"/>
      <c r="E388" s="33"/>
      <c r="F388" s="33"/>
      <c r="G388" s="33"/>
      <c r="H388" s="79"/>
    </row>
    <row r="389" spans="1:8" ht="25.8">
      <c r="A389" s="33"/>
      <c r="B389" s="8"/>
      <c r="C389" s="34"/>
      <c r="D389" s="34"/>
      <c r="E389" s="33"/>
      <c r="F389" s="33"/>
      <c r="G389" s="33"/>
      <c r="H389" s="79"/>
    </row>
    <row r="390" spans="1:8" ht="25.8">
      <c r="A390" s="33"/>
      <c r="B390" s="8"/>
      <c r="C390" s="34"/>
      <c r="D390" s="34"/>
      <c r="E390" s="33"/>
      <c r="F390" s="33"/>
      <c r="G390" s="33"/>
      <c r="H390" s="79"/>
    </row>
    <row r="391" spans="1:8" ht="25.8">
      <c r="A391" s="33"/>
      <c r="B391" s="8"/>
      <c r="C391" s="34"/>
      <c r="D391" s="34"/>
      <c r="E391" s="33"/>
      <c r="F391" s="33"/>
      <c r="G391" s="33"/>
      <c r="H391" s="79"/>
    </row>
    <row r="392" spans="1:8" ht="25.8">
      <c r="A392" s="33"/>
      <c r="B392" s="8"/>
      <c r="C392" s="34"/>
      <c r="D392" s="34"/>
      <c r="E392" s="33"/>
      <c r="F392" s="33"/>
      <c r="G392" s="33"/>
      <c r="H392" s="79"/>
    </row>
    <row r="393" spans="1:8" ht="25.8">
      <c r="A393" s="33"/>
      <c r="B393" s="8"/>
      <c r="C393" s="34"/>
      <c r="D393" s="34"/>
      <c r="E393" s="33"/>
      <c r="F393" s="33"/>
      <c r="G393" s="33"/>
      <c r="H393" s="79"/>
    </row>
    <row r="394" spans="1:8" ht="25.8">
      <c r="A394" s="33"/>
      <c r="B394" s="8"/>
      <c r="C394" s="34"/>
      <c r="D394" s="34"/>
      <c r="E394" s="33"/>
      <c r="F394" s="33"/>
      <c r="G394" s="33"/>
      <c r="H394" s="79"/>
    </row>
    <row r="395" spans="1:8" ht="25.8">
      <c r="A395" s="33"/>
      <c r="B395" s="8"/>
      <c r="C395" s="34"/>
      <c r="D395" s="34"/>
      <c r="E395" s="33"/>
      <c r="F395" s="33"/>
      <c r="G395" s="33"/>
      <c r="H395" s="79"/>
    </row>
    <row r="396" spans="1:8" ht="25.8">
      <c r="A396" s="33"/>
      <c r="B396" s="8"/>
      <c r="C396" s="34"/>
      <c r="D396" s="34"/>
      <c r="E396" s="33"/>
      <c r="F396" s="33"/>
      <c r="G396" s="33"/>
      <c r="H396" s="79"/>
    </row>
    <row r="397" spans="1:8" ht="25.8">
      <c r="A397" s="33"/>
      <c r="B397" s="8"/>
      <c r="C397" s="34"/>
      <c r="D397" s="34"/>
      <c r="E397" s="33"/>
      <c r="F397" s="33"/>
      <c r="G397" s="33"/>
      <c r="H397" s="79"/>
    </row>
    <row r="398" spans="1:8" ht="25.8">
      <c r="A398" s="33"/>
      <c r="B398" s="8"/>
      <c r="C398" s="34"/>
      <c r="D398" s="34"/>
      <c r="E398" s="33"/>
      <c r="F398" s="33"/>
      <c r="G398" s="33"/>
      <c r="H398" s="79"/>
    </row>
    <row r="399" spans="1:8" ht="25.8">
      <c r="A399" s="33"/>
      <c r="B399" s="8"/>
      <c r="C399" s="34"/>
      <c r="D399" s="34"/>
      <c r="E399" s="33"/>
      <c r="F399" s="33"/>
      <c r="G399" s="33"/>
      <c r="H399" s="79"/>
    </row>
    <row r="400" spans="1:8" ht="25.8">
      <c r="A400" s="33"/>
      <c r="B400" s="8"/>
      <c r="C400" s="34"/>
      <c r="D400" s="34"/>
      <c r="E400" s="33"/>
      <c r="F400" s="33"/>
      <c r="G400" s="33"/>
      <c r="H400" s="79"/>
    </row>
    <row r="401" spans="1:8" ht="25.8">
      <c r="A401" s="33"/>
      <c r="B401" s="8"/>
      <c r="C401" s="34"/>
      <c r="D401" s="34"/>
      <c r="E401" s="33"/>
      <c r="F401" s="33"/>
      <c r="G401" s="33"/>
      <c r="H401" s="79"/>
    </row>
    <row r="402" spans="1:8" ht="25.8">
      <c r="A402" s="33"/>
      <c r="B402" s="8"/>
      <c r="C402" s="34"/>
      <c r="D402" s="34"/>
      <c r="E402" s="33"/>
      <c r="F402" s="33"/>
      <c r="G402" s="33"/>
      <c r="H402" s="79"/>
    </row>
    <row r="403" spans="1:8" ht="25.8">
      <c r="A403" s="33"/>
      <c r="B403" s="8"/>
      <c r="C403" s="34"/>
      <c r="D403" s="34"/>
      <c r="E403" s="33"/>
      <c r="F403" s="33"/>
      <c r="G403" s="33"/>
      <c r="H403" s="79"/>
    </row>
    <row r="404" spans="1:8" ht="25.8">
      <c r="A404" s="33"/>
      <c r="B404" s="8"/>
      <c r="C404" s="34"/>
      <c r="D404" s="34"/>
      <c r="E404" s="33"/>
      <c r="F404" s="33"/>
      <c r="G404" s="33"/>
      <c r="H404" s="79"/>
    </row>
    <row r="405" spans="1:8" ht="25.8">
      <c r="A405" s="33"/>
      <c r="B405" s="8"/>
      <c r="C405" s="34"/>
      <c r="D405" s="34"/>
      <c r="E405" s="33"/>
      <c r="F405" s="33"/>
      <c r="G405" s="33"/>
      <c r="H405" s="79"/>
    </row>
    <row r="406" spans="1:8" ht="25.8">
      <c r="A406" s="33"/>
      <c r="B406" s="8"/>
      <c r="C406" s="34"/>
      <c r="D406" s="34"/>
      <c r="E406" s="33"/>
      <c r="F406" s="33"/>
      <c r="G406" s="33"/>
      <c r="H406" s="79"/>
    </row>
    <row r="407" spans="1:8" ht="25.8">
      <c r="A407" s="33"/>
      <c r="B407" s="8"/>
      <c r="C407" s="34"/>
      <c r="D407" s="34"/>
      <c r="E407" s="33"/>
      <c r="F407" s="33"/>
      <c r="G407" s="33"/>
      <c r="H407" s="79"/>
    </row>
    <row r="408" spans="1:8" ht="25.8">
      <c r="A408" s="33"/>
      <c r="B408" s="8"/>
      <c r="C408" s="34"/>
      <c r="D408" s="34"/>
      <c r="E408" s="33"/>
      <c r="F408" s="33"/>
      <c r="G408" s="33"/>
      <c r="H408" s="79"/>
    </row>
    <row r="409" spans="1:8" ht="25.8">
      <c r="A409" s="33"/>
      <c r="B409" s="8"/>
      <c r="C409" s="34"/>
      <c r="D409" s="34"/>
      <c r="E409" s="33"/>
      <c r="F409" s="33"/>
      <c r="G409" s="33"/>
      <c r="H409" s="79"/>
    </row>
    <row r="410" spans="1:8" ht="25.8">
      <c r="A410" s="33"/>
      <c r="B410" s="8"/>
      <c r="C410" s="34"/>
      <c r="D410" s="34"/>
      <c r="E410" s="33"/>
      <c r="F410" s="33"/>
      <c r="G410" s="33"/>
      <c r="H410" s="79"/>
    </row>
    <row r="411" spans="1:8" ht="25.8">
      <c r="A411" s="33"/>
      <c r="B411" s="8"/>
      <c r="C411" s="34"/>
      <c r="D411" s="34"/>
      <c r="E411" s="33"/>
      <c r="F411" s="33"/>
      <c r="G411" s="33"/>
      <c r="H411" s="79"/>
    </row>
    <row r="412" spans="1:8" ht="25.8">
      <c r="A412" s="33"/>
      <c r="B412" s="8"/>
      <c r="C412" s="34"/>
      <c r="D412" s="34"/>
      <c r="E412" s="33"/>
      <c r="F412" s="33"/>
      <c r="G412" s="33"/>
      <c r="H412" s="79"/>
    </row>
    <row r="413" spans="1:8" ht="25.8">
      <c r="A413" s="33"/>
      <c r="B413" s="8"/>
      <c r="C413" s="34"/>
      <c r="D413" s="34"/>
      <c r="E413" s="33"/>
      <c r="F413" s="33"/>
      <c r="G413" s="33"/>
      <c r="H413" s="79"/>
    </row>
    <row r="414" spans="1:8" ht="25.8">
      <c r="A414" s="33"/>
      <c r="B414" s="8"/>
      <c r="C414" s="34"/>
      <c r="D414" s="34"/>
      <c r="E414" s="33"/>
      <c r="F414" s="33"/>
      <c r="G414" s="33"/>
      <c r="H414" s="79"/>
    </row>
    <row r="415" spans="1:8" ht="25.8">
      <c r="A415" s="33"/>
      <c r="B415" s="8"/>
      <c r="C415" s="34"/>
      <c r="D415" s="34"/>
      <c r="E415" s="33"/>
      <c r="F415" s="33"/>
      <c r="G415" s="33"/>
      <c r="H415" s="79"/>
    </row>
    <row r="416" spans="1:8" ht="25.8">
      <c r="A416" s="33"/>
      <c r="B416" s="8"/>
      <c r="C416" s="34"/>
      <c r="D416" s="34"/>
      <c r="E416" s="33"/>
      <c r="F416" s="33"/>
      <c r="G416" s="33"/>
      <c r="H416" s="79"/>
    </row>
    <row r="417" spans="1:8" ht="25.8">
      <c r="A417" s="33"/>
      <c r="B417" s="8"/>
      <c r="C417" s="34"/>
      <c r="D417" s="34"/>
      <c r="E417" s="33"/>
      <c r="F417" s="33"/>
      <c r="G417" s="33"/>
      <c r="H417" s="79"/>
    </row>
    <row r="418" spans="1:8" ht="25.8">
      <c r="A418" s="33"/>
      <c r="B418" s="8"/>
      <c r="C418" s="34"/>
      <c r="D418" s="34"/>
      <c r="E418" s="33"/>
      <c r="F418" s="33"/>
      <c r="G418" s="33"/>
      <c r="H418" s="79"/>
    </row>
    <row r="419" spans="1:8" ht="25.8">
      <c r="A419" s="33"/>
      <c r="B419" s="8"/>
      <c r="C419" s="34"/>
      <c r="D419" s="34"/>
      <c r="E419" s="33"/>
      <c r="F419" s="33"/>
      <c r="G419" s="33"/>
      <c r="H419" s="79"/>
    </row>
    <row r="420" spans="1:8" ht="25.8">
      <c r="A420" s="33"/>
      <c r="B420" s="8"/>
      <c r="C420" s="34"/>
      <c r="D420" s="34"/>
      <c r="E420" s="33"/>
      <c r="F420" s="33"/>
      <c r="G420" s="33"/>
      <c r="H420" s="79"/>
    </row>
    <row r="421" spans="1:8" ht="25.8">
      <c r="A421" s="33"/>
      <c r="B421" s="8"/>
      <c r="C421" s="34"/>
      <c r="D421" s="34"/>
      <c r="E421" s="33"/>
      <c r="F421" s="33"/>
      <c r="G421" s="33"/>
      <c r="H421" s="79"/>
    </row>
    <row r="422" spans="1:8" ht="25.8">
      <c r="A422" s="33"/>
      <c r="B422" s="8"/>
      <c r="C422" s="34"/>
      <c r="D422" s="34"/>
      <c r="E422" s="33"/>
      <c r="F422" s="33"/>
      <c r="G422" s="33"/>
      <c r="H422" s="79"/>
    </row>
    <row r="423" spans="1:8" ht="25.8">
      <c r="A423" s="33"/>
      <c r="B423" s="8"/>
      <c r="C423" s="34"/>
      <c r="D423" s="34"/>
      <c r="E423" s="33"/>
      <c r="F423" s="33"/>
      <c r="G423" s="33"/>
      <c r="H423" s="79"/>
    </row>
    <row r="424" spans="1:8" ht="25.8">
      <c r="A424" s="33"/>
      <c r="B424" s="8"/>
      <c r="C424" s="34"/>
      <c r="D424" s="34"/>
      <c r="E424" s="33"/>
      <c r="F424" s="33"/>
      <c r="G424" s="33"/>
      <c r="H424" s="79"/>
    </row>
    <row r="425" spans="1:8" ht="25.8">
      <c r="A425" s="33"/>
      <c r="B425" s="8"/>
      <c r="C425" s="34"/>
      <c r="D425" s="34"/>
      <c r="E425" s="33"/>
      <c r="F425" s="33"/>
      <c r="G425" s="33"/>
      <c r="H425" s="79"/>
    </row>
    <row r="426" spans="1:8" ht="25.8">
      <c r="A426" s="33"/>
      <c r="B426" s="8"/>
      <c r="C426" s="34"/>
      <c r="D426" s="34"/>
      <c r="E426" s="33"/>
      <c r="F426" s="33"/>
      <c r="G426" s="33"/>
      <c r="H426" s="79"/>
    </row>
    <row r="427" spans="1:8" ht="25.8">
      <c r="A427" s="33"/>
      <c r="B427" s="8"/>
      <c r="C427" s="34"/>
      <c r="D427" s="34"/>
      <c r="E427" s="33"/>
      <c r="F427" s="33"/>
      <c r="G427" s="33"/>
      <c r="H427" s="79"/>
    </row>
    <row r="428" spans="1:8" ht="25.8">
      <c r="A428" s="33"/>
      <c r="B428" s="8"/>
      <c r="C428" s="34"/>
      <c r="D428" s="34"/>
      <c r="E428" s="33"/>
      <c r="F428" s="33"/>
      <c r="G428" s="33"/>
      <c r="H428" s="79"/>
    </row>
    <row r="429" spans="1:8" ht="25.8">
      <c r="A429" s="33"/>
      <c r="B429" s="8"/>
      <c r="C429" s="34"/>
      <c r="D429" s="34"/>
      <c r="E429" s="33"/>
      <c r="F429" s="33"/>
      <c r="G429" s="33"/>
      <c r="H429" s="79"/>
    </row>
    <row r="430" spans="1:8" ht="25.8">
      <c r="A430" s="33"/>
      <c r="B430" s="8"/>
      <c r="C430" s="34"/>
      <c r="D430" s="34"/>
      <c r="E430" s="33"/>
      <c r="F430" s="33"/>
      <c r="G430" s="33"/>
      <c r="H430" s="79"/>
    </row>
    <row r="431" spans="1:8" ht="25.8">
      <c r="A431" s="33"/>
      <c r="B431" s="8"/>
      <c r="C431" s="34"/>
      <c r="D431" s="34"/>
      <c r="E431" s="33"/>
      <c r="F431" s="33"/>
      <c r="G431" s="33"/>
      <c r="H431" s="79"/>
    </row>
    <row r="432" spans="1:8" ht="25.8">
      <c r="A432" s="33"/>
      <c r="B432" s="8"/>
      <c r="C432" s="34"/>
      <c r="D432" s="34"/>
      <c r="E432" s="33"/>
      <c r="F432" s="33"/>
      <c r="G432" s="33"/>
      <c r="H432" s="79"/>
    </row>
    <row r="433" spans="1:8" ht="25.8">
      <c r="A433" s="33"/>
      <c r="B433" s="8"/>
      <c r="C433" s="34"/>
      <c r="D433" s="34"/>
      <c r="E433" s="33"/>
      <c r="F433" s="33"/>
      <c r="G433" s="33"/>
      <c r="H433" s="79"/>
    </row>
    <row r="434" spans="1:8" ht="25.8">
      <c r="A434" s="33"/>
      <c r="B434" s="8"/>
      <c r="C434" s="34"/>
      <c r="D434" s="34"/>
      <c r="E434" s="33"/>
      <c r="F434" s="33"/>
      <c r="G434" s="33"/>
      <c r="H434" s="79"/>
    </row>
    <row r="435" spans="1:8" ht="25.8">
      <c r="A435" s="33"/>
      <c r="B435" s="8"/>
      <c r="C435" s="34"/>
      <c r="D435" s="34"/>
      <c r="E435" s="33"/>
      <c r="F435" s="33"/>
      <c r="G435" s="33"/>
      <c r="H435" s="79"/>
    </row>
    <row r="436" spans="1:8" ht="25.8">
      <c r="A436" s="33"/>
      <c r="B436" s="8"/>
      <c r="C436" s="34"/>
      <c r="D436" s="34"/>
      <c r="E436" s="33"/>
      <c r="F436" s="33"/>
      <c r="G436" s="33"/>
      <c r="H436" s="79"/>
    </row>
    <row r="437" spans="1:8" ht="25.8">
      <c r="A437" s="33"/>
      <c r="B437" s="8"/>
      <c r="C437" s="34"/>
      <c r="D437" s="34"/>
      <c r="E437" s="33"/>
      <c r="F437" s="33"/>
      <c r="G437" s="33"/>
      <c r="H437" s="79"/>
    </row>
    <row r="438" spans="1:8" ht="25.8">
      <c r="A438" s="33"/>
      <c r="B438" s="8"/>
      <c r="C438" s="34"/>
      <c r="D438" s="34"/>
      <c r="E438" s="33"/>
      <c r="F438" s="33"/>
      <c r="G438" s="33"/>
      <c r="H438" s="79"/>
    </row>
    <row r="439" spans="1:8" ht="25.8">
      <c r="A439" s="33"/>
      <c r="B439" s="8"/>
      <c r="C439" s="34"/>
      <c r="D439" s="34"/>
      <c r="E439" s="33"/>
      <c r="F439" s="33"/>
      <c r="G439" s="33"/>
      <c r="H439" s="79"/>
    </row>
    <row r="440" spans="1:8" ht="25.8">
      <c r="A440" s="33"/>
      <c r="B440" s="8"/>
      <c r="C440" s="34"/>
      <c r="D440" s="34"/>
      <c r="E440" s="33"/>
      <c r="F440" s="33"/>
      <c r="G440" s="33"/>
      <c r="H440" s="79"/>
    </row>
    <row r="441" spans="1:8" ht="25.8">
      <c r="A441" s="33"/>
      <c r="B441" s="8"/>
      <c r="C441" s="34"/>
      <c r="D441" s="34"/>
      <c r="E441" s="33"/>
      <c r="F441" s="33"/>
      <c r="G441" s="33"/>
      <c r="H441" s="79"/>
    </row>
    <row r="442" spans="1:8" ht="25.8">
      <c r="A442" s="33"/>
      <c r="B442" s="8"/>
      <c r="C442" s="34"/>
      <c r="D442" s="34"/>
      <c r="E442" s="33"/>
      <c r="F442" s="33"/>
      <c r="G442" s="33"/>
      <c r="H442" s="79"/>
    </row>
    <row r="443" spans="1:8" ht="25.8">
      <c r="A443" s="33"/>
      <c r="B443" s="8"/>
      <c r="C443" s="34"/>
      <c r="D443" s="34"/>
      <c r="E443" s="33"/>
      <c r="F443" s="33"/>
      <c r="G443" s="33"/>
      <c r="H443" s="79"/>
    </row>
    <row r="444" spans="1:8" ht="25.8">
      <c r="A444" s="33"/>
      <c r="B444" s="8"/>
      <c r="C444" s="34"/>
      <c r="D444" s="34"/>
      <c r="E444" s="33"/>
      <c r="F444" s="33"/>
      <c r="G444" s="33"/>
      <c r="H444" s="79"/>
    </row>
    <row r="445" spans="1:8" ht="25.8">
      <c r="A445" s="33"/>
      <c r="B445" s="8"/>
      <c r="C445" s="34"/>
      <c r="D445" s="34"/>
      <c r="E445" s="33"/>
      <c r="F445" s="33"/>
      <c r="G445" s="33"/>
      <c r="H445" s="79"/>
    </row>
    <row r="446" spans="1:8" ht="25.8">
      <c r="A446" s="33"/>
      <c r="B446" s="8"/>
      <c r="C446" s="34"/>
      <c r="D446" s="34"/>
      <c r="E446" s="33"/>
      <c r="F446" s="33"/>
      <c r="G446" s="33"/>
      <c r="H446" s="79"/>
    </row>
    <row r="447" spans="1:8" ht="25.8">
      <c r="A447" s="33"/>
      <c r="B447" s="8"/>
      <c r="C447" s="34"/>
      <c r="D447" s="34"/>
      <c r="E447" s="33"/>
      <c r="F447" s="33"/>
      <c r="G447" s="33"/>
      <c r="H447" s="79"/>
    </row>
    <row r="448" spans="1:8" ht="25.8">
      <c r="A448" s="33"/>
      <c r="B448" s="8"/>
      <c r="C448" s="34"/>
      <c r="D448" s="34"/>
      <c r="E448" s="33"/>
      <c r="F448" s="33"/>
      <c r="G448" s="33"/>
      <c r="H448" s="79"/>
    </row>
    <row r="449" spans="1:8" ht="25.8">
      <c r="A449" s="33"/>
      <c r="B449" s="8"/>
      <c r="C449" s="34"/>
      <c r="D449" s="34"/>
      <c r="E449" s="33"/>
      <c r="F449" s="33"/>
      <c r="G449" s="33"/>
      <c r="H449" s="79"/>
    </row>
    <row r="450" spans="1:8" ht="25.8">
      <c r="A450" s="33"/>
      <c r="B450" s="8"/>
      <c r="C450" s="34"/>
      <c r="D450" s="34"/>
      <c r="E450" s="33"/>
      <c r="F450" s="33"/>
      <c r="G450" s="33"/>
      <c r="H450" s="79"/>
    </row>
    <row r="451" spans="1:8" ht="25.8">
      <c r="A451" s="33"/>
      <c r="B451" s="8"/>
      <c r="C451" s="34"/>
      <c r="D451" s="34"/>
      <c r="E451" s="33"/>
      <c r="F451" s="33"/>
      <c r="G451" s="33"/>
      <c r="H451" s="79"/>
    </row>
    <row r="452" spans="1:8" ht="25.8">
      <c r="A452" s="33"/>
      <c r="B452" s="8"/>
      <c r="C452" s="34"/>
      <c r="D452" s="34"/>
      <c r="E452" s="33"/>
      <c r="F452" s="33"/>
      <c r="G452" s="33"/>
      <c r="H452" s="79"/>
    </row>
    <row r="453" spans="1:8" ht="25.8">
      <c r="A453" s="33"/>
      <c r="B453" s="8"/>
      <c r="C453" s="34"/>
      <c r="D453" s="34"/>
      <c r="E453" s="33"/>
      <c r="F453" s="33"/>
      <c r="G453" s="33"/>
      <c r="H453" s="79"/>
    </row>
    <row r="454" spans="1:8" ht="25.8">
      <c r="A454" s="33"/>
      <c r="B454" s="8"/>
      <c r="C454" s="34"/>
      <c r="D454" s="34"/>
      <c r="E454" s="33"/>
      <c r="F454" s="33"/>
      <c r="G454" s="33"/>
      <c r="H454" s="79"/>
    </row>
    <row r="455" spans="1:8" ht="25.8">
      <c r="A455" s="33"/>
      <c r="B455" s="8"/>
      <c r="C455" s="34"/>
      <c r="D455" s="34"/>
      <c r="E455" s="33"/>
      <c r="F455" s="33"/>
      <c r="G455" s="33"/>
      <c r="H455" s="79"/>
    </row>
    <row r="456" spans="1:8" ht="25.8">
      <c r="A456" s="33"/>
      <c r="B456" s="8"/>
      <c r="C456" s="34"/>
      <c r="D456" s="34"/>
      <c r="E456" s="33"/>
      <c r="F456" s="33"/>
      <c r="G456" s="33"/>
      <c r="H456" s="79"/>
    </row>
    <row r="457" spans="1:8" ht="25.8">
      <c r="A457" s="33"/>
      <c r="B457" s="8"/>
      <c r="C457" s="34"/>
      <c r="D457" s="34"/>
      <c r="E457" s="33"/>
      <c r="F457" s="33"/>
      <c r="G457" s="33"/>
      <c r="H457" s="79"/>
    </row>
    <row r="458" spans="1:8" ht="25.8">
      <c r="A458" s="33"/>
      <c r="B458" s="8"/>
      <c r="C458" s="34"/>
      <c r="D458" s="34"/>
      <c r="E458" s="33"/>
      <c r="F458" s="33"/>
      <c r="G458" s="33"/>
      <c r="H458" s="79"/>
    </row>
    <row r="459" spans="1:8" ht="25.8">
      <c r="A459" s="33"/>
      <c r="B459" s="8"/>
      <c r="C459" s="34"/>
      <c r="D459" s="34"/>
      <c r="E459" s="33"/>
      <c r="F459" s="33"/>
      <c r="G459" s="33"/>
      <c r="H459" s="79"/>
    </row>
    <row r="460" spans="1:8" ht="25.8">
      <c r="A460" s="33"/>
      <c r="B460" s="8"/>
      <c r="C460" s="34"/>
      <c r="D460" s="34"/>
      <c r="E460" s="33"/>
      <c r="F460" s="33"/>
      <c r="G460" s="33"/>
      <c r="H460" s="79"/>
    </row>
    <row r="461" spans="1:8" ht="25.8">
      <c r="A461" s="33"/>
      <c r="B461" s="8"/>
      <c r="C461" s="34"/>
      <c r="D461" s="34"/>
      <c r="E461" s="33"/>
      <c r="F461" s="33"/>
      <c r="G461" s="33"/>
      <c r="H461" s="79"/>
    </row>
    <row r="462" spans="1:8" ht="25.8">
      <c r="A462" s="33"/>
      <c r="B462" s="8"/>
      <c r="C462" s="34"/>
      <c r="D462" s="34"/>
      <c r="E462" s="33"/>
      <c r="F462" s="33"/>
      <c r="G462" s="33"/>
      <c r="H462" s="79"/>
    </row>
    <row r="463" spans="1:8" ht="25.8">
      <c r="A463" s="33"/>
      <c r="B463" s="8"/>
      <c r="C463" s="34"/>
      <c r="D463" s="34"/>
      <c r="E463" s="33"/>
      <c r="F463" s="33"/>
      <c r="G463" s="33"/>
      <c r="H463" s="79"/>
    </row>
    <row r="464" spans="1:8" ht="25.8">
      <c r="A464" s="33"/>
      <c r="B464" s="8"/>
      <c r="C464" s="34"/>
      <c r="D464" s="34"/>
      <c r="E464" s="33"/>
      <c r="F464" s="33"/>
      <c r="G464" s="33"/>
      <c r="H464" s="79"/>
    </row>
    <row r="465" spans="1:8" ht="25.8">
      <c r="A465" s="33"/>
      <c r="B465" s="8"/>
      <c r="C465" s="34"/>
      <c r="D465" s="34"/>
      <c r="E465" s="33"/>
      <c r="F465" s="33"/>
      <c r="G465" s="33"/>
      <c r="H465" s="79"/>
    </row>
    <row r="466" spans="1:8" ht="25.8">
      <c r="A466" s="33"/>
      <c r="B466" s="8"/>
      <c r="C466" s="34"/>
      <c r="D466" s="34"/>
      <c r="E466" s="33"/>
      <c r="F466" s="33"/>
      <c r="G466" s="33"/>
      <c r="H466" s="79"/>
    </row>
    <row r="467" spans="1:8" ht="25.8">
      <c r="A467" s="33"/>
      <c r="B467" s="8"/>
      <c r="C467" s="34"/>
      <c r="D467" s="34"/>
      <c r="E467" s="33"/>
      <c r="F467" s="33"/>
      <c r="G467" s="33"/>
      <c r="H467" s="79"/>
    </row>
    <row r="468" spans="1:8" ht="25.8">
      <c r="A468" s="33"/>
      <c r="B468" s="8"/>
      <c r="C468" s="34"/>
      <c r="D468" s="34"/>
      <c r="E468" s="33"/>
      <c r="F468" s="33"/>
      <c r="G468" s="33"/>
      <c r="H468" s="79"/>
    </row>
    <row r="469" spans="1:8" ht="25.8">
      <c r="A469" s="33"/>
      <c r="B469" s="8"/>
      <c r="C469" s="34"/>
      <c r="D469" s="34"/>
      <c r="E469" s="33"/>
      <c r="F469" s="33"/>
      <c r="G469" s="33"/>
      <c r="H469" s="79"/>
    </row>
    <row r="470" spans="1:8" ht="25.8">
      <c r="A470" s="33"/>
      <c r="B470" s="8"/>
      <c r="C470" s="34"/>
      <c r="D470" s="34"/>
      <c r="E470" s="33"/>
      <c r="F470" s="33"/>
      <c r="G470" s="33"/>
      <c r="H470" s="79"/>
    </row>
    <row r="471" spans="1:8" ht="25.8">
      <c r="A471" s="33"/>
      <c r="B471" s="8"/>
      <c r="C471" s="34"/>
      <c r="D471" s="34"/>
      <c r="E471" s="33"/>
      <c r="F471" s="33"/>
      <c r="G471" s="33"/>
      <c r="H471" s="79"/>
    </row>
    <row r="472" spans="1:8" ht="25.8">
      <c r="A472" s="33"/>
      <c r="B472" s="8"/>
      <c r="C472" s="34"/>
      <c r="D472" s="34"/>
      <c r="E472" s="33"/>
      <c r="F472" s="33"/>
      <c r="G472" s="33"/>
      <c r="H472" s="79"/>
    </row>
    <row r="473" spans="1:8" ht="25.8">
      <c r="A473" s="33"/>
      <c r="B473" s="8"/>
      <c r="C473" s="34"/>
      <c r="D473" s="34"/>
      <c r="E473" s="33"/>
      <c r="F473" s="33"/>
      <c r="G473" s="33"/>
      <c r="H473" s="79"/>
    </row>
    <row r="474" spans="1:8" ht="25.8">
      <c r="A474" s="33"/>
      <c r="B474" s="8"/>
      <c r="C474" s="34"/>
      <c r="D474" s="34"/>
      <c r="E474" s="33"/>
      <c r="F474" s="33"/>
      <c r="G474" s="33"/>
      <c r="H474" s="79"/>
    </row>
    <row r="475" spans="1:8" ht="25.8">
      <c r="A475" s="33"/>
      <c r="B475" s="8"/>
      <c r="C475" s="34"/>
      <c r="D475" s="34"/>
      <c r="E475" s="33"/>
      <c r="F475" s="33"/>
      <c r="G475" s="33"/>
      <c r="H475" s="79"/>
    </row>
    <row r="476" spans="1:8" ht="25.8">
      <c r="A476" s="33"/>
      <c r="B476" s="8"/>
      <c r="C476" s="34"/>
      <c r="D476" s="34"/>
      <c r="E476" s="33"/>
      <c r="F476" s="33"/>
      <c r="G476" s="33"/>
      <c r="H476" s="79"/>
    </row>
    <row r="477" spans="1:8" ht="25.8">
      <c r="A477" s="33"/>
      <c r="B477" s="8"/>
      <c r="C477" s="34"/>
      <c r="D477" s="34"/>
      <c r="E477" s="33"/>
      <c r="F477" s="33"/>
      <c r="G477" s="33"/>
      <c r="H477" s="79"/>
    </row>
    <row r="478" spans="1:8" ht="25.8">
      <c r="A478" s="33"/>
      <c r="B478" s="8"/>
      <c r="C478" s="34"/>
      <c r="D478" s="34"/>
      <c r="E478" s="33"/>
      <c r="F478" s="33"/>
      <c r="G478" s="33"/>
      <c r="H478" s="79"/>
    </row>
    <row r="479" spans="1:8" ht="25.8">
      <c r="A479" s="33"/>
      <c r="B479" s="8"/>
      <c r="C479" s="34"/>
      <c r="D479" s="34"/>
      <c r="E479" s="33"/>
      <c r="F479" s="33"/>
      <c r="G479" s="33"/>
      <c r="H479" s="79"/>
    </row>
    <row r="480" spans="1:8" ht="25.8">
      <c r="A480" s="33"/>
      <c r="B480" s="8"/>
      <c r="C480" s="34"/>
      <c r="D480" s="34"/>
      <c r="E480" s="33"/>
      <c r="F480" s="33"/>
      <c r="G480" s="33"/>
      <c r="H480" s="79"/>
    </row>
    <row r="481" spans="1:8" ht="25.8">
      <c r="A481" s="33"/>
      <c r="B481" s="8"/>
      <c r="C481" s="34"/>
      <c r="D481" s="34"/>
      <c r="E481" s="33"/>
      <c r="F481" s="33"/>
      <c r="G481" s="33"/>
      <c r="H481" s="79"/>
    </row>
    <row r="482" spans="1:8" ht="25.8">
      <c r="A482" s="33"/>
      <c r="B482" s="8"/>
      <c r="C482" s="34"/>
      <c r="D482" s="34"/>
      <c r="E482" s="33"/>
      <c r="F482" s="33"/>
      <c r="G482" s="33"/>
      <c r="H482" s="79"/>
    </row>
    <row r="483" spans="1:8" ht="25.8">
      <c r="A483" s="33"/>
      <c r="B483" s="8"/>
      <c r="C483" s="34"/>
      <c r="D483" s="34"/>
      <c r="E483" s="33"/>
      <c r="F483" s="33"/>
      <c r="G483" s="33"/>
      <c r="H483" s="79"/>
    </row>
    <row r="484" spans="1:8" ht="25.8">
      <c r="A484" s="33"/>
      <c r="B484" s="8"/>
      <c r="C484" s="34"/>
      <c r="D484" s="34"/>
      <c r="E484" s="33"/>
      <c r="F484" s="33"/>
      <c r="G484" s="33"/>
      <c r="H484" s="79"/>
    </row>
    <row r="485" spans="1:8" ht="25.8">
      <c r="A485" s="33"/>
      <c r="B485" s="8"/>
      <c r="C485" s="34"/>
      <c r="D485" s="34"/>
      <c r="E485" s="33"/>
      <c r="F485" s="33"/>
      <c r="G485" s="33"/>
      <c r="H485" s="79"/>
    </row>
    <row r="486" spans="1:8" ht="25.8">
      <c r="A486" s="33"/>
      <c r="B486" s="8"/>
      <c r="C486" s="34"/>
      <c r="D486" s="34"/>
      <c r="E486" s="33"/>
      <c r="F486" s="33"/>
      <c r="G486" s="33"/>
      <c r="H486" s="79"/>
    </row>
    <row r="487" spans="1:8" ht="25.8">
      <c r="A487" s="33"/>
      <c r="B487" s="8"/>
      <c r="C487" s="34"/>
      <c r="D487" s="34"/>
      <c r="E487" s="33"/>
      <c r="F487" s="33"/>
      <c r="G487" s="33"/>
      <c r="H487" s="79"/>
    </row>
    <row r="488" spans="1:8" ht="25.8">
      <c r="A488" s="33"/>
      <c r="B488" s="8"/>
      <c r="C488" s="34"/>
      <c r="D488" s="34"/>
      <c r="E488" s="33"/>
      <c r="F488" s="33"/>
      <c r="G488" s="33"/>
      <c r="H488" s="79"/>
    </row>
    <row r="489" spans="1:8" ht="25.8">
      <c r="A489" s="33"/>
      <c r="B489" s="8"/>
      <c r="C489" s="34"/>
      <c r="D489" s="34"/>
      <c r="E489" s="33"/>
      <c r="F489" s="33"/>
      <c r="G489" s="33"/>
      <c r="H489" s="79"/>
    </row>
    <row r="490" spans="1:8" ht="25.8">
      <c r="A490" s="33"/>
      <c r="B490" s="8"/>
      <c r="C490" s="34"/>
      <c r="D490" s="34"/>
      <c r="E490" s="33"/>
      <c r="F490" s="33"/>
      <c r="G490" s="33"/>
      <c r="H490" s="79"/>
    </row>
    <row r="491" spans="1:8" ht="25.8">
      <c r="A491" s="33"/>
      <c r="B491" s="8"/>
      <c r="C491" s="34"/>
      <c r="D491" s="34"/>
      <c r="E491" s="33"/>
      <c r="F491" s="33"/>
      <c r="G491" s="33"/>
      <c r="H491" s="79"/>
    </row>
    <row r="492" spans="1:8" ht="25.8">
      <c r="A492" s="33"/>
      <c r="B492" s="8"/>
      <c r="C492" s="34"/>
      <c r="D492" s="34"/>
      <c r="E492" s="33"/>
      <c r="F492" s="33"/>
      <c r="G492" s="33"/>
      <c r="H492" s="79"/>
    </row>
    <row r="493" spans="1:8" ht="25.8">
      <c r="A493" s="33"/>
      <c r="B493" s="8"/>
      <c r="C493" s="34"/>
      <c r="D493" s="34"/>
      <c r="E493" s="33"/>
      <c r="F493" s="33"/>
      <c r="G493" s="33"/>
      <c r="H493" s="79"/>
    </row>
    <row r="494" spans="1:8" ht="25.8">
      <c r="A494" s="33"/>
      <c r="B494" s="8"/>
      <c r="C494" s="34"/>
      <c r="D494" s="34"/>
      <c r="E494" s="33"/>
      <c r="F494" s="33"/>
      <c r="G494" s="33"/>
      <c r="H494" s="79"/>
    </row>
    <row r="495" spans="1:8" ht="25.8">
      <c r="A495" s="33"/>
      <c r="B495" s="8"/>
      <c r="C495" s="34"/>
      <c r="D495" s="34"/>
      <c r="E495" s="33"/>
      <c r="F495" s="33"/>
      <c r="G495" s="33"/>
      <c r="H495" s="79"/>
    </row>
    <row r="496" spans="1:8" ht="25.8">
      <c r="A496" s="33"/>
      <c r="B496" s="8"/>
      <c r="C496" s="34"/>
      <c r="D496" s="34"/>
      <c r="E496" s="33"/>
      <c r="F496" s="33"/>
      <c r="G496" s="33"/>
      <c r="H496" s="79"/>
    </row>
    <row r="497" spans="1:8" ht="25.8">
      <c r="A497" s="33"/>
      <c r="B497" s="8"/>
      <c r="C497" s="34"/>
      <c r="D497" s="34"/>
      <c r="E497" s="33"/>
      <c r="F497" s="33"/>
      <c r="G497" s="33"/>
      <c r="H497" s="79"/>
    </row>
    <row r="498" spans="1:8" ht="25.8">
      <c r="A498" s="33"/>
      <c r="B498" s="8"/>
      <c r="C498" s="34"/>
      <c r="D498" s="34"/>
      <c r="E498" s="33"/>
      <c r="F498" s="33"/>
      <c r="G498" s="33"/>
      <c r="H498" s="79"/>
    </row>
    <row r="499" spans="1:8" ht="25.8">
      <c r="A499" s="33"/>
      <c r="B499" s="8"/>
      <c r="C499" s="34"/>
      <c r="D499" s="34"/>
      <c r="E499" s="33"/>
      <c r="F499" s="33"/>
      <c r="G499" s="33"/>
      <c r="H499" s="79"/>
    </row>
    <row r="500" spans="1:8" ht="25.8">
      <c r="A500" s="33"/>
      <c r="B500" s="8"/>
      <c r="C500" s="34"/>
      <c r="D500" s="34"/>
      <c r="E500" s="33"/>
      <c r="F500" s="33"/>
      <c r="G500" s="33"/>
      <c r="H500" s="79"/>
    </row>
  </sheetData>
  <autoFilter ref="A1:H217" xr:uid="{00000000-0009-0000-0000-000009000000}"/>
  <conditionalFormatting sqref="H1:H1048576">
    <cfRule type="containsText" dxfId="4" priority="1" operator="containsText" text="Roll">
      <formula>NOT(ISERROR(SEARCH("Roll",H1)))</formula>
    </cfRule>
    <cfRule type="containsText" dxfId="3" priority="6" operator="containsText" text="Lable">
      <formula>NOT(ISERROR(SEARCH("Lable",H1)))</formula>
    </cfRule>
    <cfRule type="containsText" dxfId="2" priority="7" stopIfTrue="1" operator="containsText" text="Sacks">
      <formula>NOT(ISERROR(SEARCH("Sacks",H1)))</formula>
    </cfRule>
  </conditionalFormatting>
  <conditionalFormatting sqref="B1:B1048576">
    <cfRule type="containsText" dxfId="1" priority="2" operator="containsText" text="OUT">
      <formula>NOT(ISERROR(SEARCH("OUT",B1)))</formula>
    </cfRule>
    <cfRule type="containsText" dxfId="0" priority="5" operator="containsText" text="IN">
      <formula>NOT(ISERROR(SEARCH("IN",B1)))</formula>
    </cfRule>
  </conditionalFormatting>
  <pageMargins left="0.7" right="0.7" top="0.75" bottom="0.75" header="0.3" footer="0.3"/>
  <pageSetup paperSize="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Chicken</vt:lpstr>
      <vt:lpstr>COW</vt:lpstr>
      <vt:lpstr>WithOut</vt:lpstr>
      <vt:lpstr>Koptimix</vt:lpstr>
      <vt:lpstr>Plastic</vt:lpstr>
      <vt:lpstr>Koptimix Lable</vt:lpstr>
      <vt:lpstr>EST Lable</vt:lpstr>
      <vt:lpstr>Roll</vt:lpstr>
      <vt:lpstr>Stocktaking</vt:lpstr>
      <vt:lpstr>Log</vt:lpstr>
      <vt:lpstr>Stocktaking!Print_Area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HAMZA KAFEH AHMAD GHAREB</cp:lastModifiedBy>
  <cp:lastPrinted>2026-05-23T11:20:01Z</cp:lastPrinted>
  <dcterms:created xsi:type="dcterms:W3CDTF">2026-04-22T15:27:50Z</dcterms:created>
  <dcterms:modified xsi:type="dcterms:W3CDTF">2026-06-04T09:12:06Z</dcterms:modified>
</cp:coreProperties>
</file>