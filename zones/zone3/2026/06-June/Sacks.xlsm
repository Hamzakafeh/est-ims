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Z:\6\"/>
    </mc:Choice>
  </mc:AlternateContent>
  <xr:revisionPtr revIDLastSave="0" documentId="13_ncr:1_{E3F72AC0-1E5C-44B4-8A24-D9438E81BFA8}" xr6:coauthVersionLast="47" xr6:coauthVersionMax="47" xr10:uidLastSave="{00000000-0000-0000-0000-000000000000}"/>
  <bookViews>
    <workbookView xWindow="-28920" yWindow="-120" windowWidth="29040" windowHeight="15840" tabRatio="636" activeTab="8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4" l="1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<sst xmlns="http://schemas.openxmlformats.org/spreadsheetml/2006/main" count="4188" uniqueCount="91">
  <si>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</si>
  <si>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</si>
  <si>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</si>
  <si>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</si>
  <si>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</si>
  <si>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</si>
  <si>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</si>
  <si>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</si>
  <si>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</si>
  <si>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</si>
  <si>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</si>
  <si>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</si>
  <si>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</si>
  <si>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</si>
  <si>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</si>
  <si>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</si>
  <si>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</si>
  <si>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</si>
  <si>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</si>
  <si>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</si>
  <si>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</si>
  <si>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</si>
  <si>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</si>
  <si>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</si>
  <si>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</si>
  <si>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</si>
  <si>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</si>
  <si>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</si>
  <si>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</si>
  <si>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</si>
  <si>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</si>
  <si>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</si>
  <si>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</si>
  <si>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</si>
  <si>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</si>
  <si>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</si>
  <si>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</si>
  <si>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</si>
  <si>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</si>
  <si>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</si>
  <si>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</si>
  <si>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</si>
  <si>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</si>
  <si>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</si>
  <si>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</si>
  <si>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</si>
  <si>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</si>
  <si>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</si>
  <si>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</si>
  <si>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</si>
  <si>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</si>
  <si>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</si>
  <si>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</si>
  <si>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</si>
  <si>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</si>
  <si>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</si>
  <si>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</si>
  <si>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</si>
  <si>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</si>
  <si>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</si>
  <si>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</si>
  <si>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</si>
  <si>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Blue Popp</t>
  </si>
  <si>
    <t>Green Popp</t>
  </si>
  <si>
    <t>White 25G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</si>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</sst>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55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16" fillId="29" borderId="2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5" fillId="19" borderId="4" xfId="7" applyNumberFormat="1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25" fillId="20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vertical="center"/>
    </xf>
    <xf numFmtId="164" fontId="27" fillId="0" borderId="2" xfId="7" applyNumberFormat="1" applyFont="1" applyFill="1" applyBorder="1" applyAlignment="1">
      <alignment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5" fontId="5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164" fontId="27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Fill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/>
    <xf numFmtId="0" fontId="0" fillId="0" borderId="0" xfId="0" applyFill="1"/>
    <xf numFmtId="0" fontId="4" fillId="10" borderId="2" xfId="6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5" fontId="5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5" fontId="5" fillId="0" borderId="2" xfId="0" applyNumberFormat="1" applyFont="1" applyFill="1" applyBorder="1" applyAlignment="1">
      <alignment horizontal="center" vertical="center"/>
    </xf>
    <xf numFmtId="15" fontId="8" fillId="0" borderId="2" xfId="0" applyNumberFormat="1" applyFont="1" applyFill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4" fillId="7" borderId="2" xfId="4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/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57"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79F4F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zoomScale="70" zoomScaleNormal="70" workbookViewId="0">
      <selection activeCell="L21" sqref="L21"/>
    </sheetView>
  </sheetViews>
  <sheetFormatPr defaultRowHeight="14.4"/>
  <cols>
    <col min="3" max="3" width="41.44140625" style="3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96" t="s">
        <v>8</v>
      </c>
      <c r="D2" s="96"/>
      <c r="E2" s="96"/>
      <c r="F2" s="96"/>
      <c r="G2" s="96"/>
      <c r="H2" s="96"/>
      <c r="I2" s="96"/>
      <c r="J2" s="96"/>
      <c r="K2" s="1"/>
    </row>
    <row r="3" spans="3:13" ht="27" customHeight="1">
      <c r="C3" s="96"/>
      <c r="D3" s="96"/>
      <c r="E3" s="96"/>
      <c r="F3" s="96"/>
      <c r="G3" s="96"/>
      <c r="H3" s="96"/>
      <c r="I3" s="96"/>
      <c r="J3" s="96"/>
      <c r="K3" s="1"/>
      <c r="L3" s="93" t="s">
        <v>16</v>
      </c>
      <c r="M3" s="93"/>
    </row>
    <row r="4" spans="3:13" ht="27.75" customHeight="1">
      <c r="C4" s="96"/>
      <c r="D4" s="96"/>
      <c r="E4" s="96"/>
      <c r="F4" s="96"/>
      <c r="G4" s="96"/>
      <c r="H4" s="96"/>
      <c r="I4" s="96"/>
      <c r="J4" s="96"/>
      <c r="K4" s="1"/>
      <c r="L4" s="93"/>
      <c r="M4" s="93"/>
    </row>
    <row r="5" spans="3:13" ht="25.8">
      <c r="C5" s="97"/>
      <c r="D5" s="97"/>
      <c r="E5" s="97"/>
      <c r="F5" s="97"/>
      <c r="G5" s="97"/>
      <c r="H5" s="97"/>
      <c r="I5" s="97"/>
      <c r="J5" s="97"/>
      <c r="K5" s="1"/>
      <c r="L5" s="124"/>
      <c r="M5" s="124"/>
    </row>
    <row r="6" spans="3:13" ht="33" customHeight="1">
      <c r="C6" s="115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98" t="s">
        <v>15</v>
      </c>
      <c r="K6" s="1"/>
      <c r="L6" s="122" t="s">
        <v>1</v>
      </c>
      <c r="M6" s="123" t="s">
        <v>0</v>
      </c>
    </row>
    <row r="7" spans="3:13" ht="25.8">
      <c r="C7" s="37">
        <v>46174</v>
      </c>
      <c r="D7" s="44" t="s">
        <v>18</v>
      </c>
      <c r="E7" s="35" t="s">
        <v>3</v>
      </c>
      <c r="F7" s="99" t="s">
        <v>28</v>
      </c>
      <c r="G7" s="35" t="s">
        <v>29</v>
      </c>
      <c r="H7" s="35" t="s">
        <v>89</v>
      </c>
      <c r="I7" s="100">
        <v>41312</v>
      </c>
      <c r="J7" s="101">
        <v>41312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3</v>
      </c>
      <c r="F8" s="99" t="s">
        <v>30</v>
      </c>
      <c r="G8" s="35" t="s">
        <v>29</v>
      </c>
      <c r="H8" s="35" t="s">
        <v>89</v>
      </c>
      <c r="I8" s="100">
        <v>59</v>
      </c>
      <c r="J8" s="101">
        <v>59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3</v>
      </c>
      <c r="F9" s="99" t="s">
        <v>34</v>
      </c>
      <c r="G9" s="35" t="s">
        <v>35</v>
      </c>
      <c r="H9" s="35" t="s">
        <v>89</v>
      </c>
      <c r="I9" s="100">
        <v>210</v>
      </c>
      <c r="J9" s="100">
        <v>210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3</v>
      </c>
      <c r="F10" s="99" t="s">
        <v>31</v>
      </c>
      <c r="G10" s="35" t="s">
        <v>29</v>
      </c>
      <c r="H10" s="35" t="s">
        <v>89</v>
      </c>
      <c r="I10" s="100">
        <v>6887</v>
      </c>
      <c r="J10" s="100">
        <v>6887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3</v>
      </c>
      <c r="F11" s="99" t="s">
        <v>36</v>
      </c>
      <c r="G11" s="35" t="s">
        <v>29</v>
      </c>
      <c r="H11" s="35" t="s">
        <v>89</v>
      </c>
      <c r="I11" s="100">
        <v>1099</v>
      </c>
      <c r="J11" s="100">
        <v>1099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3</v>
      </c>
      <c r="F12" s="99" t="s">
        <v>37</v>
      </c>
      <c r="G12" s="35" t="s">
        <v>29</v>
      </c>
      <c r="H12" s="35" t="s">
        <v>89</v>
      </c>
      <c r="I12" s="100">
        <v>54216</v>
      </c>
      <c r="J12" s="100">
        <v>54216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3</v>
      </c>
      <c r="F13" s="99" t="s">
        <v>38</v>
      </c>
      <c r="G13" s="35" t="s">
        <v>29</v>
      </c>
      <c r="H13" s="35" t="s">
        <v>89</v>
      </c>
      <c r="I13" s="100">
        <v>5136</v>
      </c>
      <c r="J13" s="100">
        <v>5136</v>
      </c>
      <c r="K13" s="1"/>
      <c r="L13" s="35"/>
      <c r="M13" s="35"/>
    </row>
    <row r="14" spans="3:13" s="12" customFormat="1" ht="25.8">
      <c r="C14" s="37">
        <v>46174</v>
      </c>
      <c r="D14" s="35" t="s">
        <v>18</v>
      </c>
      <c r="E14" s="35" t="s">
        <v>3</v>
      </c>
      <c r="F14" s="102" t="s">
        <v>39</v>
      </c>
      <c r="G14" s="35" t="s">
        <v>29</v>
      </c>
      <c r="H14" s="35" t="s">
        <v>89</v>
      </c>
      <c r="I14" s="100">
        <v>249</v>
      </c>
      <c r="J14" s="100">
        <v>249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3</v>
      </c>
      <c r="F15" s="99" t="s">
        <v>40</v>
      </c>
      <c r="G15" s="35" t="s">
        <v>29</v>
      </c>
      <c r="H15" s="35" t="s">
        <v>89</v>
      </c>
      <c r="I15" s="100">
        <v>60632</v>
      </c>
      <c r="J15" s="100">
        <v>60632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3</v>
      </c>
      <c r="F16" s="99" t="s">
        <v>24</v>
      </c>
      <c r="G16" s="35" t="s">
        <v>29</v>
      </c>
      <c r="H16" s="35" t="s">
        <v>89</v>
      </c>
      <c r="I16" s="100">
        <v>1104</v>
      </c>
      <c r="J16" s="100">
        <v>1104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3</v>
      </c>
      <c r="F17" s="99" t="s">
        <v>41</v>
      </c>
      <c r="G17" s="35" t="s">
        <v>29</v>
      </c>
      <c r="H17" s="35" t="s">
        <v>89</v>
      </c>
      <c r="I17" s="100">
        <v>7812</v>
      </c>
      <c r="J17" s="100">
        <v>7812</v>
      </c>
      <c r="K17" s="1"/>
      <c r="L17" s="35"/>
      <c r="M17" s="35"/>
    </row>
    <row r="18" spans="3:13" ht="25.8">
      <c r="C18" s="37">
        <v>46174</v>
      </c>
      <c r="D18" s="35" t="s">
        <v>18</v>
      </c>
      <c r="E18" s="35" t="s">
        <v>3</v>
      </c>
      <c r="F18" s="99" t="s">
        <v>42</v>
      </c>
      <c r="G18" s="35" t="s">
        <v>29</v>
      </c>
      <c r="H18" s="35" t="s">
        <v>89</v>
      </c>
      <c r="I18" s="100">
        <v>30</v>
      </c>
      <c r="J18" s="100">
        <v>30</v>
      </c>
      <c r="K18" s="1"/>
      <c r="L18" s="35"/>
      <c r="M18" s="35"/>
    </row>
    <row r="19" spans="3:13" ht="25.8">
      <c r="C19" s="37">
        <v>46174</v>
      </c>
      <c r="D19" s="35" t="s">
        <v>18</v>
      </c>
      <c r="E19" s="35" t="s">
        <v>3</v>
      </c>
      <c r="F19" s="99" t="s">
        <v>43</v>
      </c>
      <c r="G19" s="35" t="s">
        <v>32</v>
      </c>
      <c r="H19" s="35" t="s">
        <v>89</v>
      </c>
      <c r="I19" s="100">
        <v>0</v>
      </c>
      <c r="J19" s="100">
        <v>0</v>
      </c>
      <c r="K19" s="1"/>
      <c r="L19" s="35"/>
      <c r="M19" s="35"/>
    </row>
    <row r="20" spans="3:13" ht="25.8">
      <c r="C20" s="37">
        <v>46174</v>
      </c>
      <c r="D20" s="35" t="s">
        <v>18</v>
      </c>
      <c r="E20" s="35" t="s">
        <v>3</v>
      </c>
      <c r="F20" s="99" t="s">
        <v>33</v>
      </c>
      <c r="G20" s="35" t="s">
        <v>32</v>
      </c>
      <c r="H20" s="35" t="s">
        <v>89</v>
      </c>
      <c r="I20" s="100">
        <v>0</v>
      </c>
      <c r="J20" s="100">
        <v>0</v>
      </c>
      <c r="K20" s="1"/>
      <c r="L20" s="35"/>
      <c r="M20" s="35"/>
    </row>
    <row r="21" spans="3:13" ht="26.25" customHeight="1">
      <c r="C21" s="111"/>
      <c r="D21" s="35" t="s">
        <v>18</v>
      </c>
      <c r="E21" s="35" t="s">
        <v>3</v>
      </c>
      <c r="F21" s="116"/>
      <c r="G21" s="94"/>
      <c r="H21" s="94"/>
      <c r="I21" s="113"/>
      <c r="J21" s="113"/>
      <c r="K21" s="11"/>
      <c r="L21" s="94"/>
      <c r="M21" s="94"/>
    </row>
    <row r="22" spans="3:13" ht="26.25" customHeight="1">
      <c r="C22" s="106"/>
      <c r="D22" s="35" t="s">
        <v>18</v>
      </c>
      <c r="E22" s="35" t="s">
        <v>3</v>
      </c>
      <c r="F22" s="116"/>
      <c r="G22" s="94"/>
      <c r="H22" s="94"/>
      <c r="I22" s="113"/>
      <c r="J22" s="113"/>
      <c r="K22" s="1"/>
      <c r="L22" s="94"/>
      <c r="M22" s="94"/>
    </row>
    <row r="23" spans="3:13" ht="26.25" customHeight="1">
      <c r="C23" s="111"/>
      <c r="D23" s="35" t="s">
        <v>18</v>
      </c>
      <c r="E23" s="35" t="s">
        <v>3</v>
      </c>
      <c r="F23" s="116"/>
      <c r="G23" s="94"/>
      <c r="H23" s="94"/>
      <c r="I23" s="113"/>
      <c r="J23" s="113"/>
      <c r="K23" s="1"/>
      <c r="L23" s="94"/>
      <c r="M23" s="94"/>
    </row>
    <row r="24" spans="3:13" ht="26.25" customHeight="1">
      <c r="C24" s="106"/>
      <c r="D24" s="35" t="s">
        <v>18</v>
      </c>
      <c r="E24" s="35" t="s">
        <v>3</v>
      </c>
      <c r="F24" s="116"/>
      <c r="G24" s="94"/>
      <c r="H24" s="94"/>
      <c r="I24" s="113"/>
      <c r="J24" s="113"/>
      <c r="K24" s="1"/>
      <c r="L24" s="94"/>
      <c r="M24" s="94"/>
    </row>
    <row r="25" spans="3:13" ht="26.25" customHeight="1">
      <c r="C25" s="111"/>
      <c r="D25" s="35" t="s">
        <v>18</v>
      </c>
      <c r="E25" s="35" t="s">
        <v>3</v>
      </c>
      <c r="F25" s="116"/>
      <c r="G25" s="94"/>
      <c r="H25" s="94"/>
      <c r="I25" s="113"/>
      <c r="J25" s="113"/>
      <c r="K25" s="1"/>
      <c r="L25" s="94"/>
      <c r="M25" s="94"/>
    </row>
    <row r="26" spans="3:13" ht="26.25" customHeight="1">
      <c r="C26" s="106"/>
      <c r="D26" s="35" t="s">
        <v>18</v>
      </c>
      <c r="E26" s="35" t="s">
        <v>3</v>
      </c>
      <c r="F26" s="116"/>
      <c r="G26" s="94"/>
      <c r="H26" s="94"/>
      <c r="I26" s="113"/>
      <c r="J26" s="113"/>
      <c r="K26" s="1"/>
      <c r="L26" s="94"/>
      <c r="M26" s="94"/>
    </row>
    <row r="27" spans="3:13" ht="26.25" customHeight="1">
      <c r="C27" s="111"/>
      <c r="D27" s="35" t="s">
        <v>18</v>
      </c>
      <c r="E27" s="35" t="s">
        <v>3</v>
      </c>
      <c r="F27" s="116"/>
      <c r="G27" s="94"/>
      <c r="H27" s="94"/>
      <c r="I27" s="113"/>
      <c r="J27" s="113"/>
      <c r="K27" s="1"/>
      <c r="L27" s="94"/>
      <c r="M27" s="94"/>
    </row>
    <row r="28" spans="3:13" ht="26.25" customHeight="1">
      <c r="C28" s="106"/>
      <c r="D28" s="35" t="s">
        <v>18</v>
      </c>
      <c r="E28" s="35" t="s">
        <v>3</v>
      </c>
      <c r="F28" s="116"/>
      <c r="G28" s="95"/>
      <c r="H28" s="95"/>
      <c r="I28" s="114"/>
      <c r="J28" s="114"/>
      <c r="K28" s="1"/>
      <c r="L28" s="95"/>
      <c r="M28" s="95"/>
    </row>
    <row r="29" spans="3:13" ht="26.25" customHeight="1">
      <c r="C29" s="106"/>
      <c r="D29" s="35" t="s">
        <v>18</v>
      </c>
      <c r="E29" s="35" t="s">
        <v>3</v>
      </c>
      <c r="F29" s="116"/>
      <c r="G29" s="95"/>
      <c r="H29" s="95"/>
      <c r="I29" s="114"/>
      <c r="J29" s="114"/>
      <c r="K29" s="1"/>
      <c r="L29" s="95"/>
      <c r="M29" s="95"/>
    </row>
    <row r="30" spans="3:13" ht="26.25" customHeight="1">
      <c r="C30" s="111"/>
      <c r="D30" s="35" t="s">
        <v>18</v>
      </c>
      <c r="E30" s="35" t="s">
        <v>3</v>
      </c>
      <c r="F30" s="116"/>
      <c r="G30" s="94"/>
      <c r="H30" s="94"/>
      <c r="I30" s="113"/>
      <c r="J30" s="113"/>
      <c r="K30" s="1"/>
      <c r="L30" s="35"/>
      <c r="M30" s="35"/>
    </row>
    <row r="31" spans="3:13" ht="26.25" customHeight="1">
      <c r="C31" s="37"/>
      <c r="D31" s="35" t="s">
        <v>18</v>
      </c>
      <c r="E31" s="35" t="s">
        <v>3</v>
      </c>
      <c r="F31" s="99"/>
      <c r="G31" s="35"/>
      <c r="H31" s="35"/>
      <c r="I31" s="100"/>
      <c r="J31" s="100"/>
      <c r="K31" s="1"/>
      <c r="L31" s="35"/>
      <c r="M31" s="35"/>
    </row>
    <row r="32" spans="3:13" ht="26.25" customHeight="1">
      <c r="C32" s="37"/>
      <c r="D32" s="35" t="s">
        <v>18</v>
      </c>
      <c r="E32" s="35" t="s">
        <v>3</v>
      </c>
      <c r="F32" s="99"/>
      <c r="G32" s="35"/>
      <c r="H32" s="35"/>
      <c r="I32" s="100"/>
      <c r="J32" s="100"/>
      <c r="K32" s="1"/>
      <c r="L32" s="35"/>
      <c r="M32" s="35"/>
    </row>
    <row r="33" spans="3:13" ht="26.25" customHeight="1">
      <c r="C33" s="37"/>
      <c r="D33" s="35" t="s">
        <v>18</v>
      </c>
      <c r="E33" s="35" t="s">
        <v>3</v>
      </c>
      <c r="F33" s="99"/>
      <c r="G33" s="35"/>
      <c r="H33" s="35"/>
      <c r="I33" s="100"/>
      <c r="J33" s="100"/>
      <c r="K33" s="1"/>
      <c r="L33" s="35"/>
      <c r="M33" s="35"/>
    </row>
    <row r="34" spans="3:13" ht="26.25" customHeight="1">
      <c r="C34" s="37"/>
      <c r="D34" s="35" t="s">
        <v>18</v>
      </c>
      <c r="E34" s="35" t="s">
        <v>3</v>
      </c>
      <c r="F34" s="99"/>
      <c r="G34" s="35"/>
      <c r="H34" s="35"/>
      <c r="I34" s="100"/>
      <c r="J34" s="100"/>
      <c r="K34" s="1"/>
      <c r="L34" s="35"/>
      <c r="M34" s="35"/>
    </row>
    <row r="35" spans="3:13" ht="26.25" customHeight="1">
      <c r="C35" s="37"/>
      <c r="D35" s="35" t="s">
        <v>18</v>
      </c>
      <c r="E35" s="35" t="s">
        <v>3</v>
      </c>
      <c r="F35" s="99"/>
      <c r="G35" s="35"/>
      <c r="H35" s="35"/>
      <c r="I35" s="100"/>
      <c r="J35" s="100"/>
      <c r="K35" s="1"/>
      <c r="L35" s="35"/>
      <c r="M35" s="35"/>
    </row>
    <row r="36" spans="3:13" ht="26.25" customHeight="1">
      <c r="C36" s="37"/>
      <c r="D36" s="35" t="s">
        <v>18</v>
      </c>
      <c r="E36" s="35" t="s">
        <v>3</v>
      </c>
      <c r="F36" s="99"/>
      <c r="G36" s="35"/>
      <c r="H36" s="35"/>
      <c r="I36" s="100"/>
      <c r="J36" s="100"/>
      <c r="K36" s="1"/>
      <c r="L36" s="35"/>
      <c r="M36" s="35"/>
    </row>
    <row r="37" spans="3:13" ht="26.25" customHeight="1">
      <c r="C37" s="37"/>
      <c r="D37" s="35" t="s">
        <v>18</v>
      </c>
      <c r="E37" s="35" t="s">
        <v>3</v>
      </c>
      <c r="F37" s="99"/>
      <c r="G37" s="35"/>
      <c r="H37" s="35"/>
      <c r="I37" s="100"/>
      <c r="J37" s="100"/>
      <c r="K37" s="1"/>
      <c r="L37" s="35"/>
      <c r="M37" s="35"/>
    </row>
    <row r="38" spans="3:13" ht="25.8">
      <c r="C38" s="37"/>
      <c r="D38" s="35" t="s">
        <v>18</v>
      </c>
      <c r="E38" s="35" t="s">
        <v>3</v>
      </c>
      <c r="F38" s="99"/>
      <c r="G38" s="35"/>
      <c r="H38" s="35"/>
      <c r="I38" s="100"/>
      <c r="J38" s="100"/>
      <c r="K38" s="1"/>
      <c r="L38" s="35"/>
      <c r="M38" s="35"/>
    </row>
    <row r="39" spans="3:13" ht="26.25" customHeight="1">
      <c r="C39" s="37"/>
      <c r="D39" s="35" t="s">
        <v>18</v>
      </c>
      <c r="E39" s="35" t="s">
        <v>3</v>
      </c>
      <c r="F39" s="99"/>
      <c r="G39" s="35"/>
      <c r="H39" s="35"/>
      <c r="I39" s="15"/>
      <c r="J39" s="15"/>
      <c r="L39" s="17"/>
      <c r="M39" s="17"/>
    </row>
    <row r="40" spans="3:13" ht="26.25" customHeight="1">
      <c r="C40" s="37"/>
      <c r="D40" s="35" t="s">
        <v>18</v>
      </c>
      <c r="E40" s="35" t="s">
        <v>3</v>
      </c>
      <c r="F40" s="103"/>
      <c r="G40" s="15"/>
      <c r="H40" s="35"/>
      <c r="I40" s="15"/>
      <c r="J40" s="15"/>
      <c r="L40" s="17"/>
      <c r="M40" s="17"/>
    </row>
    <row r="41" spans="3:13" ht="26.25" customHeight="1">
      <c r="C41" s="37"/>
      <c r="D41" s="35" t="s">
        <v>18</v>
      </c>
      <c r="E41" s="35" t="s">
        <v>3</v>
      </c>
      <c r="F41" s="103"/>
      <c r="G41" s="15"/>
      <c r="H41" s="35"/>
      <c r="I41" s="15"/>
      <c r="J41" s="15"/>
      <c r="L41" s="17"/>
      <c r="M41" s="17"/>
    </row>
    <row r="42" spans="3:13" ht="26.25" customHeight="1">
      <c r="C42" s="37"/>
      <c r="D42" s="35" t="s">
        <v>18</v>
      </c>
      <c r="E42" s="35" t="s">
        <v>3</v>
      </c>
      <c r="F42" s="103"/>
      <c r="G42" s="15"/>
      <c r="H42" s="35"/>
      <c r="I42" s="15"/>
      <c r="J42" s="15"/>
      <c r="L42" s="17"/>
      <c r="M42" s="17"/>
    </row>
    <row r="43" spans="3:13" ht="26.25" customHeight="1">
      <c r="C43" s="37"/>
      <c r="D43" s="35" t="s">
        <v>18</v>
      </c>
      <c r="E43" s="35" t="s">
        <v>3</v>
      </c>
      <c r="F43" s="103"/>
      <c r="G43" s="15"/>
      <c r="H43" s="35"/>
      <c r="I43" s="15"/>
      <c r="J43" s="15"/>
      <c r="L43" s="17"/>
      <c r="M43" s="17"/>
    </row>
    <row r="44" spans="3:13" ht="26.25" customHeight="1">
      <c r="C44" s="37"/>
      <c r="D44" s="35" t="s">
        <v>18</v>
      </c>
      <c r="E44" s="35" t="s">
        <v>3</v>
      </c>
      <c r="F44" s="103"/>
      <c r="G44" s="15"/>
      <c r="H44" s="35"/>
      <c r="I44" s="15"/>
      <c r="J44" s="15"/>
      <c r="L44" s="17"/>
      <c r="M44" s="17"/>
    </row>
    <row r="45" spans="3:13" ht="26.25" customHeight="1">
      <c r="C45" s="37"/>
      <c r="D45" s="35" t="s">
        <v>18</v>
      </c>
      <c r="E45" s="35" t="s">
        <v>3</v>
      </c>
      <c r="F45" s="103"/>
      <c r="G45" s="15"/>
      <c r="H45" s="35"/>
      <c r="I45" s="15"/>
      <c r="J45" s="15"/>
      <c r="L45" s="17"/>
      <c r="M45" s="17"/>
    </row>
    <row r="46" spans="3:13" ht="26.25" customHeight="1">
      <c r="C46" s="37"/>
      <c r="D46" s="35" t="s">
        <v>18</v>
      </c>
      <c r="E46" s="35" t="s">
        <v>3</v>
      </c>
      <c r="F46" s="103"/>
      <c r="G46" s="15"/>
      <c r="H46" s="35"/>
      <c r="I46" s="15"/>
      <c r="J46" s="15"/>
      <c r="L46" s="17"/>
      <c r="M46" s="17"/>
    </row>
    <row r="47" spans="3:13" ht="26.25" customHeight="1">
      <c r="C47" s="37"/>
      <c r="D47" s="35" t="s">
        <v>18</v>
      </c>
      <c r="E47" s="35" t="s">
        <v>3</v>
      </c>
      <c r="F47" s="103"/>
      <c r="G47" s="15"/>
      <c r="H47" s="35"/>
      <c r="I47" s="15"/>
      <c r="J47" s="15"/>
      <c r="L47" s="17"/>
      <c r="M47" s="17"/>
    </row>
    <row r="48" spans="3:13" ht="26.25" customHeight="1">
      <c r="C48" s="37"/>
      <c r="D48" s="35" t="s">
        <v>18</v>
      </c>
      <c r="E48" s="35" t="s">
        <v>3</v>
      </c>
      <c r="F48" s="103"/>
      <c r="G48" s="15"/>
      <c r="H48" s="35"/>
      <c r="I48" s="15"/>
      <c r="J48" s="15"/>
      <c r="L48" s="17"/>
      <c r="M48" s="17"/>
    </row>
    <row r="49" spans="3:13" ht="26.25" customHeight="1">
      <c r="C49" s="106"/>
      <c r="D49" s="35" t="s">
        <v>18</v>
      </c>
      <c r="E49" s="35" t="s">
        <v>3</v>
      </c>
      <c r="F49" s="109"/>
      <c r="G49" s="110"/>
      <c r="H49" s="110"/>
      <c r="I49" s="110"/>
      <c r="J49" s="110"/>
      <c r="L49" s="17"/>
      <c r="M49" s="17"/>
    </row>
    <row r="50" spans="3:13" ht="26.25" customHeight="1">
      <c r="C50" s="106"/>
      <c r="D50" s="35" t="s">
        <v>18</v>
      </c>
      <c r="E50" s="35" t="s">
        <v>3</v>
      </c>
      <c r="F50" s="109"/>
      <c r="G50" s="110"/>
      <c r="H50" s="110"/>
      <c r="I50" s="110"/>
      <c r="J50" s="110"/>
      <c r="L50" s="17"/>
      <c r="M50" s="17"/>
    </row>
    <row r="51" spans="3:13" ht="26.25" customHeight="1">
      <c r="C51" s="37"/>
      <c r="D51" s="35" t="s">
        <v>18</v>
      </c>
      <c r="E51" s="35" t="s">
        <v>3</v>
      </c>
      <c r="F51" s="103"/>
      <c r="G51" s="15"/>
      <c r="H51" s="15"/>
      <c r="I51" s="16"/>
      <c r="J51" s="16"/>
      <c r="L51" s="17"/>
      <c r="M51" s="17"/>
    </row>
    <row r="52" spans="3:13" ht="25.8">
      <c r="C52" s="37"/>
      <c r="D52" s="35" t="s">
        <v>18</v>
      </c>
      <c r="E52" s="35" t="s">
        <v>3</v>
      </c>
      <c r="F52" s="99"/>
      <c r="G52" s="35"/>
      <c r="H52" s="35"/>
      <c r="I52" s="36"/>
      <c r="J52" s="36"/>
      <c r="L52" s="35"/>
      <c r="M52" s="35"/>
    </row>
    <row r="53" spans="3:13" ht="25.8">
      <c r="C53" s="37"/>
      <c r="D53" s="35" t="s">
        <v>18</v>
      </c>
      <c r="E53" s="35" t="s">
        <v>3</v>
      </c>
      <c r="F53" s="99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3</v>
      </c>
      <c r="F54" s="99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3</v>
      </c>
      <c r="F55" s="99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3</v>
      </c>
      <c r="F56" s="99"/>
      <c r="G56" s="35"/>
      <c r="H56" s="35"/>
      <c r="I56" s="36"/>
      <c r="J56" s="36"/>
      <c r="L56" s="35"/>
      <c r="M56" s="35"/>
    </row>
    <row r="57" spans="3:13" ht="25.8">
      <c r="C57" s="37"/>
      <c r="D57" s="35" t="s">
        <v>18</v>
      </c>
      <c r="E57" s="35" t="s">
        <v>3</v>
      </c>
      <c r="F57" s="99"/>
      <c r="G57" s="35"/>
      <c r="H57" s="35"/>
      <c r="I57" s="36"/>
      <c r="J57" s="36"/>
      <c r="L57" s="35"/>
      <c r="M57" s="35"/>
    </row>
    <row r="58" spans="3:13" ht="25.8">
      <c r="C58" s="37"/>
      <c r="D58" s="35" t="s">
        <v>18</v>
      </c>
      <c r="E58" s="35" t="s">
        <v>3</v>
      </c>
      <c r="F58" s="99"/>
      <c r="G58" s="35"/>
      <c r="H58" s="35"/>
      <c r="I58" s="36"/>
      <c r="J58" s="36"/>
      <c r="L58" s="35"/>
      <c r="M58" s="35"/>
    </row>
    <row r="59" spans="3:13" ht="25.8">
      <c r="C59" s="37"/>
      <c r="D59" s="35" t="s">
        <v>18</v>
      </c>
      <c r="E59" s="35" t="s">
        <v>3</v>
      </c>
      <c r="F59" s="99"/>
      <c r="G59" s="35"/>
      <c r="H59" s="35"/>
      <c r="I59" s="36"/>
      <c r="J59" s="36"/>
      <c r="L59" s="35"/>
      <c r="M59" s="35"/>
    </row>
    <row r="60" spans="3:13" ht="25.8">
      <c r="C60" s="37"/>
      <c r="D60" s="35" t="s">
        <v>18</v>
      </c>
      <c r="E60" s="35" t="s">
        <v>3</v>
      </c>
      <c r="F60" s="99"/>
      <c r="G60" s="35"/>
      <c r="H60" s="35"/>
      <c r="I60" s="36"/>
      <c r="J60" s="36"/>
      <c r="L60" s="35"/>
      <c r="M60" s="35"/>
    </row>
    <row r="61" spans="3:13" ht="25.8">
      <c r="C61" s="37"/>
      <c r="D61" s="35" t="s">
        <v>18</v>
      </c>
      <c r="E61" s="35" t="s">
        <v>3</v>
      </c>
      <c r="F61" s="99"/>
      <c r="G61" s="35"/>
      <c r="H61" s="35"/>
      <c r="I61" s="36"/>
      <c r="J61" s="36"/>
      <c r="L61" s="35"/>
      <c r="M61" s="35"/>
    </row>
    <row r="62" spans="3:13" ht="25.8">
      <c r="C62" s="37"/>
      <c r="D62" s="35" t="s">
        <v>18</v>
      </c>
      <c r="E62" s="35" t="s">
        <v>3</v>
      </c>
      <c r="F62" s="99"/>
      <c r="G62" s="35"/>
      <c r="H62" s="35"/>
      <c r="I62" s="36"/>
      <c r="J62" s="36"/>
      <c r="L62" s="35"/>
      <c r="M62" s="35"/>
    </row>
    <row r="63" spans="3:13" ht="25.8">
      <c r="C63" s="37"/>
      <c r="D63" s="35" t="s">
        <v>18</v>
      </c>
      <c r="E63" s="35" t="s">
        <v>3</v>
      </c>
      <c r="F63" s="99"/>
      <c r="G63" s="35"/>
      <c r="H63" s="35"/>
      <c r="I63" s="36"/>
      <c r="J63" s="36"/>
      <c r="L63" s="35"/>
      <c r="M63" s="35"/>
    </row>
    <row r="64" spans="3:13" ht="25.8">
      <c r="C64" s="37"/>
      <c r="D64" s="35" t="s">
        <v>18</v>
      </c>
      <c r="E64" s="35" t="s">
        <v>3</v>
      </c>
      <c r="F64" s="99"/>
      <c r="G64" s="35"/>
      <c r="H64" s="35"/>
      <c r="I64" s="36"/>
      <c r="J64" s="36"/>
      <c r="L64" s="35"/>
      <c r="M64" s="35"/>
    </row>
    <row r="65" spans="3:13" ht="25.8">
      <c r="C65" s="37"/>
      <c r="D65" s="35" t="s">
        <v>18</v>
      </c>
      <c r="E65" s="35" t="s">
        <v>3</v>
      </c>
      <c r="F65" s="99"/>
      <c r="G65" s="35"/>
      <c r="H65" s="35"/>
      <c r="I65" s="36"/>
      <c r="J65" s="36"/>
      <c r="L65" s="35"/>
      <c r="M65" s="35"/>
    </row>
    <row r="66" spans="3:13" ht="25.8">
      <c r="C66" s="37"/>
      <c r="D66" s="35" t="s">
        <v>18</v>
      </c>
      <c r="E66" s="35" t="s">
        <v>3</v>
      </c>
      <c r="F66" s="99"/>
      <c r="G66" s="35"/>
      <c r="H66" s="35"/>
      <c r="I66" s="36"/>
      <c r="J66" s="36"/>
      <c r="L66" s="35"/>
      <c r="M66" s="35"/>
    </row>
    <row r="67" spans="3:13" ht="25.8">
      <c r="C67" s="37"/>
      <c r="D67" s="35" t="s">
        <v>18</v>
      </c>
      <c r="E67" s="35" t="s">
        <v>3</v>
      </c>
      <c r="F67" s="99"/>
      <c r="G67" s="35"/>
      <c r="H67" s="35"/>
      <c r="I67" s="36"/>
      <c r="J67" s="36"/>
      <c r="L67" s="35"/>
      <c r="M67" s="35"/>
    </row>
    <row r="68" spans="3:13" ht="25.8">
      <c r="C68" s="37"/>
      <c r="D68" s="35" t="s">
        <v>18</v>
      </c>
      <c r="E68" s="35" t="s">
        <v>3</v>
      </c>
      <c r="F68" s="99"/>
      <c r="G68" s="35"/>
      <c r="H68" s="35"/>
      <c r="I68" s="36"/>
      <c r="J68" s="36"/>
      <c r="L68" s="35"/>
      <c r="M68" s="35"/>
    </row>
    <row r="69" spans="3:13" ht="25.8">
      <c r="C69" s="37"/>
      <c r="D69" s="35" t="s">
        <v>18</v>
      </c>
      <c r="E69" s="35" t="s">
        <v>3</v>
      </c>
      <c r="F69" s="99"/>
      <c r="G69" s="35"/>
      <c r="H69" s="35"/>
      <c r="I69" s="36"/>
      <c r="J69" s="36"/>
      <c r="L69" s="35"/>
      <c r="M69" s="35"/>
    </row>
    <row r="70" spans="3:13" ht="25.8">
      <c r="C70" s="37"/>
      <c r="D70" s="35" t="s">
        <v>18</v>
      </c>
      <c r="E70" s="35" t="s">
        <v>3</v>
      </c>
      <c r="F70" s="99"/>
      <c r="G70" s="35"/>
      <c r="H70" s="35"/>
      <c r="I70" s="36"/>
      <c r="J70" s="36"/>
      <c r="L70" s="35"/>
      <c r="M70" s="35"/>
    </row>
    <row r="71" spans="3:13" ht="25.8">
      <c r="C71" s="37"/>
      <c r="D71" s="35" t="s">
        <v>18</v>
      </c>
      <c r="E71" s="35" t="s">
        <v>3</v>
      </c>
      <c r="F71" s="99"/>
      <c r="G71" s="35"/>
      <c r="H71" s="35"/>
      <c r="I71" s="36"/>
      <c r="J71" s="36"/>
      <c r="L71" s="35"/>
      <c r="M71" s="35"/>
    </row>
    <row r="72" spans="3:13" ht="25.8">
      <c r="C72" s="37"/>
      <c r="D72" s="35" t="s">
        <v>18</v>
      </c>
      <c r="E72" s="35" t="s">
        <v>3</v>
      </c>
      <c r="F72" s="99"/>
      <c r="G72" s="35"/>
      <c r="H72" s="35"/>
      <c r="I72" s="36"/>
      <c r="J72" s="36"/>
      <c r="L72" s="35"/>
      <c r="M72" s="35"/>
    </row>
    <row r="73" spans="3:13" ht="25.8">
      <c r="C73" s="37"/>
      <c r="D73" s="35" t="s">
        <v>18</v>
      </c>
      <c r="E73" s="35" t="s">
        <v>3</v>
      </c>
      <c r="F73" s="99"/>
      <c r="G73" s="35"/>
      <c r="H73" s="35"/>
      <c r="I73" s="36"/>
      <c r="J73" s="36"/>
      <c r="L73" s="35"/>
      <c r="M73" s="35"/>
    </row>
    <row r="74" spans="3:13" ht="25.8">
      <c r="C74" s="37"/>
      <c r="D74" s="35" t="s">
        <v>18</v>
      </c>
      <c r="E74" s="35" t="s">
        <v>3</v>
      </c>
      <c r="F74" s="99"/>
      <c r="G74" s="35"/>
      <c r="H74" s="35"/>
      <c r="I74" s="36"/>
      <c r="J74" s="36"/>
      <c r="L74" s="35"/>
      <c r="M74" s="35"/>
    </row>
    <row r="75" spans="3:13" ht="25.8">
      <c r="C75" s="37"/>
      <c r="D75" s="35" t="s">
        <v>18</v>
      </c>
      <c r="E75" s="35" t="s">
        <v>3</v>
      </c>
      <c r="F75" s="99"/>
      <c r="G75" s="35"/>
      <c r="H75" s="35"/>
      <c r="I75" s="36"/>
      <c r="J75" s="36"/>
      <c r="L75" s="35"/>
      <c r="M75" s="35"/>
    </row>
    <row r="76" spans="3:13" ht="25.8">
      <c r="C76" s="37"/>
      <c r="D76" s="35" t="s">
        <v>18</v>
      </c>
      <c r="E76" s="35" t="s">
        <v>3</v>
      </c>
      <c r="F76" s="99"/>
      <c r="G76" s="35"/>
      <c r="H76" s="35"/>
      <c r="I76" s="36"/>
      <c r="J76" s="36"/>
      <c r="L76" s="35"/>
      <c r="M76" s="35"/>
    </row>
    <row r="77" spans="3:13" ht="25.8">
      <c r="C77" s="104"/>
      <c r="D77" s="35" t="s">
        <v>18</v>
      </c>
      <c r="E77" s="35" t="s">
        <v>3</v>
      </c>
      <c r="F77" s="117"/>
      <c r="G77" s="41"/>
      <c r="H77" s="41"/>
      <c r="I77" s="42"/>
      <c r="J77" s="42"/>
      <c r="L77" s="41"/>
      <c r="M77" s="41"/>
    </row>
    <row r="78" spans="3:13" ht="25.8">
      <c r="C78" s="106"/>
      <c r="D78" s="35" t="s">
        <v>18</v>
      </c>
      <c r="E78" s="35" t="s">
        <v>3</v>
      </c>
      <c r="F78" s="118"/>
      <c r="G78" s="107"/>
      <c r="H78" s="107"/>
      <c r="I78" s="108"/>
      <c r="J78" s="108"/>
      <c r="L78" s="95"/>
      <c r="M78" s="95"/>
    </row>
    <row r="79" spans="3:13" ht="25.8">
      <c r="C79" s="105"/>
      <c r="D79" s="35" t="s">
        <v>18</v>
      </c>
      <c r="E79" s="35" t="s">
        <v>3</v>
      </c>
      <c r="F79" s="119"/>
      <c r="G79" s="45"/>
      <c r="H79" s="45"/>
      <c r="I79" s="89"/>
      <c r="J79" s="89"/>
      <c r="L79" s="45"/>
      <c r="M79" s="45"/>
    </row>
    <row r="80" spans="3:13" ht="25.8">
      <c r="C80" s="37"/>
      <c r="D80" s="35" t="s">
        <v>18</v>
      </c>
      <c r="E80" s="35" t="s">
        <v>3</v>
      </c>
      <c r="F80" s="99"/>
      <c r="G80" s="35"/>
      <c r="H80" s="35"/>
      <c r="I80" s="36"/>
      <c r="J80" s="36"/>
      <c r="L80" s="35"/>
      <c r="M80" s="35"/>
    </row>
    <row r="81" spans="3:13" ht="25.8">
      <c r="C81" s="37"/>
      <c r="D81" s="35" t="s">
        <v>18</v>
      </c>
      <c r="E81" s="35" t="s">
        <v>3</v>
      </c>
      <c r="F81" s="99"/>
      <c r="G81" s="35"/>
      <c r="H81" s="35"/>
      <c r="I81" s="40"/>
      <c r="J81" s="40"/>
      <c r="L81" s="35"/>
      <c r="M81" s="35"/>
    </row>
    <row r="82" spans="3:13" ht="25.8">
      <c r="C82" s="37"/>
      <c r="D82" s="35" t="s">
        <v>18</v>
      </c>
      <c r="E82" s="35" t="s">
        <v>3</v>
      </c>
      <c r="F82" s="99"/>
      <c r="G82" s="35"/>
      <c r="H82" s="35"/>
      <c r="I82" s="40"/>
      <c r="J82" s="40"/>
      <c r="L82" s="35"/>
      <c r="M82" s="35"/>
    </row>
    <row r="83" spans="3:13" ht="25.8">
      <c r="C83" s="37"/>
      <c r="D83" s="35" t="s">
        <v>18</v>
      </c>
      <c r="E83" s="35" t="s">
        <v>3</v>
      </c>
      <c r="F83" s="99"/>
      <c r="G83" s="35"/>
      <c r="H83" s="35"/>
      <c r="I83" s="40"/>
      <c r="J83" s="40"/>
      <c r="L83" s="35"/>
      <c r="M83" s="35"/>
    </row>
    <row r="84" spans="3:13" ht="25.8">
      <c r="C84" s="37"/>
      <c r="D84" s="35" t="s">
        <v>18</v>
      </c>
      <c r="E84" s="35" t="s">
        <v>3</v>
      </c>
      <c r="F84" s="99"/>
      <c r="G84" s="35"/>
      <c r="H84" s="35"/>
      <c r="I84" s="40"/>
      <c r="J84" s="40"/>
      <c r="L84" s="35"/>
      <c r="M84" s="35"/>
    </row>
    <row r="85" spans="3:13" ht="25.8">
      <c r="C85" s="37"/>
      <c r="D85" s="35" t="s">
        <v>18</v>
      </c>
      <c r="E85" s="35" t="s">
        <v>3</v>
      </c>
      <c r="F85" s="99"/>
      <c r="G85" s="35"/>
      <c r="H85" s="35"/>
      <c r="I85" s="36"/>
      <c r="J85" s="36"/>
      <c r="L85" s="35"/>
      <c r="M85" s="35"/>
    </row>
    <row r="86" spans="3:13" ht="25.8">
      <c r="C86" s="37"/>
      <c r="D86" s="35" t="s">
        <v>18</v>
      </c>
      <c r="E86" s="35" t="s">
        <v>3</v>
      </c>
      <c r="F86" s="99"/>
      <c r="G86" s="35"/>
      <c r="H86" s="35"/>
      <c r="I86" s="36"/>
      <c r="J86" s="36"/>
      <c r="L86" s="35"/>
      <c r="M86" s="35"/>
    </row>
    <row r="87" spans="3:13" ht="25.8">
      <c r="C87" s="37"/>
      <c r="D87" s="35" t="s">
        <v>18</v>
      </c>
      <c r="E87" s="35" t="s">
        <v>3</v>
      </c>
      <c r="F87" s="99"/>
      <c r="G87" s="35"/>
      <c r="H87" s="35"/>
      <c r="I87" s="36"/>
      <c r="J87" s="36"/>
      <c r="L87" s="35"/>
      <c r="M87" s="35"/>
    </row>
    <row r="88" spans="3:13" ht="25.8">
      <c r="C88" s="37"/>
      <c r="D88" s="35" t="s">
        <v>18</v>
      </c>
      <c r="E88" s="35" t="s">
        <v>3</v>
      </c>
      <c r="F88" s="99"/>
      <c r="G88" s="35"/>
      <c r="H88" s="35"/>
      <c r="I88" s="36"/>
      <c r="J88" s="36"/>
      <c r="L88" s="35"/>
      <c r="M88" s="35"/>
    </row>
    <row r="89" spans="3:13" ht="25.8">
      <c r="C89" s="37"/>
      <c r="D89" s="35" t="s">
        <v>18</v>
      </c>
      <c r="E89" s="35" t="s">
        <v>3</v>
      </c>
      <c r="F89" s="99"/>
      <c r="G89" s="35"/>
      <c r="H89" s="35"/>
      <c r="I89" s="36"/>
      <c r="J89" s="36"/>
      <c r="L89" s="35"/>
      <c r="M89" s="35"/>
    </row>
    <row r="90" spans="3:13" ht="25.8">
      <c r="C90" s="37"/>
      <c r="D90" s="35" t="s">
        <v>18</v>
      </c>
      <c r="E90" s="35" t="s">
        <v>3</v>
      </c>
      <c r="F90" s="99"/>
      <c r="G90" s="35"/>
      <c r="H90" s="35"/>
      <c r="I90" s="36"/>
      <c r="J90" s="36"/>
      <c r="L90" s="35"/>
      <c r="M90" s="35"/>
    </row>
    <row r="91" spans="3:13" ht="25.8">
      <c r="C91" s="37"/>
      <c r="D91" s="35" t="s">
        <v>18</v>
      </c>
      <c r="E91" s="35" t="s">
        <v>3</v>
      </c>
      <c r="F91" s="99"/>
      <c r="G91" s="35"/>
      <c r="H91" s="35"/>
      <c r="I91" s="36"/>
      <c r="J91" s="36"/>
      <c r="L91" s="35"/>
      <c r="M91" s="35"/>
    </row>
    <row r="92" spans="3:13" ht="25.8">
      <c r="C92" s="37"/>
      <c r="D92" s="35" t="s">
        <v>18</v>
      </c>
      <c r="E92" s="35" t="s">
        <v>3</v>
      </c>
      <c r="F92" s="99"/>
      <c r="G92" s="35"/>
      <c r="H92" s="35"/>
      <c r="I92" s="36"/>
      <c r="J92" s="36"/>
      <c r="L92" s="35"/>
      <c r="M92" s="35"/>
    </row>
    <row r="93" spans="3:13" ht="25.8">
      <c r="C93" s="37"/>
      <c r="D93" s="35" t="s">
        <v>18</v>
      </c>
      <c r="E93" s="35" t="s">
        <v>3</v>
      </c>
      <c r="F93" s="99"/>
      <c r="G93" s="35"/>
      <c r="H93" s="35"/>
      <c r="I93" s="36"/>
      <c r="J93" s="36"/>
      <c r="L93" s="35"/>
      <c r="M93" s="35"/>
    </row>
    <row r="94" spans="3:13" ht="25.8">
      <c r="C94" s="37"/>
      <c r="D94" s="35" t="s">
        <v>18</v>
      </c>
      <c r="E94" s="35" t="s">
        <v>3</v>
      </c>
      <c r="F94" s="99"/>
      <c r="G94" s="35"/>
      <c r="H94" s="35"/>
      <c r="I94" s="36"/>
      <c r="J94" s="36"/>
      <c r="L94" s="35"/>
      <c r="M94" s="35"/>
    </row>
    <row r="95" spans="3:13" ht="25.8">
      <c r="C95" s="37"/>
      <c r="D95" s="35" t="s">
        <v>18</v>
      </c>
      <c r="E95" s="35" t="s">
        <v>3</v>
      </c>
      <c r="F95" s="99"/>
      <c r="G95" s="35"/>
      <c r="H95" s="35"/>
      <c r="I95" s="36"/>
      <c r="J95" s="36"/>
      <c r="L95" s="35"/>
      <c r="M95" s="35"/>
    </row>
    <row r="96" spans="3:13" ht="25.8">
      <c r="C96" s="37"/>
      <c r="D96" s="35" t="s">
        <v>18</v>
      </c>
      <c r="E96" s="35" t="s">
        <v>3</v>
      </c>
      <c r="F96" s="99"/>
      <c r="G96" s="35"/>
      <c r="H96" s="35"/>
      <c r="I96" s="36"/>
      <c r="J96" s="36"/>
      <c r="L96" s="35"/>
      <c r="M96" s="35"/>
    </row>
    <row r="97" spans="3:13" ht="25.8">
      <c r="C97" s="37"/>
      <c r="D97" s="35" t="s">
        <v>18</v>
      </c>
      <c r="E97" s="35" t="s">
        <v>3</v>
      </c>
      <c r="F97" s="99"/>
      <c r="G97" s="35"/>
      <c r="H97" s="35"/>
      <c r="I97" s="36"/>
      <c r="J97" s="36"/>
      <c r="L97" s="35"/>
      <c r="M97" s="35"/>
    </row>
    <row r="98" spans="3:13" ht="25.8">
      <c r="C98" s="37"/>
      <c r="D98" s="35" t="s">
        <v>18</v>
      </c>
      <c r="E98" s="35" t="s">
        <v>3</v>
      </c>
      <c r="F98" s="99"/>
      <c r="G98" s="35"/>
      <c r="H98" s="35"/>
      <c r="I98" s="36"/>
      <c r="J98" s="36"/>
      <c r="L98" s="35"/>
      <c r="M98" s="35"/>
    </row>
    <row r="99" spans="3:13" ht="25.8">
      <c r="C99" s="37"/>
      <c r="D99" s="35" t="s">
        <v>18</v>
      </c>
      <c r="E99" s="35" t="s">
        <v>3</v>
      </c>
      <c r="F99" s="99"/>
      <c r="G99" s="35"/>
      <c r="H99" s="35"/>
      <c r="I99" s="36"/>
      <c r="J99" s="36"/>
      <c r="L99" s="35"/>
      <c r="M99" s="35"/>
    </row>
    <row r="100" spans="3:13" ht="25.8">
      <c r="C100" s="37"/>
      <c r="D100" s="35" t="s">
        <v>18</v>
      </c>
      <c r="E100" s="35" t="s">
        <v>3</v>
      </c>
      <c r="F100" s="99"/>
      <c r="G100" s="35"/>
      <c r="H100" s="35"/>
      <c r="I100" s="36"/>
      <c r="J100" s="36"/>
      <c r="L100" s="35"/>
      <c r="M100" s="35"/>
    </row>
    <row r="101" spans="3:13" ht="25.8">
      <c r="C101" s="37"/>
      <c r="D101" s="35" t="s">
        <v>18</v>
      </c>
      <c r="E101" s="35" t="s">
        <v>3</v>
      </c>
      <c r="F101" s="99"/>
      <c r="G101" s="35"/>
      <c r="H101" s="35"/>
      <c r="I101" s="36"/>
      <c r="J101" s="36"/>
      <c r="L101" s="35"/>
      <c r="M101" s="35"/>
    </row>
    <row r="102" spans="3:13" ht="25.8">
      <c r="C102" s="37"/>
      <c r="D102" s="35" t="s">
        <v>18</v>
      </c>
      <c r="E102" s="35" t="s">
        <v>3</v>
      </c>
      <c r="F102" s="99"/>
      <c r="G102" s="35"/>
      <c r="H102" s="35"/>
      <c r="I102" s="36"/>
      <c r="J102" s="36"/>
      <c r="L102" s="35"/>
      <c r="M102" s="35"/>
    </row>
    <row r="103" spans="3:13" ht="25.8">
      <c r="C103" s="37"/>
      <c r="D103" s="35" t="s">
        <v>18</v>
      </c>
      <c r="E103" s="35" t="s">
        <v>3</v>
      </c>
      <c r="F103" s="99"/>
      <c r="G103" s="35"/>
      <c r="H103" s="35"/>
      <c r="I103" s="36"/>
      <c r="J103" s="36"/>
      <c r="L103" s="35"/>
      <c r="M103" s="35"/>
    </row>
    <row r="104" spans="3:13" ht="25.8">
      <c r="C104" s="37"/>
      <c r="D104" s="35" t="s">
        <v>18</v>
      </c>
      <c r="E104" s="35" t="s">
        <v>3</v>
      </c>
      <c r="F104" s="99"/>
      <c r="G104" s="35"/>
      <c r="H104" s="35"/>
      <c r="I104" s="36"/>
      <c r="J104" s="36"/>
      <c r="L104" s="35"/>
      <c r="M104" s="35"/>
    </row>
    <row r="105" spans="3:13" ht="25.8">
      <c r="C105" s="37"/>
      <c r="D105" s="35" t="s">
        <v>18</v>
      </c>
      <c r="E105" s="35" t="s">
        <v>3</v>
      </c>
      <c r="F105" s="99"/>
      <c r="G105" s="35"/>
      <c r="H105" s="35"/>
      <c r="I105" s="36"/>
      <c r="J105" s="36"/>
      <c r="L105" s="35"/>
      <c r="M105" s="35"/>
    </row>
    <row r="106" spans="3:13" ht="25.8">
      <c r="C106" s="37"/>
      <c r="D106" s="35" t="s">
        <v>18</v>
      </c>
      <c r="E106" s="35" t="s">
        <v>3</v>
      </c>
      <c r="F106" s="99"/>
      <c r="G106" s="35"/>
      <c r="H106" s="35"/>
      <c r="I106" s="36"/>
      <c r="J106" s="36"/>
      <c r="L106" s="35"/>
      <c r="M106" s="35"/>
    </row>
    <row r="107" spans="3:13" ht="25.8">
      <c r="C107" s="43"/>
      <c r="D107" s="35" t="s">
        <v>18</v>
      </c>
      <c r="E107" s="35" t="s">
        <v>3</v>
      </c>
      <c r="F107" s="99"/>
      <c r="G107" s="35"/>
      <c r="H107" s="35"/>
      <c r="I107" s="36"/>
      <c r="J107" s="36"/>
      <c r="L107" s="35"/>
      <c r="M107" s="35"/>
    </row>
    <row r="108" spans="3:13" ht="25.8">
      <c r="C108" s="43"/>
      <c r="D108" s="35" t="s">
        <v>18</v>
      </c>
      <c r="E108" s="35" t="s">
        <v>3</v>
      </c>
      <c r="F108" s="99"/>
      <c r="G108" s="35"/>
      <c r="H108" s="35"/>
      <c r="I108" s="36"/>
      <c r="J108" s="36"/>
      <c r="L108" s="35"/>
      <c r="M108" s="35"/>
    </row>
    <row r="109" spans="3:13" ht="25.8">
      <c r="C109" s="43"/>
      <c r="D109" s="35" t="s">
        <v>18</v>
      </c>
      <c r="E109" s="35" t="s">
        <v>3</v>
      </c>
      <c r="F109" s="99"/>
      <c r="G109" s="35"/>
      <c r="H109" s="35"/>
      <c r="I109" s="36"/>
      <c r="J109" s="36"/>
      <c r="L109" s="35"/>
      <c r="M109" s="35"/>
    </row>
    <row r="110" spans="3:13" ht="25.8">
      <c r="C110" s="43"/>
      <c r="D110" s="35" t="s">
        <v>18</v>
      </c>
      <c r="E110" s="35" t="s">
        <v>3</v>
      </c>
      <c r="F110" s="99"/>
      <c r="G110" s="35"/>
      <c r="H110" s="35"/>
      <c r="I110" s="36"/>
      <c r="J110" s="36"/>
      <c r="L110" s="35"/>
      <c r="M110" s="35"/>
    </row>
    <row r="111" spans="3:13" ht="25.8">
      <c r="C111" s="43"/>
      <c r="D111" s="35" t="s">
        <v>18</v>
      </c>
      <c r="E111" s="35" t="s">
        <v>3</v>
      </c>
      <c r="F111" s="99"/>
      <c r="G111" s="35"/>
      <c r="H111" s="35"/>
      <c r="I111" s="36"/>
      <c r="J111" s="36"/>
      <c r="L111" s="35"/>
      <c r="M111" s="35"/>
    </row>
    <row r="112" spans="3:13" ht="25.8">
      <c r="C112" s="43"/>
      <c r="D112" s="35" t="s">
        <v>18</v>
      </c>
      <c r="E112" s="35" t="s">
        <v>3</v>
      </c>
      <c r="F112" s="120"/>
      <c r="G112" s="43"/>
      <c r="H112" s="43"/>
      <c r="I112" s="40"/>
      <c r="J112" s="40"/>
      <c r="L112" s="35"/>
      <c r="M112" s="35"/>
    </row>
    <row r="113" spans="3:13" ht="25.8">
      <c r="C113" s="43"/>
      <c r="D113" s="35" t="s">
        <v>18</v>
      </c>
      <c r="E113" s="35" t="s">
        <v>3</v>
      </c>
      <c r="F113" s="120"/>
      <c r="G113" s="43"/>
      <c r="H113" s="43"/>
      <c r="I113" s="40"/>
      <c r="J113" s="40"/>
      <c r="L113" s="35"/>
      <c r="M113" s="35"/>
    </row>
    <row r="114" spans="3:13" ht="25.8">
      <c r="C114" s="2"/>
      <c r="D114" s="35" t="s">
        <v>18</v>
      </c>
      <c r="E114" s="35" t="s">
        <v>3</v>
      </c>
      <c r="F114" s="121"/>
      <c r="G114" s="2"/>
      <c r="H114" s="2"/>
      <c r="I114" s="2"/>
      <c r="J114" s="2"/>
      <c r="L114" s="2"/>
      <c r="M114" s="2"/>
    </row>
    <row r="115" spans="3:13" ht="25.8">
      <c r="C115" s="2"/>
      <c r="D115" s="35" t="s">
        <v>18</v>
      </c>
      <c r="E115" s="35" t="s">
        <v>3</v>
      </c>
      <c r="F115" s="121"/>
      <c r="G115" s="2"/>
      <c r="H115" s="2"/>
      <c r="I115" s="2"/>
      <c r="J115" s="2"/>
      <c r="L115" s="2"/>
      <c r="M115" s="2"/>
    </row>
    <row r="116" spans="3:13" ht="25.8">
      <c r="C116" s="2"/>
      <c r="D116" s="35" t="s">
        <v>18</v>
      </c>
      <c r="E116" s="35" t="s">
        <v>3</v>
      </c>
      <c r="F116" s="121"/>
      <c r="G116" s="2"/>
      <c r="H116" s="2"/>
      <c r="I116" s="2"/>
      <c r="J116" s="2"/>
      <c r="L116" s="2"/>
      <c r="M116" s="2"/>
    </row>
    <row r="117" spans="3:13" ht="25.8">
      <c r="C117" s="2"/>
      <c r="D117" s="35" t="s">
        <v>18</v>
      </c>
      <c r="E117" s="35" t="s">
        <v>3</v>
      </c>
      <c r="F117" s="121"/>
      <c r="G117" s="2"/>
      <c r="H117" s="2"/>
      <c r="I117" s="2"/>
      <c r="J117" s="2"/>
      <c r="L117" s="2"/>
      <c r="M117" s="2"/>
    </row>
    <row r="118" spans="3:13" ht="25.8">
      <c r="C118" s="2"/>
      <c r="D118" s="35" t="s">
        <v>18</v>
      </c>
      <c r="E118" s="35" t="s">
        <v>3</v>
      </c>
      <c r="F118" s="121"/>
      <c r="G118" s="2"/>
      <c r="H118" s="2"/>
      <c r="I118" s="2"/>
      <c r="J118" s="2"/>
      <c r="L118" s="2"/>
      <c r="M118" s="2"/>
    </row>
    <row r="119" spans="3:13" ht="25.8">
      <c r="C119" s="2"/>
      <c r="D119" s="35" t="s">
        <v>18</v>
      </c>
      <c r="E119" s="35" t="s">
        <v>3</v>
      </c>
      <c r="F119" s="121"/>
      <c r="G119" s="2"/>
      <c r="H119" s="2"/>
      <c r="I119" s="2"/>
      <c r="J119" s="2"/>
      <c r="L119" s="2"/>
      <c r="M119" s="2"/>
    </row>
    <row r="120" spans="3:13" ht="25.8">
      <c r="C120" s="2"/>
      <c r="D120" s="35" t="s">
        <v>18</v>
      </c>
      <c r="E120" s="35" t="s">
        <v>3</v>
      </c>
      <c r="F120" s="121"/>
      <c r="G120" s="2"/>
      <c r="H120" s="2"/>
      <c r="I120" s="2"/>
      <c r="J120" s="2"/>
      <c r="L120" s="2"/>
      <c r="M120" s="2"/>
    </row>
    <row r="121" spans="3:13" ht="25.8">
      <c r="C121" s="2"/>
      <c r="D121" s="35" t="s">
        <v>18</v>
      </c>
      <c r="E121" s="35" t="s">
        <v>3</v>
      </c>
      <c r="F121" s="121"/>
      <c r="G121" s="2"/>
      <c r="H121" s="2"/>
      <c r="I121" s="2"/>
      <c r="J121" s="2"/>
      <c r="L121" s="2"/>
      <c r="M121" s="2"/>
    </row>
    <row r="122" spans="3:13" ht="25.8">
      <c r="C122" s="2"/>
      <c r="D122" s="35" t="s">
        <v>18</v>
      </c>
      <c r="E122" s="35" t="s">
        <v>3</v>
      </c>
      <c r="F122" s="121"/>
      <c r="G122" s="2"/>
      <c r="H122" s="2"/>
      <c r="I122" s="2"/>
      <c r="J122" s="2"/>
      <c r="L122" s="2"/>
      <c r="M122" s="2"/>
    </row>
    <row r="123" spans="3:13" ht="25.8">
      <c r="C123" s="2"/>
      <c r="D123" s="35" t="s">
        <v>18</v>
      </c>
      <c r="E123" s="35" t="s">
        <v>3</v>
      </c>
      <c r="F123" s="121"/>
      <c r="G123" s="2"/>
      <c r="H123" s="2"/>
      <c r="I123" s="2"/>
      <c r="J123" s="2"/>
      <c r="L123" s="2"/>
      <c r="M123" s="2"/>
    </row>
    <row r="124" spans="3:13" ht="25.8">
      <c r="C124" s="2"/>
      <c r="D124" s="35" t="s">
        <v>18</v>
      </c>
      <c r="E124" s="35" t="s">
        <v>3</v>
      </c>
      <c r="F124" s="121"/>
      <c r="G124" s="2"/>
      <c r="H124" s="2"/>
      <c r="I124" s="2"/>
      <c r="J124" s="2"/>
      <c r="L124" s="2"/>
      <c r="M124" s="2"/>
    </row>
    <row r="125" spans="3:13" ht="25.8">
      <c r="C125" s="2"/>
      <c r="D125" s="35" t="s">
        <v>18</v>
      </c>
      <c r="E125" s="35" t="s">
        <v>3</v>
      </c>
      <c r="F125" s="121"/>
      <c r="G125" s="2"/>
      <c r="H125" s="2"/>
      <c r="I125" s="2"/>
      <c r="J125" s="2"/>
      <c r="L125" s="2"/>
      <c r="M125" s="2"/>
    </row>
    <row r="126" spans="3:13" ht="25.8">
      <c r="C126" s="2"/>
      <c r="D126" s="35" t="s">
        <v>18</v>
      </c>
      <c r="E126" s="35" t="s">
        <v>3</v>
      </c>
      <c r="F126" s="121"/>
      <c r="G126" s="2"/>
      <c r="H126" s="2"/>
      <c r="I126" s="2"/>
      <c r="J126" s="2"/>
      <c r="L126" s="2"/>
      <c r="M126" s="2"/>
    </row>
    <row r="127" spans="3:13" ht="25.8">
      <c r="C127" s="2"/>
      <c r="D127" s="35" t="s">
        <v>18</v>
      </c>
      <c r="E127" s="35" t="s">
        <v>3</v>
      </c>
      <c r="F127" s="121"/>
      <c r="G127" s="2"/>
      <c r="H127" s="2"/>
      <c r="I127" s="2"/>
      <c r="J127" s="2"/>
      <c r="L127" s="2"/>
      <c r="M127" s="2"/>
    </row>
    <row r="128" spans="3:13" ht="25.8">
      <c r="C128" s="2"/>
      <c r="D128" s="35" t="s">
        <v>18</v>
      </c>
      <c r="E128" s="35" t="s">
        <v>3</v>
      </c>
      <c r="F128" s="121"/>
      <c r="G128" s="2"/>
      <c r="H128" s="2"/>
      <c r="I128" s="2"/>
      <c r="J128" s="2"/>
      <c r="L128" s="2"/>
      <c r="M128" s="2"/>
    </row>
    <row r="129" spans="3:13" ht="25.8">
      <c r="C129" s="2"/>
      <c r="D129" s="35" t="s">
        <v>18</v>
      </c>
      <c r="E129" s="35" t="s">
        <v>3</v>
      </c>
      <c r="F129" s="121"/>
      <c r="G129" s="2"/>
      <c r="H129" s="2"/>
      <c r="I129" s="2"/>
      <c r="J129" s="2"/>
      <c r="L129" s="2"/>
      <c r="M129" s="2"/>
    </row>
    <row r="130" spans="3:13" ht="25.8">
      <c r="C130" s="2"/>
      <c r="D130" s="35" t="s">
        <v>18</v>
      </c>
      <c r="E130" s="35" t="s">
        <v>3</v>
      </c>
      <c r="F130" s="121"/>
      <c r="G130" s="2"/>
      <c r="H130" s="2"/>
      <c r="I130" s="2"/>
      <c r="J130" s="2"/>
      <c r="L130" s="2"/>
      <c r="M130" s="2"/>
    </row>
    <row r="131" spans="3:13" ht="25.8">
      <c r="C131" s="2"/>
      <c r="D131" s="35" t="s">
        <v>18</v>
      </c>
      <c r="E131" s="35" t="s">
        <v>3</v>
      </c>
      <c r="F131" s="121"/>
      <c r="G131" s="2"/>
      <c r="H131" s="2"/>
      <c r="I131" s="2"/>
      <c r="J131" s="2"/>
      <c r="L131" s="2"/>
      <c r="M131" s="2"/>
    </row>
    <row r="132" spans="3:13" ht="25.8">
      <c r="C132" s="2"/>
      <c r="D132" s="35" t="s">
        <v>18</v>
      </c>
      <c r="E132" s="35" t="s">
        <v>3</v>
      </c>
      <c r="F132" s="121"/>
      <c r="G132" s="2"/>
      <c r="H132" s="2"/>
      <c r="I132" s="2"/>
      <c r="J132" s="2"/>
      <c r="L132" s="2"/>
      <c r="M132" s="2"/>
    </row>
    <row r="133" spans="3:13" ht="25.8">
      <c r="C133" s="2"/>
      <c r="D133" s="35" t="s">
        <v>18</v>
      </c>
      <c r="E133" s="35" t="s">
        <v>3</v>
      </c>
      <c r="F133" s="121"/>
      <c r="G133" s="2"/>
      <c r="H133" s="2"/>
      <c r="I133" s="2"/>
      <c r="J133" s="2"/>
      <c r="L133" s="2"/>
      <c r="M133" s="2"/>
    </row>
    <row r="134" spans="3:13" ht="25.8">
      <c r="C134" s="2"/>
      <c r="D134" s="35" t="s">
        <v>18</v>
      </c>
      <c r="E134" s="35" t="s">
        <v>3</v>
      </c>
      <c r="F134" s="121"/>
      <c r="G134" s="2"/>
      <c r="H134" s="2"/>
      <c r="I134" s="2"/>
      <c r="J134" s="2"/>
      <c r="L134" s="2"/>
      <c r="M134" s="2"/>
    </row>
    <row r="135" spans="3:13" ht="25.8">
      <c r="C135" s="2"/>
      <c r="D135" s="35" t="s">
        <v>18</v>
      </c>
      <c r="E135" s="35" t="s">
        <v>3</v>
      </c>
      <c r="F135" s="121"/>
      <c r="G135" s="2"/>
      <c r="H135" s="2"/>
      <c r="I135" s="2"/>
      <c r="J135" s="2"/>
      <c r="L135" s="2"/>
      <c r="M135" s="2"/>
    </row>
    <row r="136" spans="3:13" ht="25.8">
      <c r="C136" s="2"/>
      <c r="D136" s="35" t="s">
        <v>18</v>
      </c>
      <c r="E136" s="35" t="s">
        <v>3</v>
      </c>
      <c r="F136" s="121"/>
      <c r="G136" s="2"/>
      <c r="H136" s="2"/>
      <c r="I136" s="2"/>
      <c r="J136" s="2"/>
      <c r="L136" s="2"/>
      <c r="M136" s="2"/>
    </row>
    <row r="137" spans="3:13" ht="25.8">
      <c r="C137" s="2"/>
      <c r="D137" s="35" t="s">
        <v>18</v>
      </c>
      <c r="E137" s="35" t="s">
        <v>3</v>
      </c>
      <c r="F137" s="121"/>
      <c r="G137" s="2"/>
      <c r="H137" s="2"/>
      <c r="I137" s="2"/>
      <c r="J137" s="2"/>
      <c r="L137" s="2"/>
      <c r="M137" s="2"/>
    </row>
    <row r="138" spans="3:13" ht="25.8">
      <c r="C138" s="2"/>
      <c r="D138" s="35" t="s">
        <v>18</v>
      </c>
      <c r="E138" s="35" t="s">
        <v>3</v>
      </c>
      <c r="F138" s="121"/>
      <c r="G138" s="2"/>
      <c r="H138" s="2"/>
      <c r="I138" s="2"/>
      <c r="J138" s="2"/>
      <c r="L138" s="2"/>
      <c r="M138" s="2"/>
    </row>
    <row r="139" spans="3:13" ht="25.8">
      <c r="C139" s="2"/>
      <c r="D139" s="35" t="s">
        <v>18</v>
      </c>
      <c r="E139" s="35" t="s">
        <v>3</v>
      </c>
      <c r="F139" s="121"/>
      <c r="G139" s="2"/>
      <c r="H139" s="2"/>
      <c r="I139" s="2"/>
      <c r="J139" s="2"/>
      <c r="L139" s="2"/>
      <c r="M139" s="2"/>
    </row>
    <row r="140" spans="3:13" ht="25.8">
      <c r="C140" s="2"/>
      <c r="D140" s="35" t="s">
        <v>18</v>
      </c>
      <c r="E140" s="35" t="s">
        <v>3</v>
      </c>
      <c r="F140" s="121"/>
      <c r="G140" s="2"/>
      <c r="H140" s="2"/>
      <c r="I140" s="2"/>
      <c r="J140" s="2"/>
      <c r="L140" s="2"/>
      <c r="M140" s="2"/>
    </row>
    <row r="141" spans="3:13" ht="25.8">
      <c r="C141" s="2"/>
      <c r="D141" s="35" t="s">
        <v>18</v>
      </c>
      <c r="E141" s="35" t="s">
        <v>3</v>
      </c>
      <c r="F141" s="121"/>
      <c r="G141" s="2"/>
      <c r="H141" s="2"/>
      <c r="I141" s="2"/>
      <c r="J141" s="2"/>
      <c r="L141" s="2"/>
      <c r="M141" s="2"/>
    </row>
    <row r="142" spans="3:13" ht="25.8">
      <c r="C142" s="2"/>
      <c r="D142" s="35" t="s">
        <v>18</v>
      </c>
      <c r="E142" s="35" t="s">
        <v>3</v>
      </c>
      <c r="F142" s="121"/>
      <c r="G142" s="2"/>
      <c r="H142" s="2"/>
      <c r="I142" s="2"/>
      <c r="J142" s="2"/>
      <c r="L142" s="2"/>
      <c r="M142" s="2"/>
    </row>
    <row r="143" spans="3:13" ht="25.8">
      <c r="C143" s="2"/>
      <c r="D143" s="35" t="s">
        <v>18</v>
      </c>
      <c r="E143" s="35" t="s">
        <v>3</v>
      </c>
      <c r="F143" s="121"/>
      <c r="G143" s="2"/>
      <c r="H143" s="2"/>
      <c r="I143" s="2"/>
      <c r="J143" s="2"/>
      <c r="L143" s="2"/>
      <c r="M143" s="2"/>
    </row>
    <row r="144" spans="3:13" ht="25.8">
      <c r="C144" s="2"/>
      <c r="D144" s="35" t="s">
        <v>18</v>
      </c>
      <c r="E144" s="35" t="s">
        <v>3</v>
      </c>
      <c r="F144" s="121"/>
      <c r="G144" s="2"/>
      <c r="H144" s="2"/>
      <c r="I144" s="2"/>
      <c r="J144" s="2"/>
      <c r="L144" s="2"/>
      <c r="M144" s="2"/>
    </row>
    <row r="145" spans="3:13" ht="25.8">
      <c r="C145" s="2"/>
      <c r="D145" s="35" t="s">
        <v>18</v>
      </c>
      <c r="E145" s="35" t="s">
        <v>3</v>
      </c>
      <c r="F145" s="121"/>
      <c r="G145" s="2"/>
      <c r="H145" s="2"/>
      <c r="I145" s="2"/>
      <c r="J145" s="2"/>
      <c r="L145" s="2"/>
      <c r="M145" s="2"/>
    </row>
    <row r="146" spans="3:13" ht="25.8">
      <c r="C146" s="2"/>
      <c r="D146" s="35" t="s">
        <v>18</v>
      </c>
      <c r="E146" s="35" t="s">
        <v>3</v>
      </c>
      <c r="F146" s="121"/>
      <c r="G146" s="2"/>
      <c r="H146" s="2"/>
      <c r="I146" s="2"/>
      <c r="J146" s="2"/>
      <c r="L146" s="2"/>
      <c r="M146" s="2"/>
    </row>
    <row r="147" spans="3:13" ht="25.8">
      <c r="C147" s="2"/>
      <c r="D147" s="35" t="s">
        <v>18</v>
      </c>
      <c r="E147" s="35" t="s">
        <v>3</v>
      </c>
      <c r="F147" s="121"/>
      <c r="G147" s="2"/>
      <c r="H147" s="2"/>
      <c r="I147" s="2"/>
      <c r="J147" s="2"/>
      <c r="L147" s="2"/>
      <c r="M147" s="2"/>
    </row>
    <row r="148" spans="3:13" ht="25.8">
      <c r="C148" s="2"/>
      <c r="D148" s="35" t="s">
        <v>18</v>
      </c>
      <c r="E148" s="35" t="s">
        <v>3</v>
      </c>
      <c r="F148" s="121"/>
      <c r="G148" s="2"/>
      <c r="H148" s="2"/>
      <c r="I148" s="2"/>
      <c r="J148" s="2"/>
      <c r="L148" s="2"/>
      <c r="M148" s="2"/>
    </row>
    <row r="149" spans="3:13" ht="25.8">
      <c r="C149" s="2"/>
      <c r="D149" s="35" t="s">
        <v>18</v>
      </c>
      <c r="E149" s="35" t="s">
        <v>3</v>
      </c>
      <c r="F149" s="121"/>
      <c r="G149" s="2"/>
      <c r="H149" s="2"/>
      <c r="I149" s="2"/>
      <c r="J149" s="2"/>
      <c r="L149" s="2"/>
      <c r="M149" s="2"/>
    </row>
    <row r="150" spans="3:13" ht="25.8">
      <c r="C150" s="2"/>
      <c r="D150" s="35" t="s">
        <v>18</v>
      </c>
      <c r="E150" s="35" t="s">
        <v>3</v>
      </c>
      <c r="F150" s="121"/>
      <c r="G150" s="2"/>
      <c r="H150" s="2"/>
      <c r="I150" s="2"/>
      <c r="J150" s="2"/>
      <c r="L150" s="2"/>
      <c r="M150" s="2"/>
    </row>
    <row r="151" spans="3:13" ht="25.8">
      <c r="C151" s="2"/>
      <c r="D151" s="35" t="s">
        <v>18</v>
      </c>
      <c r="E151" s="35" t="s">
        <v>3</v>
      </c>
      <c r="F151" s="121"/>
      <c r="G151" s="2"/>
      <c r="H151" s="2"/>
      <c r="I151" s="2"/>
      <c r="J151" s="2"/>
      <c r="L151" s="2"/>
      <c r="M151" s="2"/>
    </row>
    <row r="152" spans="3:13" ht="25.8">
      <c r="C152" s="2"/>
      <c r="D152" s="35" t="s">
        <v>18</v>
      </c>
      <c r="E152" s="35" t="s">
        <v>3</v>
      </c>
      <c r="F152" s="121"/>
      <c r="G152" s="2"/>
      <c r="H152" s="2"/>
      <c r="I152" s="2"/>
      <c r="J152" s="2"/>
      <c r="L152" s="2"/>
      <c r="M152" s="2"/>
    </row>
    <row r="153" spans="3:13" ht="25.8">
      <c r="C153" s="2"/>
      <c r="D153" s="35" t="s">
        <v>18</v>
      </c>
      <c r="E153" s="35" t="s">
        <v>3</v>
      </c>
      <c r="F153" s="121"/>
      <c r="G153" s="2"/>
      <c r="H153" s="2"/>
      <c r="I153" s="2"/>
      <c r="J153" s="2"/>
      <c r="L153" s="2"/>
      <c r="M153" s="2"/>
    </row>
    <row r="154" spans="3:13" ht="25.8">
      <c r="C154" s="2"/>
      <c r="D154" s="35" t="s">
        <v>18</v>
      </c>
      <c r="E154" s="35" t="s">
        <v>3</v>
      </c>
      <c r="F154" s="121"/>
      <c r="G154" s="2"/>
      <c r="H154" s="2"/>
      <c r="I154" s="2"/>
      <c r="J154" s="2"/>
      <c r="L154" s="2"/>
      <c r="M154" s="2"/>
    </row>
    <row r="155" spans="3:13" ht="25.8">
      <c r="C155" s="2"/>
      <c r="D155" s="35" t="s">
        <v>18</v>
      </c>
      <c r="E155" s="35" t="s">
        <v>3</v>
      </c>
      <c r="F155" s="121"/>
      <c r="G155" s="2"/>
      <c r="H155" s="2"/>
      <c r="I155" s="2"/>
      <c r="J155" s="2"/>
      <c r="L155" s="2"/>
      <c r="M155" s="2"/>
    </row>
    <row r="156" spans="3:13" ht="25.8">
      <c r="C156" s="2"/>
      <c r="D156" s="35" t="s">
        <v>18</v>
      </c>
      <c r="E156" s="35" t="s">
        <v>3</v>
      </c>
      <c r="F156" s="121"/>
      <c r="G156" s="2"/>
      <c r="H156" s="2"/>
      <c r="I156" s="2"/>
      <c r="J156" s="2"/>
      <c r="L156" s="2"/>
      <c r="M156" s="2"/>
    </row>
    <row r="157" spans="3:13" ht="25.8">
      <c r="C157" s="2"/>
      <c r="D157" s="35" t="s">
        <v>18</v>
      </c>
      <c r="E157" s="35" t="s">
        <v>3</v>
      </c>
      <c r="F157" s="121"/>
      <c r="G157" s="2"/>
      <c r="H157" s="2"/>
      <c r="I157" s="2"/>
      <c r="J157" s="2"/>
      <c r="L157" s="2"/>
      <c r="M157" s="2"/>
    </row>
    <row r="158" spans="3:13" ht="25.8">
      <c r="C158" s="2"/>
      <c r="D158" s="35" t="s">
        <v>18</v>
      </c>
      <c r="E158" s="35" t="s">
        <v>3</v>
      </c>
      <c r="F158" s="121"/>
      <c r="G158" s="2"/>
      <c r="H158" s="2"/>
      <c r="I158" s="2"/>
      <c r="J158" s="2"/>
      <c r="L158" s="2"/>
      <c r="M158" s="2"/>
    </row>
    <row r="159" spans="3:13" ht="25.8">
      <c r="C159" s="2"/>
      <c r="D159" s="35" t="s">
        <v>18</v>
      </c>
      <c r="E159" s="35" t="s">
        <v>3</v>
      </c>
      <c r="F159" s="121"/>
      <c r="G159" s="2"/>
      <c r="H159" s="2"/>
      <c r="I159" s="2"/>
      <c r="J159" s="2"/>
      <c r="L159" s="2"/>
      <c r="M159" s="2"/>
    </row>
    <row r="160" spans="3:13" ht="25.8">
      <c r="C160" s="2"/>
      <c r="D160" s="35" t="s">
        <v>18</v>
      </c>
      <c r="E160" s="35" t="s">
        <v>3</v>
      </c>
      <c r="F160" s="121"/>
      <c r="G160" s="2"/>
      <c r="H160" s="2"/>
      <c r="I160" s="2"/>
      <c r="J160" s="2"/>
      <c r="L160" s="2"/>
      <c r="M160" s="2"/>
    </row>
    <row r="161" spans="3:13" ht="25.8">
      <c r="C161" s="2"/>
      <c r="D161" s="35" t="s">
        <v>18</v>
      </c>
      <c r="E161" s="35" t="s">
        <v>3</v>
      </c>
      <c r="F161" s="121"/>
      <c r="G161" s="2"/>
      <c r="H161" s="2"/>
      <c r="I161" s="2"/>
      <c r="J161" s="2"/>
      <c r="L161" s="2"/>
      <c r="M161" s="2"/>
    </row>
    <row r="162" spans="3:13" ht="25.8">
      <c r="C162" s="2"/>
      <c r="D162" s="35" t="s">
        <v>18</v>
      </c>
      <c r="E162" s="35" t="s">
        <v>3</v>
      </c>
      <c r="F162" s="121"/>
      <c r="G162" s="2"/>
      <c r="H162" s="2"/>
      <c r="I162" s="2"/>
      <c r="J162" s="2"/>
      <c r="L162" s="2"/>
      <c r="M162" s="2"/>
    </row>
    <row r="163" spans="3:13" ht="25.8">
      <c r="C163" s="2"/>
      <c r="D163" s="35" t="s">
        <v>18</v>
      </c>
      <c r="E163" s="35" t="s">
        <v>3</v>
      </c>
      <c r="F163" s="121"/>
      <c r="G163" s="2"/>
      <c r="H163" s="2"/>
      <c r="I163" s="2"/>
      <c r="J163" s="2"/>
      <c r="L163" s="2"/>
      <c r="M163" s="2"/>
    </row>
    <row r="164" spans="3:13" ht="25.8">
      <c r="C164" s="2"/>
      <c r="D164" s="35" t="s">
        <v>18</v>
      </c>
      <c r="E164" s="35" t="s">
        <v>3</v>
      </c>
      <c r="F164" s="121"/>
      <c r="G164" s="2"/>
      <c r="H164" s="2"/>
      <c r="I164" s="2"/>
      <c r="J164" s="2"/>
      <c r="L164" s="2"/>
      <c r="M164" s="2"/>
    </row>
    <row r="165" spans="3:13" ht="25.8">
      <c r="C165" s="2"/>
      <c r="D165" s="35" t="s">
        <v>18</v>
      </c>
      <c r="E165" s="35" t="s">
        <v>3</v>
      </c>
      <c r="F165" s="121"/>
      <c r="G165" s="2"/>
      <c r="H165" s="2"/>
      <c r="I165" s="2"/>
      <c r="J165" s="2"/>
      <c r="L165" s="2"/>
      <c r="M165" s="2"/>
    </row>
    <row r="166" spans="3:13" ht="25.8">
      <c r="C166" s="2"/>
      <c r="D166" s="35" t="s">
        <v>18</v>
      </c>
      <c r="E166" s="35" t="s">
        <v>3</v>
      </c>
      <c r="F166" s="121"/>
      <c r="G166" s="2"/>
      <c r="H166" s="2"/>
      <c r="I166" s="2"/>
      <c r="J166" s="2"/>
      <c r="L166" s="2"/>
      <c r="M166" s="2"/>
    </row>
    <row r="167" spans="3:13" ht="25.8">
      <c r="C167" s="2"/>
      <c r="D167" s="35" t="s">
        <v>18</v>
      </c>
      <c r="E167" s="35" t="s">
        <v>3</v>
      </c>
      <c r="F167" s="121"/>
      <c r="G167" s="2"/>
      <c r="H167" s="2"/>
      <c r="I167" s="2"/>
      <c r="J167" s="2"/>
      <c r="L167" s="2"/>
      <c r="M167" s="2"/>
    </row>
    <row r="168" spans="3:13" ht="25.8">
      <c r="C168" s="2"/>
      <c r="D168" s="35" t="s">
        <v>18</v>
      </c>
      <c r="E168" s="35" t="s">
        <v>3</v>
      </c>
      <c r="F168" s="121"/>
      <c r="G168" s="2"/>
      <c r="H168" s="2"/>
      <c r="I168" s="2"/>
      <c r="J168" s="2"/>
      <c r="L168" s="2"/>
      <c r="M168" s="2"/>
    </row>
    <row r="169" spans="3:13" ht="25.8">
      <c r="C169" s="2"/>
      <c r="D169" s="35" t="s">
        <v>18</v>
      </c>
      <c r="E169" s="35" t="s">
        <v>3</v>
      </c>
      <c r="F169" s="121"/>
      <c r="G169" s="2"/>
      <c r="H169" s="2"/>
      <c r="I169" s="2"/>
      <c r="J169" s="2"/>
      <c r="L169" s="2"/>
      <c r="M169" s="2"/>
    </row>
    <row r="170" spans="3:13" ht="25.8">
      <c r="C170" s="2"/>
      <c r="D170" s="35" t="s">
        <v>18</v>
      </c>
      <c r="E170" s="35" t="s">
        <v>3</v>
      </c>
      <c r="F170" s="121"/>
      <c r="G170" s="2"/>
      <c r="H170" s="2"/>
      <c r="I170" s="2"/>
      <c r="J170" s="2"/>
      <c r="L170" s="2"/>
      <c r="M170" s="2"/>
    </row>
    <row r="171" spans="3:13" ht="25.8">
      <c r="C171" s="2"/>
      <c r="D171" s="35" t="s">
        <v>18</v>
      </c>
      <c r="E171" s="35" t="s">
        <v>3</v>
      </c>
      <c r="F171" s="121"/>
      <c r="G171" s="2"/>
      <c r="H171" s="2"/>
      <c r="I171" s="2"/>
      <c r="J171" s="2"/>
      <c r="L171" s="2"/>
      <c r="M171" s="2"/>
    </row>
    <row r="172" spans="3:13" ht="25.8">
      <c r="C172" s="2"/>
      <c r="D172" s="35" t="s">
        <v>18</v>
      </c>
      <c r="E172" s="35" t="s">
        <v>3</v>
      </c>
      <c r="F172" s="121"/>
      <c r="G172" s="2"/>
      <c r="H172" s="2"/>
      <c r="I172" s="2"/>
      <c r="J172" s="2"/>
      <c r="L172" s="2"/>
      <c r="M172" s="2"/>
    </row>
    <row r="173" spans="3:13" ht="25.8">
      <c r="C173" s="2"/>
      <c r="D173" s="35" t="s">
        <v>18</v>
      </c>
      <c r="E173" s="35" t="s">
        <v>3</v>
      </c>
      <c r="F173" s="121"/>
      <c r="G173" s="2"/>
      <c r="H173" s="2"/>
      <c r="I173" s="2"/>
      <c r="J173" s="2"/>
      <c r="L173" s="2"/>
      <c r="M173" s="2"/>
    </row>
    <row r="174" spans="3:13" ht="25.8">
      <c r="C174" s="2"/>
      <c r="D174" s="35" t="s">
        <v>18</v>
      </c>
      <c r="E174" s="35" t="s">
        <v>3</v>
      </c>
      <c r="F174" s="121"/>
      <c r="G174" s="2"/>
      <c r="H174" s="2"/>
      <c r="I174" s="2"/>
      <c r="J174" s="2"/>
      <c r="L174" s="2"/>
      <c r="M174" s="2"/>
    </row>
    <row r="175" spans="3:13" ht="25.8">
      <c r="C175" s="2"/>
      <c r="D175" s="35" t="s">
        <v>18</v>
      </c>
      <c r="E175" s="35" t="s">
        <v>3</v>
      </c>
      <c r="F175" s="121"/>
      <c r="G175" s="2"/>
      <c r="H175" s="2"/>
      <c r="I175" s="2"/>
      <c r="J175" s="2"/>
      <c r="L175" s="2"/>
      <c r="M175" s="2"/>
    </row>
    <row r="176" spans="3:13" ht="25.8">
      <c r="C176" s="2"/>
      <c r="D176" s="35" t="s">
        <v>18</v>
      </c>
      <c r="E176" s="35" t="s">
        <v>3</v>
      </c>
      <c r="F176" s="121"/>
      <c r="G176" s="2"/>
      <c r="H176" s="2"/>
      <c r="I176" s="2"/>
      <c r="J176" s="2"/>
      <c r="L176" s="2"/>
      <c r="M176" s="2"/>
    </row>
    <row r="177" spans="3:13" ht="25.8">
      <c r="C177" s="2"/>
      <c r="D177" s="35" t="s">
        <v>18</v>
      </c>
      <c r="E177" s="35" t="s">
        <v>3</v>
      </c>
      <c r="F177" s="121"/>
      <c r="G177" s="2"/>
      <c r="H177" s="2"/>
      <c r="I177" s="2"/>
      <c r="J177" s="2"/>
      <c r="L177" s="2"/>
      <c r="M177" s="2"/>
    </row>
    <row r="178" spans="3:13" ht="25.8">
      <c r="C178" s="2"/>
      <c r="D178" s="35" t="s">
        <v>18</v>
      </c>
      <c r="E178" s="35" t="s">
        <v>3</v>
      </c>
      <c r="F178" s="121"/>
      <c r="G178" s="2"/>
      <c r="H178" s="2"/>
      <c r="I178" s="2"/>
      <c r="J178" s="2"/>
      <c r="L178" s="2"/>
      <c r="M178" s="2"/>
    </row>
    <row r="179" spans="3:13" ht="25.8">
      <c r="C179" s="2"/>
      <c r="D179" s="35" t="s">
        <v>18</v>
      </c>
      <c r="E179" s="35" t="s">
        <v>3</v>
      </c>
      <c r="F179" s="121"/>
      <c r="G179" s="2"/>
      <c r="H179" s="2"/>
      <c r="I179" s="2"/>
      <c r="J179" s="2"/>
      <c r="L179" s="2"/>
      <c r="M179" s="2"/>
    </row>
    <row r="180" spans="3:13" ht="25.8">
      <c r="C180" s="2"/>
      <c r="D180" s="35" t="s">
        <v>18</v>
      </c>
      <c r="E180" s="35" t="s">
        <v>3</v>
      </c>
      <c r="F180" s="121"/>
      <c r="G180" s="2"/>
      <c r="H180" s="2"/>
      <c r="I180" s="2"/>
      <c r="J180" s="2"/>
      <c r="L180" s="2"/>
      <c r="M180" s="2"/>
    </row>
    <row r="181" spans="3:13" ht="25.8">
      <c r="C181" s="2"/>
      <c r="D181" s="35" t="s">
        <v>18</v>
      </c>
      <c r="E181" s="35" t="s">
        <v>3</v>
      </c>
      <c r="F181" s="121"/>
      <c r="G181" s="2"/>
      <c r="H181" s="2"/>
      <c r="I181" s="2"/>
      <c r="J181" s="2"/>
      <c r="L181" s="2"/>
      <c r="M181" s="2"/>
    </row>
    <row r="182" spans="3:13" ht="25.8">
      <c r="C182" s="2"/>
      <c r="D182" s="35" t="s">
        <v>18</v>
      </c>
      <c r="E182" s="35" t="s">
        <v>3</v>
      </c>
      <c r="F182" s="121"/>
      <c r="G182" s="2"/>
      <c r="H182" s="2"/>
      <c r="I182" s="2"/>
      <c r="J182" s="2"/>
      <c r="L182" s="2"/>
      <c r="M182" s="2"/>
    </row>
    <row r="183" spans="3:13" ht="25.8">
      <c r="C183" s="2"/>
      <c r="D183" s="35" t="s">
        <v>18</v>
      </c>
      <c r="E183" s="35" t="s">
        <v>3</v>
      </c>
      <c r="F183" s="121"/>
      <c r="G183" s="2"/>
      <c r="H183" s="2"/>
      <c r="I183" s="2"/>
      <c r="J183" s="2"/>
      <c r="L183" s="2"/>
      <c r="M183" s="2"/>
    </row>
    <row r="184" spans="3:13" ht="25.8">
      <c r="C184" s="2"/>
      <c r="D184" s="35" t="s">
        <v>18</v>
      </c>
      <c r="E184" s="35" t="s">
        <v>3</v>
      </c>
      <c r="F184" s="121"/>
      <c r="G184" s="2"/>
      <c r="H184" s="2"/>
      <c r="I184" s="2"/>
      <c r="J184" s="2"/>
      <c r="L184" s="2"/>
      <c r="M184" s="2"/>
    </row>
    <row r="185" spans="3:13" ht="25.8">
      <c r="C185" s="2"/>
      <c r="D185" s="35" t="s">
        <v>18</v>
      </c>
      <c r="E185" s="35" t="s">
        <v>3</v>
      </c>
      <c r="F185" s="121"/>
      <c r="G185" s="2"/>
      <c r="H185" s="2"/>
      <c r="I185" s="2"/>
      <c r="J185" s="2"/>
      <c r="L185" s="2"/>
      <c r="M185" s="2"/>
    </row>
    <row r="186" spans="3:13" ht="25.8">
      <c r="C186" s="2"/>
      <c r="D186" s="35" t="s">
        <v>18</v>
      </c>
      <c r="E186" s="35" t="s">
        <v>3</v>
      </c>
      <c r="F186" s="121"/>
      <c r="G186" s="2"/>
      <c r="H186" s="2"/>
      <c r="I186" s="2"/>
      <c r="J186" s="2"/>
      <c r="L186" s="2"/>
      <c r="M186" s="2"/>
    </row>
    <row r="187" spans="3:13" ht="25.8">
      <c r="C187" s="2"/>
      <c r="D187" s="35" t="s">
        <v>18</v>
      </c>
      <c r="E187" s="35" t="s">
        <v>3</v>
      </c>
      <c r="F187" s="121"/>
      <c r="G187" s="2"/>
      <c r="H187" s="2"/>
      <c r="I187" s="2"/>
      <c r="J187" s="2"/>
      <c r="L187" s="2"/>
      <c r="M187" s="2"/>
    </row>
    <row r="188" spans="3:13" ht="25.8">
      <c r="C188" s="2"/>
      <c r="D188" s="35" t="s">
        <v>18</v>
      </c>
      <c r="E188" s="35" t="s">
        <v>3</v>
      </c>
      <c r="F188" s="121"/>
      <c r="G188" s="2"/>
      <c r="H188" s="2"/>
      <c r="I188" s="2"/>
      <c r="J188" s="2"/>
      <c r="L188" s="2"/>
      <c r="M188" s="2"/>
    </row>
    <row r="189" spans="3:13" ht="25.8">
      <c r="C189" s="2"/>
      <c r="D189" s="35" t="s">
        <v>18</v>
      </c>
      <c r="E189" s="35" t="s">
        <v>3</v>
      </c>
      <c r="F189" s="121"/>
      <c r="G189" s="2"/>
      <c r="H189" s="2"/>
      <c r="I189" s="2"/>
      <c r="J189" s="2"/>
      <c r="L189" s="2"/>
      <c r="M189" s="2"/>
    </row>
    <row r="190" spans="3:13" ht="25.8">
      <c r="C190" s="2"/>
      <c r="D190" s="35" t="s">
        <v>18</v>
      </c>
      <c r="E190" s="35" t="s">
        <v>3</v>
      </c>
      <c r="F190" s="121"/>
      <c r="G190" s="2"/>
      <c r="H190" s="2"/>
      <c r="I190" s="2"/>
      <c r="J190" s="2"/>
      <c r="L190" s="2"/>
      <c r="M190" s="2"/>
    </row>
    <row r="191" spans="3:13" ht="25.8">
      <c r="C191" s="2"/>
      <c r="D191" s="35" t="s">
        <v>18</v>
      </c>
      <c r="E191" s="35" t="s">
        <v>3</v>
      </c>
      <c r="F191" s="121"/>
      <c r="G191" s="2"/>
      <c r="H191" s="2"/>
      <c r="I191" s="2"/>
      <c r="J191" s="2"/>
      <c r="L191" s="2"/>
      <c r="M191" s="2"/>
    </row>
    <row r="192" spans="3:13" ht="25.8">
      <c r="C192" s="2"/>
      <c r="D192" s="35" t="s">
        <v>18</v>
      </c>
      <c r="E192" s="35" t="s">
        <v>3</v>
      </c>
      <c r="F192" s="121"/>
      <c r="G192" s="2"/>
      <c r="H192" s="2"/>
      <c r="I192" s="2"/>
      <c r="J192" s="2"/>
      <c r="L192" s="2"/>
      <c r="M192" s="2"/>
    </row>
    <row r="193" spans="3:13" ht="25.8">
      <c r="C193" s="2"/>
      <c r="D193" s="35" t="s">
        <v>18</v>
      </c>
      <c r="E193" s="35" t="s">
        <v>3</v>
      </c>
      <c r="F193" s="121"/>
      <c r="G193" s="2"/>
      <c r="H193" s="2"/>
      <c r="I193" s="2"/>
      <c r="J193" s="2"/>
      <c r="L193" s="2"/>
      <c r="M193" s="2"/>
    </row>
    <row r="194" spans="3:13" ht="25.8">
      <c r="C194" s="2"/>
      <c r="D194" s="35" t="s">
        <v>18</v>
      </c>
      <c r="E194" s="35" t="s">
        <v>3</v>
      </c>
      <c r="F194" s="121"/>
      <c r="G194" s="2"/>
      <c r="H194" s="2"/>
      <c r="I194" s="2"/>
      <c r="J194" s="2"/>
      <c r="L194" s="2"/>
      <c r="M194" s="2"/>
    </row>
    <row r="195" spans="3:13" ht="25.8">
      <c r="C195" s="2"/>
      <c r="D195" s="35" t="s">
        <v>18</v>
      </c>
      <c r="E195" s="35" t="s">
        <v>3</v>
      </c>
      <c r="F195" s="121"/>
      <c r="G195" s="2"/>
      <c r="H195" s="2"/>
      <c r="I195" s="2"/>
      <c r="J195" s="2"/>
      <c r="L195" s="2"/>
      <c r="M195" s="2"/>
    </row>
    <row r="196" spans="3:13" ht="25.8">
      <c r="C196" s="2"/>
      <c r="D196" s="35" t="s">
        <v>18</v>
      </c>
      <c r="E196" s="35" t="s">
        <v>3</v>
      </c>
      <c r="F196" s="121"/>
      <c r="G196" s="2"/>
      <c r="H196" s="2"/>
      <c r="I196" s="2"/>
      <c r="J196" s="2"/>
      <c r="L196" s="2"/>
      <c r="M196" s="2"/>
    </row>
    <row r="197" spans="3:13" ht="25.8">
      <c r="C197" s="2"/>
      <c r="D197" s="35" t="s">
        <v>18</v>
      </c>
      <c r="E197" s="35" t="s">
        <v>3</v>
      </c>
      <c r="F197" s="121"/>
      <c r="G197" s="2"/>
      <c r="H197" s="2"/>
      <c r="I197" s="2"/>
      <c r="J197" s="2"/>
      <c r="L197" s="2"/>
      <c r="M197" s="2"/>
    </row>
    <row r="198" spans="3:13" ht="25.8">
      <c r="C198" s="2"/>
      <c r="D198" s="35" t="s">
        <v>18</v>
      </c>
      <c r="E198" s="35" t="s">
        <v>3</v>
      </c>
      <c r="F198" s="121"/>
      <c r="G198" s="2"/>
      <c r="H198" s="2"/>
      <c r="I198" s="2"/>
      <c r="J198" s="2"/>
      <c r="L198" s="2"/>
      <c r="M198" s="2"/>
    </row>
    <row r="199" spans="3:13" ht="25.8">
      <c r="C199" s="2"/>
      <c r="D199" s="35" t="s">
        <v>18</v>
      </c>
      <c r="E199" s="35" t="s">
        <v>3</v>
      </c>
      <c r="F199" s="121"/>
      <c r="G199" s="2"/>
      <c r="H199" s="2"/>
      <c r="I199" s="2"/>
      <c r="J199" s="2"/>
      <c r="L199" s="2"/>
      <c r="M199" s="2"/>
    </row>
    <row r="200" spans="3:13" ht="25.8">
      <c r="C200" s="2"/>
      <c r="D200" s="35" t="s">
        <v>18</v>
      </c>
      <c r="E200" s="35" t="s">
        <v>3</v>
      </c>
      <c r="F200" s="121"/>
      <c r="G200" s="2"/>
      <c r="H200" s="2"/>
      <c r="I200" s="2"/>
      <c r="J200" s="2"/>
      <c r="L200" s="2"/>
      <c r="M200" s="2"/>
    </row>
    <row r="201" spans="3:13" ht="25.8">
      <c r="C201" s="2"/>
      <c r="D201" s="35" t="s">
        <v>18</v>
      </c>
      <c r="E201" s="35" t="s">
        <v>3</v>
      </c>
      <c r="F201" s="121"/>
      <c r="G201" s="2"/>
      <c r="H201" s="2"/>
      <c r="I201" s="2"/>
      <c r="J201" s="2"/>
      <c r="L201" s="2"/>
      <c r="M201" s="2"/>
    </row>
    <row r="202" spans="3:13" ht="25.8">
      <c r="C202" s="2"/>
      <c r="D202" s="35" t="s">
        <v>18</v>
      </c>
      <c r="E202" s="35" t="s">
        <v>3</v>
      </c>
      <c r="F202" s="121"/>
      <c r="G202" s="2"/>
      <c r="H202" s="2"/>
      <c r="I202" s="2"/>
      <c r="J202" s="2"/>
      <c r="L202" s="2"/>
      <c r="M202" s="2"/>
    </row>
    <row r="203" spans="3:13" ht="25.8">
      <c r="C203" s="2"/>
      <c r="D203" s="35" t="s">
        <v>18</v>
      </c>
      <c r="E203" s="35" t="s">
        <v>3</v>
      </c>
      <c r="F203" s="121"/>
      <c r="G203" s="2"/>
      <c r="H203" s="2"/>
      <c r="I203" s="2"/>
      <c r="J203" s="2"/>
      <c r="L203" s="2"/>
      <c r="M203" s="2"/>
    </row>
    <row r="204" spans="3:13" ht="25.8">
      <c r="C204" s="2"/>
      <c r="D204" s="35" t="s">
        <v>18</v>
      </c>
      <c r="E204" s="35" t="s">
        <v>3</v>
      </c>
      <c r="F204" s="121"/>
      <c r="G204" s="2"/>
      <c r="H204" s="2"/>
      <c r="I204" s="2"/>
      <c r="J204" s="2"/>
      <c r="L204" s="2"/>
      <c r="M204" s="2"/>
    </row>
    <row r="205" spans="3:13" ht="25.8">
      <c r="C205" s="2"/>
      <c r="D205" s="35" t="s">
        <v>18</v>
      </c>
      <c r="E205" s="35" t="s">
        <v>3</v>
      </c>
      <c r="F205" s="121"/>
      <c r="G205" s="2"/>
      <c r="H205" s="2"/>
      <c r="I205" s="2"/>
      <c r="J205" s="2"/>
      <c r="L205" s="2"/>
      <c r="M205" s="2"/>
    </row>
    <row r="206" spans="3:13" ht="25.8">
      <c r="C206" s="2"/>
      <c r="D206" s="35" t="s">
        <v>18</v>
      </c>
      <c r="E206" s="35" t="s">
        <v>3</v>
      </c>
      <c r="F206" s="121"/>
      <c r="G206" s="2"/>
      <c r="H206" s="2"/>
      <c r="I206" s="2"/>
      <c r="J206" s="2"/>
      <c r="L206" s="2"/>
      <c r="M206" s="2"/>
    </row>
    <row r="207" spans="3:13" ht="25.8">
      <c r="C207" s="2"/>
      <c r="D207" s="35" t="s">
        <v>18</v>
      </c>
      <c r="E207" s="35" t="s">
        <v>3</v>
      </c>
      <c r="F207" s="121"/>
      <c r="G207" s="2"/>
      <c r="H207" s="2"/>
      <c r="I207" s="2"/>
      <c r="J207" s="2"/>
      <c r="L207" s="2"/>
      <c r="M207" s="2"/>
    </row>
    <row r="208" spans="3:13" ht="25.8">
      <c r="C208" s="2"/>
      <c r="D208" s="35" t="s">
        <v>18</v>
      </c>
      <c r="E208" s="35" t="s">
        <v>3</v>
      </c>
      <c r="F208" s="121"/>
      <c r="G208" s="2"/>
      <c r="H208" s="2"/>
      <c r="I208" s="2"/>
      <c r="J208" s="2"/>
      <c r="L208" s="2"/>
      <c r="M208" s="2"/>
    </row>
    <row r="209" spans="3:13" ht="25.8">
      <c r="C209" s="2"/>
      <c r="D209" s="35" t="s">
        <v>18</v>
      </c>
      <c r="E209" s="35" t="s">
        <v>3</v>
      </c>
      <c r="F209" s="121"/>
      <c r="G209" s="2"/>
      <c r="H209" s="2"/>
      <c r="I209" s="2"/>
      <c r="J209" s="2"/>
      <c r="L209" s="2"/>
      <c r="M209" s="2"/>
    </row>
    <row r="210" spans="3:13" ht="25.8">
      <c r="C210" s="2"/>
      <c r="D210" s="35" t="s">
        <v>18</v>
      </c>
      <c r="E210" s="35" t="s">
        <v>3</v>
      </c>
      <c r="F210" s="121"/>
      <c r="G210" s="2"/>
      <c r="H210" s="2"/>
      <c r="I210" s="2"/>
      <c r="J210" s="2"/>
      <c r="L210" s="2"/>
      <c r="M210" s="2"/>
    </row>
    <row r="211" spans="3:13" ht="25.8">
      <c r="C211" s="2"/>
      <c r="D211" s="35" t="s">
        <v>18</v>
      </c>
      <c r="E211" s="35" t="s">
        <v>3</v>
      </c>
      <c r="F211" s="121"/>
      <c r="G211" s="2"/>
      <c r="H211" s="2"/>
      <c r="I211" s="2"/>
      <c r="J211" s="2"/>
      <c r="L211" s="2"/>
      <c r="M211" s="2"/>
    </row>
    <row r="212" spans="3:13" ht="25.8">
      <c r="C212" s="2"/>
      <c r="D212" s="35" t="s">
        <v>18</v>
      </c>
      <c r="E212" s="35" t="s">
        <v>3</v>
      </c>
      <c r="F212" s="121"/>
      <c r="G212" s="2"/>
      <c r="H212" s="2"/>
      <c r="I212" s="2"/>
      <c r="J212" s="2"/>
      <c r="L212" s="2"/>
      <c r="M212" s="2"/>
    </row>
    <row r="213" spans="3:13" ht="25.8">
      <c r="C213" s="2"/>
      <c r="D213" s="35" t="s">
        <v>18</v>
      </c>
      <c r="E213" s="35" t="s">
        <v>3</v>
      </c>
      <c r="F213" s="121"/>
      <c r="G213" s="2"/>
      <c r="H213" s="2"/>
      <c r="I213" s="2"/>
      <c r="J213" s="2"/>
      <c r="L213" s="2"/>
      <c r="M213" s="2"/>
    </row>
    <row r="214" spans="3:13" ht="25.8">
      <c r="C214" s="2"/>
      <c r="D214" s="35" t="s">
        <v>18</v>
      </c>
      <c r="E214" s="35" t="s">
        <v>3</v>
      </c>
      <c r="F214" s="121"/>
      <c r="G214" s="2"/>
      <c r="H214" s="2"/>
      <c r="I214" s="2"/>
      <c r="J214" s="2"/>
      <c r="L214" s="2"/>
      <c r="M214" s="2"/>
    </row>
    <row r="215" spans="3:13" ht="25.8">
      <c r="C215" s="2"/>
      <c r="D215" s="35" t="s">
        <v>18</v>
      </c>
      <c r="E215" s="35" t="s">
        <v>3</v>
      </c>
      <c r="F215" s="121"/>
      <c r="G215" s="2"/>
      <c r="H215" s="2"/>
      <c r="I215" s="2"/>
      <c r="J215" s="2"/>
      <c r="L215" s="2"/>
      <c r="M215" s="2"/>
    </row>
    <row r="216" spans="3:13" ht="25.8">
      <c r="C216" s="2"/>
      <c r="D216" s="35" t="s">
        <v>18</v>
      </c>
      <c r="E216" s="35" t="s">
        <v>3</v>
      </c>
      <c r="F216" s="121"/>
      <c r="G216" s="2"/>
      <c r="H216" s="2"/>
      <c r="I216" s="2"/>
      <c r="J216" s="2"/>
      <c r="L216" s="2"/>
      <c r="M216" s="2"/>
    </row>
    <row r="217" spans="3:13" ht="25.8">
      <c r="C217" s="2"/>
      <c r="D217" s="35" t="s">
        <v>18</v>
      </c>
      <c r="E217" s="35" t="s">
        <v>3</v>
      </c>
      <c r="F217" s="121"/>
      <c r="G217" s="2"/>
      <c r="H217" s="2"/>
      <c r="I217" s="2"/>
      <c r="J217" s="2"/>
      <c r="L217" s="2"/>
      <c r="M217" s="2"/>
    </row>
    <row r="218" spans="3:13" ht="25.8">
      <c r="C218" s="2"/>
      <c r="D218" s="35" t="s">
        <v>18</v>
      </c>
      <c r="E218" s="35" t="s">
        <v>3</v>
      </c>
      <c r="F218" s="121"/>
      <c r="G218" s="2"/>
      <c r="H218" s="2"/>
      <c r="I218" s="2"/>
      <c r="J218" s="2"/>
      <c r="L218" s="2"/>
      <c r="M218" s="2"/>
    </row>
    <row r="219" spans="3:13" ht="25.8">
      <c r="C219" s="2"/>
      <c r="D219" s="35" t="s">
        <v>18</v>
      </c>
      <c r="E219" s="35" t="s">
        <v>3</v>
      </c>
      <c r="F219" s="121"/>
      <c r="G219" s="2"/>
      <c r="H219" s="2"/>
      <c r="I219" s="2"/>
      <c r="J219" s="2"/>
      <c r="L219" s="2"/>
      <c r="M219" s="2"/>
    </row>
    <row r="220" spans="3:13" ht="25.8">
      <c r="C220" s="2"/>
      <c r="D220" s="35" t="s">
        <v>18</v>
      </c>
      <c r="E220" s="35" t="s">
        <v>3</v>
      </c>
      <c r="F220" s="121"/>
      <c r="G220" s="2"/>
      <c r="H220" s="2"/>
      <c r="I220" s="2"/>
      <c r="J220" s="2"/>
      <c r="L220" s="2"/>
      <c r="M220" s="2"/>
    </row>
    <row r="221" spans="3:13" ht="25.8">
      <c r="C221" s="2"/>
      <c r="D221" s="35" t="s">
        <v>18</v>
      </c>
      <c r="E221" s="35" t="s">
        <v>3</v>
      </c>
      <c r="F221" s="121"/>
      <c r="G221" s="2"/>
      <c r="H221" s="2"/>
      <c r="I221" s="2"/>
      <c r="J221" s="2"/>
      <c r="L221" s="2"/>
      <c r="M221" s="2"/>
    </row>
    <row r="222" spans="3:13" ht="25.8">
      <c r="C222" s="2"/>
      <c r="D222" s="35" t="s">
        <v>18</v>
      </c>
      <c r="E222" s="35" t="s">
        <v>3</v>
      </c>
      <c r="F222" s="121"/>
      <c r="G222" s="2"/>
      <c r="H222" s="2"/>
      <c r="I222" s="2"/>
      <c r="J222" s="2"/>
      <c r="L222" s="2"/>
      <c r="M222" s="2"/>
    </row>
    <row r="223" spans="3:13" ht="25.8">
      <c r="C223" s="2"/>
      <c r="D223" s="35" t="s">
        <v>18</v>
      </c>
      <c r="E223" s="35" t="s">
        <v>3</v>
      </c>
      <c r="F223" s="121"/>
      <c r="G223" s="2"/>
      <c r="H223" s="2"/>
      <c r="I223" s="2"/>
      <c r="J223" s="2"/>
      <c r="L223" s="2"/>
      <c r="M223" s="2"/>
    </row>
    <row r="224" spans="3:13" ht="25.8">
      <c r="C224" s="2"/>
      <c r="D224" s="35" t="s">
        <v>18</v>
      </c>
      <c r="E224" s="35" t="s">
        <v>3</v>
      </c>
      <c r="F224" s="121"/>
      <c r="G224" s="2"/>
      <c r="H224" s="2"/>
      <c r="I224" s="2"/>
      <c r="J224" s="2"/>
      <c r="L224" s="2"/>
      <c r="M224" s="2"/>
    </row>
    <row r="225" spans="3:13" ht="25.8">
      <c r="C225" s="2"/>
      <c r="D225" s="35" t="s">
        <v>18</v>
      </c>
      <c r="E225" s="35" t="s">
        <v>3</v>
      </c>
      <c r="F225" s="121"/>
      <c r="G225" s="2"/>
      <c r="H225" s="2"/>
      <c r="I225" s="2"/>
      <c r="J225" s="2"/>
      <c r="L225" s="2"/>
      <c r="M225" s="2"/>
    </row>
    <row r="226" spans="3:13" ht="25.8">
      <c r="C226" s="2"/>
      <c r="D226" s="35" t="s">
        <v>18</v>
      </c>
      <c r="E226" s="35" t="s">
        <v>3</v>
      </c>
      <c r="F226" s="121"/>
      <c r="G226" s="2"/>
      <c r="H226" s="2"/>
      <c r="I226" s="2"/>
      <c r="J226" s="2"/>
      <c r="L226" s="2"/>
      <c r="M226" s="2"/>
    </row>
    <row r="227" spans="3:13" ht="25.8">
      <c r="C227" s="2"/>
      <c r="D227" s="35" t="s">
        <v>18</v>
      </c>
      <c r="E227" s="35" t="s">
        <v>3</v>
      </c>
      <c r="F227" s="121"/>
      <c r="G227" s="2"/>
      <c r="H227" s="2"/>
      <c r="I227" s="2"/>
      <c r="J227" s="2"/>
      <c r="L227" s="2"/>
      <c r="M227" s="2"/>
    </row>
    <row r="228" spans="3:13" ht="25.8">
      <c r="C228" s="2"/>
      <c r="D228" s="35" t="s">
        <v>18</v>
      </c>
      <c r="E228" s="35" t="s">
        <v>3</v>
      </c>
      <c r="F228" s="121"/>
      <c r="G228" s="2"/>
      <c r="H228" s="2"/>
      <c r="I228" s="2"/>
      <c r="J228" s="2"/>
      <c r="L228" s="2"/>
      <c r="M228" s="2"/>
    </row>
    <row r="229" spans="3:13" ht="25.8">
      <c r="C229" s="2"/>
      <c r="D229" s="35" t="s">
        <v>18</v>
      </c>
      <c r="E229" s="35" t="s">
        <v>3</v>
      </c>
      <c r="F229" s="121"/>
      <c r="G229" s="2"/>
      <c r="H229" s="2"/>
      <c r="I229" s="2"/>
      <c r="J229" s="2"/>
      <c r="L229" s="2"/>
      <c r="M229" s="2"/>
    </row>
    <row r="230" spans="3:13" ht="25.8">
      <c r="C230" s="2"/>
      <c r="D230" s="35" t="s">
        <v>18</v>
      </c>
      <c r="E230" s="35" t="s">
        <v>3</v>
      </c>
      <c r="F230" s="121"/>
      <c r="G230" s="2"/>
      <c r="H230" s="2"/>
      <c r="I230" s="2"/>
      <c r="J230" s="2"/>
      <c r="L230" s="2"/>
      <c r="M230" s="2"/>
    </row>
    <row r="231" spans="3:13" ht="25.8">
      <c r="C231" s="2"/>
      <c r="D231" s="35" t="s">
        <v>18</v>
      </c>
      <c r="E231" s="35" t="s">
        <v>3</v>
      </c>
      <c r="F231" s="121"/>
      <c r="G231" s="2"/>
      <c r="H231" s="2"/>
      <c r="I231" s="2"/>
      <c r="J231" s="2"/>
      <c r="L231" s="2"/>
      <c r="M231" s="2"/>
    </row>
    <row r="232" spans="3:13" ht="25.8">
      <c r="C232" s="2"/>
      <c r="D232" s="35" t="s">
        <v>18</v>
      </c>
      <c r="E232" s="35" t="s">
        <v>3</v>
      </c>
      <c r="F232" s="121"/>
      <c r="G232" s="2"/>
      <c r="H232" s="2"/>
      <c r="I232" s="2"/>
      <c r="J232" s="2"/>
      <c r="L232" s="2"/>
      <c r="M232" s="2"/>
    </row>
    <row r="233" spans="3:13" ht="25.8">
      <c r="C233" s="2"/>
      <c r="D233" s="35" t="s">
        <v>18</v>
      </c>
      <c r="E233" s="35" t="s">
        <v>3</v>
      </c>
      <c r="F233" s="121"/>
      <c r="G233" s="2"/>
      <c r="H233" s="2"/>
      <c r="I233" s="2"/>
      <c r="J233" s="2"/>
      <c r="L233" s="2"/>
      <c r="M233" s="2"/>
    </row>
    <row r="234" spans="3:13" ht="25.8">
      <c r="C234" s="2"/>
      <c r="D234" s="35" t="s">
        <v>18</v>
      </c>
      <c r="E234" s="35" t="s">
        <v>3</v>
      </c>
      <c r="F234" s="121"/>
      <c r="G234" s="2"/>
      <c r="H234" s="2"/>
      <c r="I234" s="2"/>
      <c r="J234" s="2"/>
      <c r="L234" s="2"/>
      <c r="M234" s="2"/>
    </row>
    <row r="235" spans="3:13" ht="25.8">
      <c r="C235" s="2"/>
      <c r="D235" s="35" t="s">
        <v>18</v>
      </c>
      <c r="E235" s="35" t="s">
        <v>3</v>
      </c>
      <c r="F235" s="121"/>
      <c r="G235" s="2"/>
      <c r="H235" s="2"/>
      <c r="I235" s="2"/>
      <c r="J235" s="2"/>
      <c r="L235" s="2"/>
      <c r="M235" s="2"/>
    </row>
    <row r="236" spans="3:13" ht="25.8">
      <c r="C236" s="2"/>
      <c r="D236" s="35" t="s">
        <v>18</v>
      </c>
      <c r="E236" s="35" t="s">
        <v>3</v>
      </c>
      <c r="F236" s="121"/>
      <c r="G236" s="2"/>
      <c r="H236" s="2"/>
      <c r="I236" s="2"/>
      <c r="J236" s="2"/>
      <c r="L236" s="2"/>
      <c r="M236" s="2"/>
    </row>
    <row r="237" spans="3:13" ht="25.8">
      <c r="C237" s="2"/>
      <c r="D237" s="35" t="s">
        <v>18</v>
      </c>
      <c r="E237" s="35" t="s">
        <v>3</v>
      </c>
      <c r="F237" s="121"/>
      <c r="G237" s="2"/>
      <c r="H237" s="2"/>
      <c r="I237" s="2"/>
      <c r="J237" s="2"/>
      <c r="L237" s="2"/>
      <c r="M237" s="2"/>
    </row>
    <row r="238" spans="3:13" ht="25.8">
      <c r="C238" s="2"/>
      <c r="D238" s="35" t="s">
        <v>18</v>
      </c>
      <c r="E238" s="35" t="s">
        <v>3</v>
      </c>
      <c r="F238" s="121"/>
      <c r="G238" s="2"/>
      <c r="H238" s="2"/>
      <c r="I238" s="2"/>
      <c r="J238" s="2"/>
      <c r="L238" s="2"/>
      <c r="M238" s="2"/>
    </row>
    <row r="239" spans="3:13" ht="25.8">
      <c r="C239" s="2"/>
      <c r="D239" s="35" t="s">
        <v>18</v>
      </c>
      <c r="E239" s="35" t="s">
        <v>3</v>
      </c>
      <c r="F239" s="121"/>
      <c r="G239" s="2"/>
      <c r="H239" s="2"/>
      <c r="I239" s="2"/>
      <c r="J239" s="2"/>
      <c r="L239" s="2"/>
      <c r="M239" s="2"/>
    </row>
    <row r="240" spans="3:13" ht="25.8">
      <c r="C240" s="2"/>
      <c r="D240" s="35" t="s">
        <v>18</v>
      </c>
      <c r="E240" s="35" t="s">
        <v>3</v>
      </c>
      <c r="F240" s="121"/>
      <c r="G240" s="2"/>
      <c r="H240" s="2"/>
      <c r="I240" s="2"/>
      <c r="J240" s="2"/>
      <c r="L240" s="2"/>
      <c r="M240" s="2"/>
    </row>
    <row r="241" spans="3:13" ht="25.8">
      <c r="C241" s="2"/>
      <c r="D241" s="35" t="s">
        <v>18</v>
      </c>
      <c r="E241" s="35" t="s">
        <v>3</v>
      </c>
      <c r="F241" s="121"/>
      <c r="G241" s="2"/>
      <c r="H241" s="2"/>
      <c r="I241" s="2"/>
      <c r="J241" s="2"/>
      <c r="L241" s="2"/>
      <c r="M241" s="2"/>
    </row>
    <row r="242" spans="3:13" ht="25.8">
      <c r="C242" s="2"/>
      <c r="D242" s="35" t="s">
        <v>18</v>
      </c>
      <c r="E242" s="35" t="s">
        <v>3</v>
      </c>
      <c r="F242" s="121"/>
      <c r="G242" s="2"/>
      <c r="H242" s="2"/>
      <c r="I242" s="2"/>
      <c r="J242" s="2"/>
      <c r="L242" s="2"/>
      <c r="M242" s="2"/>
    </row>
    <row r="243" spans="3:13" ht="25.8">
      <c r="C243" s="2"/>
      <c r="D243" s="35" t="s">
        <v>18</v>
      </c>
      <c r="E243" s="35" t="s">
        <v>3</v>
      </c>
      <c r="F243" s="121"/>
      <c r="G243" s="2"/>
      <c r="H243" s="2"/>
      <c r="I243" s="2"/>
      <c r="J243" s="2"/>
      <c r="L243" s="2"/>
      <c r="M243" s="2"/>
    </row>
    <row r="244" spans="3:13" ht="25.8">
      <c r="C244" s="2"/>
      <c r="D244" s="35" t="s">
        <v>18</v>
      </c>
      <c r="E244" s="35" t="s">
        <v>3</v>
      </c>
      <c r="F244" s="121"/>
      <c r="G244" s="2"/>
      <c r="H244" s="2"/>
      <c r="I244" s="2"/>
      <c r="J244" s="2"/>
      <c r="L244" s="2"/>
      <c r="M244" s="2"/>
    </row>
    <row r="245" spans="3:13" ht="25.8">
      <c r="C245" s="2"/>
      <c r="D245" s="35" t="s">
        <v>18</v>
      </c>
      <c r="E245" s="35" t="s">
        <v>3</v>
      </c>
      <c r="F245" s="121"/>
      <c r="G245" s="2"/>
      <c r="H245" s="2"/>
      <c r="I245" s="2"/>
      <c r="J245" s="2"/>
      <c r="L245" s="2"/>
      <c r="M245" s="2"/>
    </row>
    <row r="246" spans="3:13" ht="25.8">
      <c r="C246" s="2"/>
      <c r="D246" s="35" t="s">
        <v>18</v>
      </c>
      <c r="E246" s="35" t="s">
        <v>3</v>
      </c>
      <c r="F246" s="121"/>
      <c r="G246" s="2"/>
      <c r="H246" s="2"/>
      <c r="I246" s="2"/>
      <c r="J246" s="2"/>
      <c r="L246" s="2"/>
      <c r="M246" s="2"/>
    </row>
    <row r="247" spans="3:13" ht="25.8">
      <c r="C247" s="2"/>
      <c r="D247" s="35" t="s">
        <v>18</v>
      </c>
      <c r="E247" s="35" t="s">
        <v>3</v>
      </c>
      <c r="F247" s="121"/>
      <c r="G247" s="2"/>
      <c r="H247" s="2"/>
      <c r="I247" s="2"/>
      <c r="J247" s="2"/>
      <c r="L247" s="2"/>
      <c r="M247" s="2"/>
    </row>
    <row r="248" spans="3:13" ht="25.8">
      <c r="C248" s="2"/>
      <c r="D248" s="35" t="s">
        <v>18</v>
      </c>
      <c r="E248" s="35" t="s">
        <v>3</v>
      </c>
      <c r="F248" s="121"/>
      <c r="G248" s="2"/>
      <c r="H248" s="2"/>
      <c r="I248" s="2"/>
      <c r="J248" s="2"/>
      <c r="L248" s="2"/>
      <c r="M248" s="2"/>
    </row>
    <row r="249" spans="3:13" ht="25.8">
      <c r="C249" s="2"/>
      <c r="D249" s="35" t="s">
        <v>18</v>
      </c>
      <c r="E249" s="35" t="s">
        <v>3</v>
      </c>
      <c r="F249" s="121"/>
      <c r="G249" s="2"/>
      <c r="H249" s="2"/>
      <c r="I249" s="2"/>
      <c r="J249" s="2"/>
      <c r="L249" s="2"/>
      <c r="M249" s="2"/>
    </row>
    <row r="250" spans="3:13" ht="25.8">
      <c r="C250" s="2"/>
      <c r="D250" s="35" t="s">
        <v>18</v>
      </c>
      <c r="E250" s="35" t="s">
        <v>3</v>
      </c>
      <c r="F250" s="121"/>
      <c r="G250" s="2"/>
      <c r="H250" s="2"/>
      <c r="I250" s="2"/>
      <c r="J250" s="2"/>
      <c r="L250" s="2"/>
      <c r="M250" s="2"/>
    </row>
    <row r="251" spans="3:13" ht="25.8">
      <c r="C251" s="2"/>
      <c r="D251" s="35" t="s">
        <v>18</v>
      </c>
      <c r="E251" s="35" t="s">
        <v>3</v>
      </c>
      <c r="F251" s="121"/>
      <c r="G251" s="2"/>
      <c r="H251" s="2"/>
      <c r="I251" s="2"/>
      <c r="J251" s="2"/>
      <c r="L251" s="2"/>
      <c r="M251" s="2"/>
    </row>
    <row r="252" spans="3:13" ht="25.8">
      <c r="C252" s="2"/>
      <c r="D252" s="35" t="s">
        <v>18</v>
      </c>
      <c r="E252" s="35" t="s">
        <v>3</v>
      </c>
      <c r="F252" s="121"/>
      <c r="G252" s="2"/>
      <c r="H252" s="2"/>
      <c r="I252" s="2"/>
      <c r="J252" s="2"/>
      <c r="L252" s="2"/>
      <c r="M252" s="2"/>
    </row>
    <row r="253" spans="3:13" ht="25.8">
      <c r="C253" s="2"/>
      <c r="D253" s="35" t="s">
        <v>18</v>
      </c>
      <c r="E253" s="35" t="s">
        <v>3</v>
      </c>
      <c r="F253" s="121"/>
      <c r="G253" s="2"/>
      <c r="H253" s="2"/>
      <c r="I253" s="2"/>
      <c r="J253" s="2"/>
      <c r="L253" s="2"/>
      <c r="M253" s="2"/>
    </row>
    <row r="254" spans="3:13" ht="25.8">
      <c r="C254" s="2"/>
      <c r="D254" s="35" t="s">
        <v>18</v>
      </c>
      <c r="E254" s="35" t="s">
        <v>3</v>
      </c>
      <c r="F254" s="121"/>
      <c r="G254" s="2"/>
      <c r="H254" s="2"/>
      <c r="I254" s="2"/>
      <c r="J254" s="2"/>
      <c r="L254" s="2"/>
      <c r="M254" s="2"/>
    </row>
    <row r="255" spans="3:13" ht="25.8">
      <c r="C255" s="2"/>
      <c r="D255" s="35" t="s">
        <v>18</v>
      </c>
      <c r="E255" s="35" t="s">
        <v>3</v>
      </c>
      <c r="F255" s="121"/>
      <c r="G255" s="2"/>
      <c r="H255" s="2"/>
      <c r="I255" s="2"/>
      <c r="J255" s="2"/>
      <c r="L255" s="2"/>
      <c r="M255" s="2"/>
    </row>
    <row r="256" spans="3:13" ht="25.8">
      <c r="C256" s="2"/>
      <c r="D256" s="35" t="s">
        <v>18</v>
      </c>
      <c r="E256" s="35" t="s">
        <v>3</v>
      </c>
      <c r="F256" s="121"/>
      <c r="G256" s="2"/>
      <c r="H256" s="2"/>
      <c r="I256" s="2"/>
      <c r="J256" s="2"/>
      <c r="L256" s="2"/>
      <c r="M256" s="2"/>
    </row>
    <row r="257" spans="3:13" ht="25.8">
      <c r="C257" s="2"/>
      <c r="D257" s="35" t="s">
        <v>18</v>
      </c>
      <c r="E257" s="35" t="s">
        <v>3</v>
      </c>
      <c r="F257" s="121"/>
      <c r="G257" s="2"/>
      <c r="H257" s="2"/>
      <c r="I257" s="2"/>
      <c r="J257" s="2"/>
      <c r="L257" s="2"/>
      <c r="M257" s="2"/>
    </row>
    <row r="258" spans="3:13" ht="25.8">
      <c r="C258" s="2"/>
      <c r="D258" s="35" t="s">
        <v>18</v>
      </c>
      <c r="E258" s="35" t="s">
        <v>3</v>
      </c>
      <c r="F258" s="121"/>
      <c r="G258" s="2"/>
      <c r="H258" s="2"/>
      <c r="I258" s="2"/>
      <c r="J258" s="2"/>
      <c r="L258" s="2"/>
      <c r="M258" s="2"/>
    </row>
    <row r="259" spans="3:13" ht="25.8">
      <c r="C259" s="2"/>
      <c r="D259" s="35" t="s">
        <v>18</v>
      </c>
      <c r="E259" s="35" t="s">
        <v>3</v>
      </c>
      <c r="F259" s="121"/>
      <c r="G259" s="2"/>
      <c r="H259" s="2"/>
      <c r="I259" s="2"/>
      <c r="J259" s="2"/>
      <c r="L259" s="2"/>
      <c r="M259" s="2"/>
    </row>
    <row r="260" spans="3:13" ht="25.8">
      <c r="C260" s="2"/>
      <c r="D260" s="35" t="s">
        <v>18</v>
      </c>
      <c r="E260" s="35" t="s">
        <v>3</v>
      </c>
      <c r="F260" s="121"/>
      <c r="G260" s="2"/>
      <c r="H260" s="2"/>
      <c r="I260" s="2"/>
      <c r="J260" s="2"/>
      <c r="L260" s="2"/>
      <c r="M260" s="2"/>
    </row>
    <row r="261" spans="3:13" ht="25.8">
      <c r="C261" s="2"/>
      <c r="D261" s="35" t="s">
        <v>18</v>
      </c>
      <c r="E261" s="35" t="s">
        <v>3</v>
      </c>
      <c r="F261" s="121"/>
      <c r="G261" s="2"/>
      <c r="H261" s="2"/>
      <c r="I261" s="2"/>
      <c r="J261" s="2"/>
      <c r="L261" s="2"/>
      <c r="M261" s="2"/>
    </row>
    <row r="262" spans="3:13" ht="25.8">
      <c r="C262" s="2"/>
      <c r="D262" s="35" t="s">
        <v>18</v>
      </c>
      <c r="E262" s="35" t="s">
        <v>3</v>
      </c>
      <c r="F262" s="121"/>
      <c r="G262" s="2"/>
      <c r="H262" s="2"/>
      <c r="I262" s="2"/>
      <c r="J262" s="2"/>
      <c r="L262" s="2"/>
      <c r="M262" s="2"/>
    </row>
    <row r="263" spans="3:13" ht="25.8">
      <c r="C263" s="2"/>
      <c r="D263" s="35" t="s">
        <v>18</v>
      </c>
      <c r="E263" s="35" t="s">
        <v>3</v>
      </c>
      <c r="F263" s="121"/>
      <c r="G263" s="2"/>
      <c r="H263" s="2"/>
      <c r="I263" s="2"/>
      <c r="J263" s="2"/>
      <c r="L263" s="2"/>
      <c r="M263" s="2"/>
    </row>
    <row r="264" spans="3:13" ht="25.8">
      <c r="C264" s="2"/>
      <c r="D264" s="35" t="s">
        <v>18</v>
      </c>
      <c r="E264" s="35" t="s">
        <v>3</v>
      </c>
      <c r="F264" s="121"/>
      <c r="G264" s="2"/>
      <c r="H264" s="2"/>
      <c r="I264" s="2"/>
      <c r="J264" s="2"/>
      <c r="L264" s="2"/>
      <c r="M264" s="2"/>
    </row>
    <row r="265" spans="3:13" ht="25.8">
      <c r="C265" s="2"/>
      <c r="D265" s="35" t="s">
        <v>18</v>
      </c>
      <c r="E265" s="35" t="s">
        <v>3</v>
      </c>
      <c r="F265" s="121"/>
      <c r="G265" s="2"/>
      <c r="H265" s="2"/>
      <c r="I265" s="2"/>
      <c r="J265" s="2"/>
      <c r="L265" s="2"/>
      <c r="M265" s="2"/>
    </row>
    <row r="266" spans="3:13" ht="25.8">
      <c r="C266" s="2"/>
      <c r="D266" s="35" t="s">
        <v>18</v>
      </c>
      <c r="E266" s="35" t="s">
        <v>3</v>
      </c>
      <c r="F266" s="121"/>
      <c r="G266" s="2"/>
      <c r="H266" s="2"/>
      <c r="I266" s="2"/>
      <c r="J266" s="2"/>
      <c r="L266" s="2"/>
      <c r="M266" s="2"/>
    </row>
    <row r="267" spans="3:13" ht="25.8">
      <c r="C267" s="2"/>
      <c r="D267" s="35" t="s">
        <v>18</v>
      </c>
      <c r="E267" s="35" t="s">
        <v>3</v>
      </c>
      <c r="F267" s="121"/>
      <c r="G267" s="2"/>
      <c r="H267" s="2"/>
      <c r="I267" s="2"/>
      <c r="J267" s="2"/>
      <c r="L267" s="2"/>
      <c r="M267" s="2"/>
    </row>
    <row r="268" spans="3:13" ht="25.8">
      <c r="C268" s="2"/>
      <c r="D268" s="35" t="s">
        <v>18</v>
      </c>
      <c r="E268" s="35" t="s">
        <v>3</v>
      </c>
      <c r="F268" s="121"/>
      <c r="G268" s="2"/>
      <c r="H268" s="2"/>
      <c r="I268" s="2"/>
      <c r="J268" s="2"/>
      <c r="L268" s="2"/>
      <c r="M268" s="2"/>
    </row>
    <row r="269" spans="3:13" ht="25.8">
      <c r="C269" s="2"/>
      <c r="D269" s="35" t="s">
        <v>18</v>
      </c>
      <c r="E269" s="35" t="s">
        <v>3</v>
      </c>
      <c r="F269" s="121"/>
      <c r="G269" s="2"/>
      <c r="H269" s="2"/>
      <c r="I269" s="2"/>
      <c r="J269" s="2"/>
      <c r="L269" s="2"/>
      <c r="M269" s="2"/>
    </row>
    <row r="270" spans="3:13" ht="25.8">
      <c r="C270" s="2"/>
      <c r="D270" s="35" t="s">
        <v>18</v>
      </c>
      <c r="E270" s="35" t="s">
        <v>3</v>
      </c>
      <c r="F270" s="121"/>
      <c r="G270" s="2"/>
      <c r="H270" s="2"/>
      <c r="I270" s="2"/>
      <c r="J270" s="2"/>
      <c r="L270" s="2"/>
      <c r="M270" s="2"/>
    </row>
    <row r="271" spans="3:13" ht="25.8">
      <c r="C271" s="2"/>
      <c r="D271" s="35" t="s">
        <v>18</v>
      </c>
      <c r="E271" s="35" t="s">
        <v>3</v>
      </c>
      <c r="F271" s="121"/>
      <c r="G271" s="2"/>
      <c r="H271" s="2"/>
      <c r="I271" s="2"/>
      <c r="J271" s="2"/>
      <c r="L271" s="2"/>
      <c r="M271" s="2"/>
    </row>
    <row r="272" spans="3:13" ht="25.8">
      <c r="C272" s="2"/>
      <c r="D272" s="35" t="s">
        <v>18</v>
      </c>
      <c r="E272" s="35" t="s">
        <v>3</v>
      </c>
      <c r="F272" s="121"/>
      <c r="G272" s="2"/>
      <c r="H272" s="2"/>
      <c r="I272" s="2"/>
      <c r="J272" s="2"/>
      <c r="L272" s="2"/>
      <c r="M272" s="2"/>
    </row>
    <row r="273" spans="3:13" ht="25.8">
      <c r="C273" s="2"/>
      <c r="D273" s="35" t="s">
        <v>18</v>
      </c>
      <c r="E273" s="35" t="s">
        <v>3</v>
      </c>
      <c r="F273" s="121"/>
      <c r="G273" s="2"/>
      <c r="H273" s="2"/>
      <c r="I273" s="2"/>
      <c r="J273" s="2"/>
      <c r="L273" s="2"/>
      <c r="M273" s="2"/>
    </row>
    <row r="274" spans="3:13" ht="25.8">
      <c r="C274" s="2"/>
      <c r="D274" s="35" t="s">
        <v>18</v>
      </c>
      <c r="E274" s="35" t="s">
        <v>3</v>
      </c>
      <c r="F274" s="121"/>
      <c r="G274" s="2"/>
      <c r="H274" s="2"/>
      <c r="I274" s="2"/>
      <c r="J274" s="2"/>
      <c r="L274" s="2"/>
      <c r="M274" s="2"/>
    </row>
    <row r="275" spans="3:13" ht="25.8">
      <c r="C275" s="2"/>
      <c r="D275" s="35" t="s">
        <v>18</v>
      </c>
      <c r="E275" s="35" t="s">
        <v>3</v>
      </c>
      <c r="F275" s="121"/>
      <c r="G275" s="2"/>
      <c r="H275" s="2"/>
      <c r="I275" s="2"/>
      <c r="J275" s="2"/>
      <c r="L275" s="2"/>
      <c r="M275" s="2"/>
    </row>
    <row r="276" spans="3:13" ht="25.8">
      <c r="C276" s="2"/>
      <c r="D276" s="35" t="s">
        <v>18</v>
      </c>
      <c r="E276" s="35" t="s">
        <v>3</v>
      </c>
      <c r="F276" s="121"/>
      <c r="G276" s="2"/>
      <c r="H276" s="2"/>
      <c r="I276" s="2"/>
      <c r="J276" s="2"/>
      <c r="L276" s="2"/>
      <c r="M276" s="2"/>
    </row>
    <row r="277" spans="3:13" ht="25.8">
      <c r="C277" s="2"/>
      <c r="D277" s="35" t="s">
        <v>18</v>
      </c>
      <c r="E277" s="35" t="s">
        <v>3</v>
      </c>
      <c r="F277" s="121"/>
      <c r="G277" s="2"/>
      <c r="H277" s="2"/>
      <c r="I277" s="2"/>
      <c r="J277" s="2"/>
      <c r="L277" s="2"/>
      <c r="M277" s="2"/>
    </row>
    <row r="278" spans="3:13" ht="25.8">
      <c r="C278" s="2"/>
      <c r="D278" s="35" t="s">
        <v>18</v>
      </c>
      <c r="E278" s="35" t="s">
        <v>3</v>
      </c>
      <c r="F278" s="121"/>
      <c r="G278" s="2"/>
      <c r="H278" s="2"/>
      <c r="I278" s="2"/>
      <c r="J278" s="2"/>
      <c r="L278" s="2"/>
      <c r="M278" s="2"/>
    </row>
    <row r="279" spans="3:13" ht="25.8">
      <c r="C279" s="2"/>
      <c r="D279" s="35" t="s">
        <v>18</v>
      </c>
      <c r="E279" s="35" t="s">
        <v>3</v>
      </c>
      <c r="F279" s="121"/>
      <c r="G279" s="2"/>
      <c r="H279" s="2"/>
      <c r="I279" s="2"/>
      <c r="J279" s="2"/>
      <c r="L279" s="2"/>
      <c r="M279" s="2"/>
    </row>
    <row r="280" spans="3:13" ht="25.8">
      <c r="C280" s="2"/>
      <c r="D280" s="35" t="s">
        <v>18</v>
      </c>
      <c r="E280" s="35" t="s">
        <v>3</v>
      </c>
      <c r="F280" s="121"/>
      <c r="G280" s="2"/>
      <c r="H280" s="2"/>
      <c r="I280" s="2"/>
      <c r="J280" s="2"/>
      <c r="L280" s="2"/>
      <c r="M280" s="2"/>
    </row>
    <row r="281" spans="3:13" ht="25.8">
      <c r="C281" s="2"/>
      <c r="D281" s="35" t="s">
        <v>18</v>
      </c>
      <c r="E281" s="35" t="s">
        <v>3</v>
      </c>
      <c r="F281" s="121"/>
      <c r="G281" s="2"/>
      <c r="H281" s="2"/>
      <c r="I281" s="2"/>
      <c r="J281" s="2"/>
      <c r="L281" s="2"/>
      <c r="M281" s="2"/>
    </row>
    <row r="282" spans="3:13" ht="25.8">
      <c r="C282" s="2"/>
      <c r="D282" s="35" t="s">
        <v>18</v>
      </c>
      <c r="E282" s="35" t="s">
        <v>3</v>
      </c>
      <c r="F282" s="121"/>
      <c r="G282" s="2"/>
      <c r="H282" s="2"/>
      <c r="I282" s="2"/>
      <c r="J282" s="2"/>
      <c r="L282" s="2"/>
      <c r="M282" s="2"/>
    </row>
    <row r="283" spans="3:13" ht="25.8">
      <c r="C283" s="2"/>
      <c r="D283" s="35" t="s">
        <v>18</v>
      </c>
      <c r="E283" s="35" t="s">
        <v>3</v>
      </c>
      <c r="F283" s="121"/>
      <c r="G283" s="2"/>
      <c r="H283" s="2"/>
      <c r="I283" s="2"/>
      <c r="J283" s="2"/>
      <c r="L283" s="2"/>
      <c r="M283" s="2"/>
    </row>
    <row r="284" spans="3:13" ht="25.8">
      <c r="C284" s="2"/>
      <c r="D284" s="35" t="s">
        <v>18</v>
      </c>
      <c r="E284" s="35" t="s">
        <v>3</v>
      </c>
      <c r="F284" s="121"/>
      <c r="G284" s="2"/>
      <c r="H284" s="2"/>
      <c r="I284" s="2"/>
      <c r="J284" s="2"/>
      <c r="L284" s="2"/>
      <c r="M284" s="2"/>
    </row>
    <row r="285" spans="3:13" ht="25.8">
      <c r="C285" s="2"/>
      <c r="D285" s="35" t="s">
        <v>18</v>
      </c>
      <c r="E285" s="35" t="s">
        <v>3</v>
      </c>
      <c r="F285" s="121"/>
      <c r="G285" s="2"/>
      <c r="H285" s="2"/>
      <c r="I285" s="2"/>
      <c r="J285" s="2"/>
      <c r="L285" s="2"/>
      <c r="M285" s="2"/>
    </row>
    <row r="286" spans="3:13" ht="25.8">
      <c r="C286" s="2"/>
      <c r="D286" s="35" t="s">
        <v>18</v>
      </c>
      <c r="E286" s="35" t="s">
        <v>3</v>
      </c>
      <c r="F286" s="121"/>
      <c r="G286" s="2"/>
      <c r="H286" s="2"/>
      <c r="I286" s="2"/>
      <c r="J286" s="2"/>
      <c r="L286" s="2"/>
      <c r="M286" s="2"/>
    </row>
    <row r="287" spans="3:13" ht="25.8">
      <c r="C287" s="2"/>
      <c r="D287" s="35" t="s">
        <v>18</v>
      </c>
      <c r="E287" s="35" t="s">
        <v>3</v>
      </c>
      <c r="F287" s="121"/>
      <c r="G287" s="2"/>
      <c r="H287" s="2"/>
      <c r="I287" s="2"/>
      <c r="J287" s="2"/>
      <c r="L287" s="2"/>
      <c r="M287" s="2"/>
    </row>
    <row r="288" spans="3:13" ht="25.8">
      <c r="C288" s="2"/>
      <c r="D288" s="35" t="s">
        <v>18</v>
      </c>
      <c r="E288" s="35" t="s">
        <v>3</v>
      </c>
      <c r="F288" s="121"/>
      <c r="G288" s="2"/>
      <c r="H288" s="2"/>
      <c r="I288" s="2"/>
      <c r="J288" s="2"/>
      <c r="L288" s="2"/>
      <c r="M288" s="2"/>
    </row>
    <row r="289" spans="3:13" ht="25.8">
      <c r="C289" s="2"/>
      <c r="D289" s="35" t="s">
        <v>18</v>
      </c>
      <c r="E289" s="35" t="s">
        <v>3</v>
      </c>
      <c r="F289" s="121"/>
      <c r="G289" s="2"/>
      <c r="H289" s="2"/>
      <c r="I289" s="2"/>
      <c r="J289" s="2"/>
      <c r="L289" s="2"/>
      <c r="M289" s="2"/>
    </row>
    <row r="290" spans="3:13" ht="25.8">
      <c r="C290" s="2"/>
      <c r="D290" s="35" t="s">
        <v>18</v>
      </c>
      <c r="E290" s="35" t="s">
        <v>3</v>
      </c>
      <c r="F290" s="121"/>
      <c r="G290" s="2"/>
      <c r="H290" s="2"/>
      <c r="I290" s="2"/>
      <c r="J290" s="2"/>
      <c r="L290" s="2"/>
      <c r="M290" s="2"/>
    </row>
    <row r="291" spans="3:13" ht="25.8">
      <c r="C291" s="2"/>
      <c r="D291" s="35" t="s">
        <v>18</v>
      </c>
      <c r="E291" s="35" t="s">
        <v>3</v>
      </c>
      <c r="F291" s="121"/>
      <c r="G291" s="2"/>
      <c r="H291" s="2"/>
      <c r="I291" s="2"/>
      <c r="J291" s="2"/>
      <c r="L291" s="2"/>
      <c r="M291" s="2"/>
    </row>
    <row r="292" spans="3:13" ht="25.8">
      <c r="C292" s="2"/>
      <c r="D292" s="35" t="s">
        <v>18</v>
      </c>
      <c r="E292" s="35" t="s">
        <v>3</v>
      </c>
      <c r="F292" s="121"/>
      <c r="G292" s="2"/>
      <c r="H292" s="2"/>
      <c r="I292" s="2"/>
      <c r="J292" s="2"/>
      <c r="L292" s="2"/>
      <c r="M292" s="2"/>
    </row>
    <row r="293" spans="3:13" ht="25.8">
      <c r="C293" s="2"/>
      <c r="D293" s="35" t="s">
        <v>18</v>
      </c>
      <c r="E293" s="35" t="s">
        <v>3</v>
      </c>
      <c r="F293" s="121"/>
      <c r="G293" s="2"/>
      <c r="H293" s="2"/>
      <c r="I293" s="2"/>
      <c r="J293" s="2"/>
      <c r="L293" s="2"/>
      <c r="M293" s="2"/>
    </row>
    <row r="294" spans="3:13" ht="25.8">
      <c r="C294" s="2"/>
      <c r="D294" s="35" t="s">
        <v>18</v>
      </c>
      <c r="E294" s="35" t="s">
        <v>3</v>
      </c>
      <c r="F294" s="121"/>
      <c r="G294" s="2"/>
      <c r="H294" s="2"/>
      <c r="I294" s="2"/>
      <c r="J294" s="2"/>
      <c r="L294" s="2"/>
      <c r="M294" s="2"/>
    </row>
    <row r="295" spans="3:13" ht="25.8">
      <c r="C295" s="2"/>
      <c r="D295" s="35" t="s">
        <v>18</v>
      </c>
      <c r="E295" s="35" t="s">
        <v>3</v>
      </c>
      <c r="F295" s="121"/>
      <c r="G295" s="2"/>
      <c r="H295" s="2"/>
      <c r="I295" s="2"/>
      <c r="J295" s="2"/>
      <c r="L295" s="2"/>
      <c r="M295" s="2"/>
    </row>
    <row r="296" spans="3:13" ht="25.8">
      <c r="C296" s="2"/>
      <c r="D296" s="35" t="s">
        <v>18</v>
      </c>
      <c r="E296" s="35" t="s">
        <v>3</v>
      </c>
      <c r="F296" s="121"/>
      <c r="G296" s="2"/>
      <c r="H296" s="2"/>
      <c r="I296" s="2"/>
      <c r="J296" s="2"/>
      <c r="L296" s="2"/>
      <c r="M296" s="2"/>
    </row>
    <row r="297" spans="3:13" ht="25.8">
      <c r="C297" s="2"/>
      <c r="D297" s="35" t="s">
        <v>18</v>
      </c>
      <c r="E297" s="35" t="s">
        <v>3</v>
      </c>
      <c r="F297" s="121"/>
      <c r="G297" s="2"/>
      <c r="H297" s="2"/>
      <c r="I297" s="2"/>
      <c r="J297" s="2"/>
      <c r="L297" s="2"/>
      <c r="M297" s="2"/>
    </row>
    <row r="298" spans="3:13" ht="25.8">
      <c r="C298" s="2"/>
      <c r="D298" s="35" t="s">
        <v>18</v>
      </c>
      <c r="E298" s="35" t="s">
        <v>3</v>
      </c>
      <c r="F298" s="121"/>
      <c r="G298" s="2"/>
      <c r="H298" s="2"/>
      <c r="I298" s="2"/>
      <c r="J298" s="2"/>
      <c r="L298" s="2"/>
      <c r="M298" s="2"/>
    </row>
    <row r="299" spans="3:13" ht="25.8">
      <c r="C299" s="2"/>
      <c r="D299" s="35" t="s">
        <v>18</v>
      </c>
      <c r="E299" s="35" t="s">
        <v>3</v>
      </c>
      <c r="F299" s="121"/>
      <c r="G299" s="2"/>
      <c r="H299" s="2"/>
      <c r="I299" s="2"/>
      <c r="J299" s="2"/>
      <c r="L299" s="2"/>
      <c r="M299" s="2"/>
    </row>
    <row r="300" spans="3:13" ht="25.8">
      <c r="C300" s="2"/>
      <c r="D300" s="35" t="s">
        <v>18</v>
      </c>
      <c r="E300" s="35" t="s">
        <v>3</v>
      </c>
      <c r="F300" s="121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151" priority="10" operator="containsText" text="Purple">
      <formula>NOT(ISERROR(SEARCH("Purple",F7)))</formula>
    </cfRule>
    <cfRule type="containsText" dxfId="150" priority="6" operator="containsText" text="Dark Green">
      <formula>NOT(ISERROR(SEARCH("Dark Green",F7)))</formula>
    </cfRule>
    <cfRule type="containsText" dxfId="136" priority="7" operator="containsText" text="Light Blue">
      <formula>NOT(ISERROR(SEARCH("Light Blue",F7)))</formula>
    </cfRule>
    <cfRule type="containsText" dxfId="149" priority="8" operator="containsText" text="Green">
      <formula>NOT(ISERROR(SEARCH("Green",F7)))</formula>
    </cfRule>
    <cfRule type="containsText" dxfId="148" priority="9" operator="containsText" text="Red">
      <formula>NOT(ISERROR(SEARCH("Red",F7)))</formula>
    </cfRule>
    <cfRule type="containsText" dxfId="147" priority="11" operator="containsText" text="Gray">
      <formula>NOT(ISERROR(SEARCH("Gray",F7)))</formula>
    </cfRule>
    <cfRule type="containsText" dxfId="146" priority="14" operator="containsText" text="Dark Blue">
      <formula>NOT(ISERROR(SEARCH("Dark Blue",F7)))</formula>
    </cfRule>
    <cfRule type="containsText" dxfId="145" priority="15" operator="containsText" text="Brown">
      <formula>NOT(ISERROR(SEARCH("Brown",F7)))</formula>
    </cfRule>
    <cfRule type="containsText" dxfId="144" priority="23" operator="containsText" text="Orange">
      <formula>NOT(ISERROR(SEARCH("Orange",F7)))</formula>
    </cfRule>
    <cfRule type="containsText" dxfId="143" priority="27" operator="containsText" text="Yellow">
      <formula>NOT(ISERROR(SEARCH("Yellow",F7)))</formula>
    </cfRule>
    <cfRule type="containsText" dxfId="142" priority="30" operator="containsText" text="Brown">
      <formula>NOT(ISERROR(SEARCH("Brown",F7)))</formula>
    </cfRule>
    <cfRule type="containsText" dxfId="141" priority="33" operator="containsText" text="Gray">
      <formula>NOT(ISERROR(SEARCH("Gray",F7)))</formula>
    </cfRule>
    <cfRule type="containsText" dxfId="140" priority="34" operator="containsText" text="Orange">
      <formula>NOT(ISERROR(SEARCH("Orange",F7)))</formula>
    </cfRule>
    <cfRule type="beginsWith" dxfId="139" priority="1" operator="beginsWith" text="Blue">
      <formula>LEFT(F7,LEN("Blue"))="Blue"</formula>
    </cfRule>
  </conditionalFormatting>
  <conditionalFormatting sqref="J1:J1048576">
    <cfRule type="beginsWith" dxfId="138" priority="4" operator="beginsWith" text="0">
      <formula>LEFT(J1,LEN("0"))="0"</formula>
    </cfRule>
  </conditionalFormatting>
  <conditionalFormatting sqref="I1:I1048576">
    <cfRule type="beginsWith" dxfId="137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zoomScale="70" zoomScaleNormal="70" workbookViewId="0">
      <selection activeCell="J16" sqref="J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27" t="s">
        <v>9</v>
      </c>
      <c r="D2" s="127"/>
      <c r="E2" s="127"/>
      <c r="F2" s="127"/>
      <c r="G2" s="127"/>
      <c r="H2" s="127"/>
      <c r="I2" s="127"/>
      <c r="J2" s="127"/>
      <c r="K2" s="1"/>
    </row>
    <row r="3" spans="3:13" ht="25.8">
      <c r="C3" s="127"/>
      <c r="D3" s="127"/>
      <c r="E3" s="127"/>
      <c r="F3" s="127"/>
      <c r="G3" s="127"/>
      <c r="H3" s="127"/>
      <c r="I3" s="127"/>
      <c r="J3" s="127"/>
      <c r="K3" s="1"/>
      <c r="L3" s="135" t="s">
        <v>16</v>
      </c>
      <c r="M3" s="135"/>
    </row>
    <row r="4" spans="3:13" ht="25.8">
      <c r="C4" s="127"/>
      <c r="D4" s="127"/>
      <c r="E4" s="127"/>
      <c r="F4" s="127"/>
      <c r="G4" s="127"/>
      <c r="H4" s="127"/>
      <c r="I4" s="127"/>
      <c r="J4" s="127"/>
      <c r="K4" s="1"/>
      <c r="L4" s="136"/>
      <c r="M4" s="136"/>
    </row>
    <row r="5" spans="3:13" ht="25.8">
      <c r="C5" s="134"/>
      <c r="D5" s="134"/>
      <c r="E5" s="134"/>
      <c r="F5" s="134"/>
      <c r="G5" s="134"/>
      <c r="H5" s="134"/>
      <c r="I5" s="134"/>
      <c r="J5" s="134"/>
      <c r="K5" s="1"/>
      <c r="L5" s="90"/>
      <c r="M5" s="90"/>
    </row>
    <row r="6" spans="3:13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98" t="s">
        <v>15</v>
      </c>
      <c r="K6" s="1"/>
      <c r="L6" s="122" t="s">
        <v>1</v>
      </c>
      <c r="M6" s="123" t="s">
        <v>0</v>
      </c>
    </row>
    <row r="7" spans="3:13" ht="25.8">
      <c r="C7" s="37">
        <v>46174</v>
      </c>
      <c r="D7" s="35" t="s">
        <v>18</v>
      </c>
      <c r="E7" s="35" t="s">
        <v>2</v>
      </c>
      <c r="F7" s="99" t="s">
        <v>28</v>
      </c>
      <c r="G7" s="35" t="s">
        <v>29</v>
      </c>
      <c r="H7" s="35" t="s">
        <v>89</v>
      </c>
      <c r="I7" s="36">
        <v>32066</v>
      </c>
      <c r="J7" s="128">
        <v>32066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2</v>
      </c>
      <c r="F8" s="99" t="s">
        <v>36</v>
      </c>
      <c r="G8" s="35" t="s">
        <v>29</v>
      </c>
      <c r="H8" s="35" t="s">
        <v>89</v>
      </c>
      <c r="I8" s="36">
        <v>4534</v>
      </c>
      <c r="J8" s="128">
        <v>4534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2</v>
      </c>
      <c r="F9" s="99" t="s">
        <v>30</v>
      </c>
      <c r="G9" s="35" t="s">
        <v>29</v>
      </c>
      <c r="H9" s="35" t="s">
        <v>89</v>
      </c>
      <c r="I9" s="36">
        <v>3626</v>
      </c>
      <c r="J9" s="128">
        <v>3626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2</v>
      </c>
      <c r="F10" s="99" t="s">
        <v>24</v>
      </c>
      <c r="G10" s="35" t="s">
        <v>29</v>
      </c>
      <c r="H10" s="35" t="s">
        <v>89</v>
      </c>
      <c r="I10" s="36">
        <v>47153</v>
      </c>
      <c r="J10" s="128">
        <v>47153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2</v>
      </c>
      <c r="F11" s="99" t="s">
        <v>37</v>
      </c>
      <c r="G11" s="35" t="s">
        <v>29</v>
      </c>
      <c r="H11" s="35" t="s">
        <v>89</v>
      </c>
      <c r="I11" s="36">
        <v>5904</v>
      </c>
      <c r="J11" s="128">
        <v>5904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2</v>
      </c>
      <c r="F12" s="99" t="s">
        <v>38</v>
      </c>
      <c r="G12" s="35" t="s">
        <v>29</v>
      </c>
      <c r="H12" s="35" t="s">
        <v>89</v>
      </c>
      <c r="I12" s="36">
        <v>38033</v>
      </c>
      <c r="J12" s="128">
        <v>38033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2</v>
      </c>
      <c r="F13" s="99" t="s">
        <v>44</v>
      </c>
      <c r="G13" s="35" t="s">
        <v>32</v>
      </c>
      <c r="H13" s="35" t="s">
        <v>89</v>
      </c>
      <c r="I13" s="36">
        <v>903</v>
      </c>
      <c r="J13" s="36">
        <v>903</v>
      </c>
      <c r="K13" s="1"/>
      <c r="L13" s="35"/>
      <c r="M13" s="35"/>
    </row>
    <row r="14" spans="3:13" s="12" customFormat="1" ht="25.8">
      <c r="C14" s="111"/>
      <c r="D14" s="35" t="s">
        <v>18</v>
      </c>
      <c r="E14" s="35" t="s">
        <v>2</v>
      </c>
      <c r="F14" s="116"/>
      <c r="G14" s="94"/>
      <c r="H14" s="94"/>
      <c r="I14" s="129"/>
      <c r="J14" s="94"/>
      <c r="K14" s="125"/>
      <c r="L14" s="94"/>
      <c r="M14" s="94"/>
    </row>
    <row r="15" spans="3:13" ht="25.8">
      <c r="C15" s="111"/>
      <c r="D15" s="35" t="s">
        <v>18</v>
      </c>
      <c r="E15" s="35" t="s">
        <v>2</v>
      </c>
      <c r="F15" s="116"/>
      <c r="G15" s="94"/>
      <c r="H15" s="94"/>
      <c r="I15" s="130"/>
      <c r="J15" s="130"/>
      <c r="K15" s="125"/>
      <c r="L15" s="94"/>
      <c r="M15" s="94"/>
    </row>
    <row r="16" spans="3:13" ht="25.8">
      <c r="C16" s="111"/>
      <c r="D16" s="35" t="s">
        <v>18</v>
      </c>
      <c r="E16" s="35" t="s">
        <v>2</v>
      </c>
      <c r="F16" s="116"/>
      <c r="G16" s="94"/>
      <c r="H16" s="94"/>
      <c r="I16" s="130"/>
      <c r="J16" s="130"/>
      <c r="K16" s="125"/>
      <c r="L16" s="94"/>
      <c r="M16" s="94"/>
    </row>
    <row r="17" spans="3:13" ht="25.8">
      <c r="C17" s="111"/>
      <c r="D17" s="35" t="s">
        <v>18</v>
      </c>
      <c r="E17" s="35" t="s">
        <v>2</v>
      </c>
      <c r="F17" s="116"/>
      <c r="G17" s="94"/>
      <c r="H17" s="94"/>
      <c r="I17" s="130"/>
      <c r="J17" s="130"/>
      <c r="K17" s="125"/>
      <c r="L17" s="94"/>
      <c r="M17" s="94"/>
    </row>
    <row r="18" spans="3:13" ht="25.8">
      <c r="C18" s="111"/>
      <c r="D18" s="35" t="s">
        <v>18</v>
      </c>
      <c r="E18" s="35" t="s">
        <v>2</v>
      </c>
      <c r="F18" s="116"/>
      <c r="G18" s="94"/>
      <c r="H18" s="94"/>
      <c r="I18" s="130"/>
      <c r="J18" s="130"/>
      <c r="K18" s="125"/>
      <c r="L18" s="94"/>
      <c r="M18" s="94"/>
    </row>
    <row r="19" spans="3:13" ht="25.8">
      <c r="C19" s="111"/>
      <c r="D19" s="35" t="s">
        <v>18</v>
      </c>
      <c r="E19" s="35" t="s">
        <v>2</v>
      </c>
      <c r="F19" s="116"/>
      <c r="G19" s="94"/>
      <c r="H19" s="94"/>
      <c r="I19" s="129"/>
      <c r="J19" s="130"/>
      <c r="K19" s="125"/>
      <c r="L19" s="94"/>
      <c r="M19" s="94"/>
    </row>
    <row r="20" spans="3:13" ht="25.8">
      <c r="C20" s="106"/>
      <c r="D20" s="35" t="s">
        <v>18</v>
      </c>
      <c r="E20" s="35" t="s">
        <v>2</v>
      </c>
      <c r="F20" s="116"/>
      <c r="G20" s="94"/>
      <c r="H20" s="94"/>
      <c r="I20" s="129"/>
      <c r="J20" s="130"/>
      <c r="K20" s="125"/>
      <c r="L20" s="94"/>
      <c r="M20" s="94"/>
    </row>
    <row r="21" spans="3:13" ht="26.25" customHeight="1">
      <c r="C21" s="111"/>
      <c r="D21" s="35" t="s">
        <v>18</v>
      </c>
      <c r="E21" s="35" t="s">
        <v>2</v>
      </c>
      <c r="F21" s="116"/>
      <c r="G21" s="94"/>
      <c r="H21" s="94"/>
      <c r="I21" s="131"/>
      <c r="J21" s="130"/>
      <c r="K21" s="125"/>
      <c r="L21" s="94"/>
      <c r="M21" s="94"/>
    </row>
    <row r="22" spans="3:13" ht="26.25" customHeight="1">
      <c r="C22" s="111"/>
      <c r="D22" s="35" t="s">
        <v>18</v>
      </c>
      <c r="E22" s="35" t="s">
        <v>2</v>
      </c>
      <c r="F22" s="116"/>
      <c r="G22" s="94"/>
      <c r="H22" s="94"/>
      <c r="I22" s="131"/>
      <c r="J22" s="130"/>
      <c r="K22" s="125"/>
      <c r="L22" s="94"/>
      <c r="M22" s="94"/>
    </row>
    <row r="23" spans="3:13" ht="26.25" customHeight="1">
      <c r="C23" s="111"/>
      <c r="D23" s="35" t="s">
        <v>18</v>
      </c>
      <c r="E23" s="35" t="s">
        <v>2</v>
      </c>
      <c r="F23" s="116"/>
      <c r="G23" s="94"/>
      <c r="H23" s="94"/>
      <c r="I23" s="94"/>
      <c r="J23" s="130"/>
      <c r="K23" s="125"/>
      <c r="L23" s="94"/>
      <c r="M23" s="94"/>
    </row>
    <row r="24" spans="3:13" ht="26.25" customHeight="1">
      <c r="C24" s="111"/>
      <c r="D24" s="35" t="s">
        <v>18</v>
      </c>
      <c r="E24" s="35" t="s">
        <v>2</v>
      </c>
      <c r="F24" s="116"/>
      <c r="G24" s="94"/>
      <c r="H24" s="94"/>
      <c r="I24" s="94"/>
      <c r="J24" s="94"/>
      <c r="K24" s="125"/>
      <c r="L24" s="94"/>
      <c r="M24" s="94"/>
    </row>
    <row r="25" spans="3:13" ht="26.25" customHeight="1">
      <c r="C25" s="111"/>
      <c r="D25" s="35" t="s">
        <v>18</v>
      </c>
      <c r="E25" s="35" t="s">
        <v>2</v>
      </c>
      <c r="F25" s="116"/>
      <c r="G25" s="94"/>
      <c r="H25" s="94"/>
      <c r="I25" s="130"/>
      <c r="J25" s="130"/>
      <c r="K25" s="125"/>
      <c r="L25" s="94"/>
      <c r="M25" s="94"/>
    </row>
    <row r="26" spans="3:13" ht="26.25" customHeight="1">
      <c r="C26" s="111"/>
      <c r="D26" s="35" t="s">
        <v>18</v>
      </c>
      <c r="E26" s="35" t="s">
        <v>2</v>
      </c>
      <c r="F26" s="116"/>
      <c r="G26" s="94"/>
      <c r="H26" s="94"/>
      <c r="I26" s="130"/>
      <c r="J26" s="130"/>
      <c r="K26" s="125"/>
      <c r="L26" s="94"/>
      <c r="M26" s="94"/>
    </row>
    <row r="27" spans="3:13" ht="26.25" customHeight="1">
      <c r="C27" s="111"/>
      <c r="D27" s="35" t="s">
        <v>18</v>
      </c>
      <c r="E27" s="35" t="s">
        <v>2</v>
      </c>
      <c r="F27" s="116"/>
      <c r="G27" s="94"/>
      <c r="H27" s="94"/>
      <c r="I27" s="130"/>
      <c r="J27" s="130"/>
      <c r="K27" s="125"/>
      <c r="L27" s="94"/>
      <c r="M27" s="94"/>
    </row>
    <row r="28" spans="3:13" ht="26.25" customHeight="1">
      <c r="C28" s="106"/>
      <c r="D28" s="35" t="s">
        <v>18</v>
      </c>
      <c r="E28" s="35" t="s">
        <v>2</v>
      </c>
      <c r="F28" s="116"/>
      <c r="G28" s="94"/>
      <c r="H28" s="94"/>
      <c r="I28" s="130"/>
      <c r="J28" s="130"/>
      <c r="K28" s="125"/>
      <c r="L28" s="94"/>
      <c r="M28" s="94"/>
    </row>
    <row r="29" spans="3:13" ht="26.25" customHeight="1">
      <c r="C29" s="106"/>
      <c r="D29" s="35" t="s">
        <v>18</v>
      </c>
      <c r="E29" s="35" t="s">
        <v>2</v>
      </c>
      <c r="F29" s="116"/>
      <c r="G29" s="94"/>
      <c r="H29" s="94"/>
      <c r="I29" s="130"/>
      <c r="J29" s="130"/>
      <c r="K29" s="125"/>
      <c r="L29" s="94"/>
      <c r="M29" s="94"/>
    </row>
    <row r="30" spans="3:13" ht="26.25" customHeight="1">
      <c r="C30" s="37"/>
      <c r="D30" s="35" t="s">
        <v>18</v>
      </c>
      <c r="E30" s="35" t="s">
        <v>2</v>
      </c>
      <c r="F30" s="99"/>
      <c r="G30" s="35"/>
      <c r="H30" s="35"/>
      <c r="I30" s="36"/>
      <c r="J30" s="36"/>
      <c r="K30" s="1"/>
      <c r="L30" s="35"/>
      <c r="M30" s="35"/>
    </row>
    <row r="31" spans="3:13" ht="26.25" customHeight="1">
      <c r="C31" s="37"/>
      <c r="D31" s="35" t="s">
        <v>18</v>
      </c>
      <c r="E31" s="35" t="s">
        <v>2</v>
      </c>
      <c r="F31" s="99"/>
      <c r="G31" s="35"/>
      <c r="H31" s="35"/>
      <c r="I31" s="36"/>
      <c r="J31" s="36"/>
      <c r="K31" s="1"/>
      <c r="L31" s="35"/>
      <c r="M31" s="35"/>
    </row>
    <row r="32" spans="3:13" ht="26.25" customHeight="1">
      <c r="C32" s="37"/>
      <c r="D32" s="35" t="s">
        <v>18</v>
      </c>
      <c r="E32" s="35" t="s">
        <v>2</v>
      </c>
      <c r="F32" s="99"/>
      <c r="G32" s="35"/>
      <c r="H32" s="35"/>
      <c r="I32" s="36"/>
      <c r="J32" s="36"/>
      <c r="K32" s="1"/>
      <c r="L32" s="35"/>
      <c r="M32" s="35"/>
    </row>
    <row r="33" spans="3:13" ht="26.25" customHeight="1">
      <c r="C33" s="37"/>
      <c r="D33" s="35" t="s">
        <v>18</v>
      </c>
      <c r="E33" s="35" t="s">
        <v>2</v>
      </c>
      <c r="F33" s="99"/>
      <c r="G33" s="35"/>
      <c r="H33" s="35"/>
      <c r="I33" s="36"/>
      <c r="J33" s="36"/>
      <c r="K33" s="1"/>
      <c r="L33" s="35"/>
      <c r="M33" s="35"/>
    </row>
    <row r="34" spans="3:13" ht="26.25" customHeight="1">
      <c r="C34" s="37"/>
      <c r="D34" s="35" t="s">
        <v>18</v>
      </c>
      <c r="E34" s="35" t="s">
        <v>2</v>
      </c>
      <c r="F34" s="99"/>
      <c r="G34" s="35"/>
      <c r="H34" s="35"/>
      <c r="I34" s="36"/>
      <c r="J34" s="36"/>
      <c r="K34" s="1"/>
      <c r="L34" s="35"/>
      <c r="M34" s="35"/>
    </row>
    <row r="35" spans="3:13" ht="26.25" customHeight="1">
      <c r="C35" s="132"/>
      <c r="D35" s="35" t="s">
        <v>18</v>
      </c>
      <c r="E35" s="35" t="s">
        <v>2</v>
      </c>
      <c r="F35" s="116"/>
      <c r="G35" s="112"/>
      <c r="H35" s="94"/>
      <c r="I35" s="110"/>
      <c r="J35" s="110"/>
      <c r="K35" s="125"/>
      <c r="L35" s="95"/>
      <c r="M35" s="95"/>
    </row>
    <row r="36" spans="3:13" ht="26.25" customHeight="1">
      <c r="C36" s="106"/>
      <c r="D36" s="35" t="s">
        <v>18</v>
      </c>
      <c r="E36" s="35" t="s">
        <v>2</v>
      </c>
      <c r="F36" s="116"/>
      <c r="G36" s="95"/>
      <c r="H36" s="95"/>
      <c r="I36" s="133"/>
      <c r="J36" s="133"/>
      <c r="K36" s="125"/>
      <c r="L36" s="95"/>
      <c r="M36" s="95"/>
    </row>
    <row r="37" spans="3:13" ht="26.25" customHeight="1">
      <c r="C37" s="106"/>
      <c r="D37" s="35" t="s">
        <v>18</v>
      </c>
      <c r="E37" s="35" t="s">
        <v>2</v>
      </c>
      <c r="F37" s="116"/>
      <c r="G37" s="95"/>
      <c r="H37" s="95"/>
      <c r="I37" s="133"/>
      <c r="J37" s="133"/>
      <c r="K37" s="125"/>
      <c r="L37" s="95"/>
      <c r="M37" s="95"/>
    </row>
    <row r="38" spans="3:13" ht="25.8">
      <c r="C38" s="106"/>
      <c r="D38" s="35" t="s">
        <v>18</v>
      </c>
      <c r="E38" s="35" t="s">
        <v>2</v>
      </c>
      <c r="F38" s="116"/>
      <c r="G38" s="95"/>
      <c r="H38" s="95"/>
      <c r="I38" s="133"/>
      <c r="J38" s="133"/>
      <c r="K38" s="126"/>
      <c r="L38" s="95"/>
      <c r="M38" s="95"/>
    </row>
    <row r="39" spans="3:13" ht="25.8">
      <c r="C39" s="106"/>
      <c r="D39" s="35" t="s">
        <v>18</v>
      </c>
      <c r="E39" s="35" t="s">
        <v>2</v>
      </c>
      <c r="F39" s="116"/>
      <c r="G39" s="95"/>
      <c r="H39" s="95"/>
      <c r="I39" s="133"/>
      <c r="J39" s="133"/>
      <c r="K39" s="126"/>
      <c r="L39" s="95"/>
      <c r="M39" s="95"/>
    </row>
    <row r="40" spans="3:13" ht="25.8">
      <c r="C40" s="39"/>
      <c r="D40" s="35" t="s">
        <v>18</v>
      </c>
      <c r="E40" s="35" t="s">
        <v>2</v>
      </c>
      <c r="F40" s="99"/>
      <c r="G40" s="35"/>
      <c r="H40" s="35"/>
      <c r="I40" s="36"/>
      <c r="J40" s="36"/>
      <c r="L40" s="35"/>
      <c r="M40" s="35"/>
    </row>
    <row r="41" spans="3:13" ht="25.8">
      <c r="C41" s="39"/>
      <c r="D41" s="35" t="s">
        <v>18</v>
      </c>
      <c r="E41" s="35" t="s">
        <v>2</v>
      </c>
      <c r="F41" s="99"/>
      <c r="G41" s="35"/>
      <c r="H41" s="35"/>
      <c r="I41" s="36"/>
      <c r="J41" s="36"/>
      <c r="L41" s="35"/>
      <c r="M41" s="35"/>
    </row>
    <row r="42" spans="3:13" ht="25.8">
      <c r="C42" s="39"/>
      <c r="D42" s="35" t="s">
        <v>18</v>
      </c>
      <c r="E42" s="35" t="s">
        <v>2</v>
      </c>
      <c r="F42" s="99"/>
      <c r="G42" s="35"/>
      <c r="H42" s="35"/>
      <c r="I42" s="36"/>
      <c r="J42" s="36"/>
      <c r="L42" s="35"/>
      <c r="M42" s="35"/>
    </row>
    <row r="43" spans="3:13" ht="25.8">
      <c r="C43" s="39"/>
      <c r="D43" s="35" t="s">
        <v>18</v>
      </c>
      <c r="E43" s="35" t="s">
        <v>2</v>
      </c>
      <c r="F43" s="99"/>
      <c r="G43" s="35"/>
      <c r="H43" s="35"/>
      <c r="I43" s="36"/>
      <c r="J43" s="36"/>
      <c r="L43" s="35"/>
      <c r="M43" s="35"/>
    </row>
    <row r="44" spans="3:13" ht="25.8">
      <c r="C44" s="39"/>
      <c r="D44" s="35" t="s">
        <v>18</v>
      </c>
      <c r="E44" s="35" t="s">
        <v>2</v>
      </c>
      <c r="F44" s="99"/>
      <c r="G44" s="35"/>
      <c r="H44" s="35"/>
      <c r="I44" s="36"/>
      <c r="J44" s="36"/>
      <c r="L44" s="35"/>
      <c r="M44" s="35"/>
    </row>
    <row r="45" spans="3:13" ht="25.8">
      <c r="C45" s="39"/>
      <c r="D45" s="35" t="s">
        <v>18</v>
      </c>
      <c r="E45" s="35" t="s">
        <v>2</v>
      </c>
      <c r="F45" s="99"/>
      <c r="G45" s="35"/>
      <c r="H45" s="35"/>
      <c r="I45" s="36"/>
      <c r="J45" s="36"/>
      <c r="L45" s="35"/>
      <c r="M45" s="35"/>
    </row>
    <row r="46" spans="3:13" ht="25.8">
      <c r="C46" s="39"/>
      <c r="D46" s="35" t="s">
        <v>18</v>
      </c>
      <c r="E46" s="35" t="s">
        <v>2</v>
      </c>
      <c r="F46" s="99"/>
      <c r="G46" s="35"/>
      <c r="H46" s="35"/>
      <c r="I46" s="36"/>
      <c r="J46" s="36"/>
      <c r="L46" s="35"/>
      <c r="M46" s="35"/>
    </row>
    <row r="47" spans="3:13" ht="25.8">
      <c r="C47" s="39"/>
      <c r="D47" s="35" t="s">
        <v>18</v>
      </c>
      <c r="E47" s="35" t="s">
        <v>2</v>
      </c>
      <c r="F47" s="99"/>
      <c r="G47" s="35"/>
      <c r="H47" s="35"/>
      <c r="I47" s="36"/>
      <c r="J47" s="36"/>
      <c r="L47" s="35"/>
      <c r="M47" s="35"/>
    </row>
    <row r="48" spans="3:13" ht="25.8">
      <c r="C48" s="39"/>
      <c r="D48" s="35" t="s">
        <v>18</v>
      </c>
      <c r="E48" s="35" t="s">
        <v>2</v>
      </c>
      <c r="F48" s="99"/>
      <c r="G48" s="35"/>
      <c r="H48" s="35"/>
      <c r="I48" s="36"/>
      <c r="J48" s="36"/>
      <c r="L48" s="35"/>
      <c r="M48" s="35"/>
    </row>
    <row r="49" spans="3:13" ht="25.8">
      <c r="C49" s="39"/>
      <c r="D49" s="35" t="s">
        <v>18</v>
      </c>
      <c r="E49" s="35" t="s">
        <v>2</v>
      </c>
      <c r="F49" s="99"/>
      <c r="G49" s="35"/>
      <c r="H49" s="35"/>
      <c r="I49" s="36"/>
      <c r="J49" s="36"/>
      <c r="L49" s="35"/>
      <c r="M49" s="35"/>
    </row>
    <row r="50" spans="3:13" ht="25.8">
      <c r="C50" s="39"/>
      <c r="D50" s="35" t="s">
        <v>18</v>
      </c>
      <c r="E50" s="35" t="s">
        <v>2</v>
      </c>
      <c r="F50" s="99"/>
      <c r="G50" s="35"/>
      <c r="H50" s="35"/>
      <c r="I50" s="36"/>
      <c r="J50" s="36"/>
      <c r="L50" s="35"/>
      <c r="M50" s="35"/>
    </row>
    <row r="51" spans="3:13" ht="25.8">
      <c r="C51" s="39"/>
      <c r="D51" s="35" t="s">
        <v>18</v>
      </c>
      <c r="E51" s="35" t="s">
        <v>2</v>
      </c>
      <c r="F51" s="99"/>
      <c r="G51" s="35"/>
      <c r="H51" s="35"/>
      <c r="I51" s="36"/>
      <c r="J51" s="36"/>
      <c r="L51" s="35"/>
      <c r="M51" s="35"/>
    </row>
    <row r="52" spans="3:13" ht="25.8">
      <c r="C52" s="39"/>
      <c r="D52" s="35" t="s">
        <v>18</v>
      </c>
      <c r="E52" s="35" t="s">
        <v>2</v>
      </c>
      <c r="F52" s="99"/>
      <c r="G52" s="35"/>
      <c r="H52" s="35"/>
      <c r="I52" s="36"/>
      <c r="J52" s="36"/>
      <c r="L52" s="35"/>
      <c r="M52" s="35"/>
    </row>
    <row r="53" spans="3:13" ht="25.8">
      <c r="C53" s="39"/>
      <c r="D53" s="35" t="s">
        <v>18</v>
      </c>
      <c r="E53" s="35" t="s">
        <v>2</v>
      </c>
      <c r="F53" s="99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2</v>
      </c>
      <c r="F54" s="99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2</v>
      </c>
      <c r="F55" s="99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2</v>
      </c>
      <c r="F56" s="99"/>
      <c r="G56" s="35"/>
      <c r="H56" s="35"/>
      <c r="I56" s="36"/>
      <c r="J56" s="36"/>
      <c r="L56" s="35"/>
      <c r="M56" s="35"/>
    </row>
    <row r="57" spans="3:13" ht="25.8">
      <c r="C57" s="35"/>
      <c r="D57" s="35" t="s">
        <v>18</v>
      </c>
      <c r="E57" s="35" t="s">
        <v>2</v>
      </c>
      <c r="F57" s="99"/>
      <c r="G57" s="35"/>
      <c r="H57" s="35"/>
      <c r="I57" s="36"/>
      <c r="J57" s="36"/>
      <c r="L57" s="35"/>
      <c r="M57" s="35"/>
    </row>
    <row r="58" spans="3:13" ht="25.8">
      <c r="C58" s="35"/>
      <c r="D58" s="35" t="s">
        <v>18</v>
      </c>
      <c r="E58" s="35" t="s">
        <v>2</v>
      </c>
      <c r="F58" s="99"/>
      <c r="G58" s="35"/>
      <c r="H58" s="35"/>
      <c r="I58" s="36"/>
      <c r="J58" s="36"/>
      <c r="L58" s="35"/>
      <c r="M58" s="35"/>
    </row>
    <row r="59" spans="3:13" ht="25.8">
      <c r="C59" s="35"/>
      <c r="D59" s="35" t="s">
        <v>18</v>
      </c>
      <c r="E59" s="35" t="s">
        <v>2</v>
      </c>
      <c r="F59" s="99"/>
      <c r="G59" s="35"/>
      <c r="H59" s="35"/>
      <c r="I59" s="36"/>
      <c r="J59" s="36"/>
      <c r="L59" s="35"/>
      <c r="M59" s="35"/>
    </row>
    <row r="60" spans="3:13" ht="25.8">
      <c r="C60" s="35"/>
      <c r="D60" s="35" t="s">
        <v>18</v>
      </c>
      <c r="E60" s="35" t="s">
        <v>2</v>
      </c>
      <c r="F60" s="99"/>
      <c r="G60" s="35"/>
      <c r="H60" s="35"/>
      <c r="I60" s="36"/>
      <c r="J60" s="36"/>
      <c r="L60" s="35"/>
      <c r="M60" s="35"/>
    </row>
    <row r="61" spans="3:13" ht="25.8">
      <c r="C61" s="35"/>
      <c r="D61" s="35" t="s">
        <v>18</v>
      </c>
      <c r="E61" s="35" t="s">
        <v>2</v>
      </c>
      <c r="F61" s="99"/>
      <c r="G61" s="35"/>
      <c r="H61" s="35"/>
      <c r="I61" s="36"/>
      <c r="J61" s="36"/>
      <c r="L61" s="35"/>
      <c r="M61" s="35"/>
    </row>
    <row r="62" spans="3:13" ht="25.8">
      <c r="C62" s="35"/>
      <c r="D62" s="35" t="s">
        <v>18</v>
      </c>
      <c r="E62" s="35" t="s">
        <v>2</v>
      </c>
      <c r="F62" s="99"/>
      <c r="G62" s="35"/>
      <c r="H62" s="35"/>
      <c r="I62" s="36"/>
      <c r="J62" s="36"/>
      <c r="L62" s="35"/>
      <c r="M62" s="35"/>
    </row>
    <row r="63" spans="3:13" ht="25.8">
      <c r="C63" s="35"/>
      <c r="D63" s="35" t="s">
        <v>18</v>
      </c>
      <c r="E63" s="35" t="s">
        <v>2</v>
      </c>
      <c r="F63" s="99"/>
      <c r="G63" s="35"/>
      <c r="H63" s="35"/>
      <c r="I63" s="36"/>
      <c r="J63" s="36"/>
      <c r="L63" s="35"/>
      <c r="M63" s="35"/>
    </row>
    <row r="64" spans="3:13" ht="25.8">
      <c r="C64" s="35"/>
      <c r="D64" s="35" t="s">
        <v>18</v>
      </c>
      <c r="E64" s="35" t="s">
        <v>2</v>
      </c>
      <c r="F64" s="99"/>
      <c r="G64" s="35"/>
      <c r="H64" s="35"/>
      <c r="I64" s="36"/>
      <c r="J64" s="36"/>
      <c r="L64" s="35"/>
      <c r="M64" s="35"/>
    </row>
    <row r="65" spans="3:13" ht="25.8">
      <c r="C65" s="35"/>
      <c r="D65" s="35" t="s">
        <v>18</v>
      </c>
      <c r="E65" s="35" t="s">
        <v>2</v>
      </c>
      <c r="F65" s="99"/>
      <c r="G65" s="35"/>
      <c r="H65" s="35"/>
      <c r="I65" s="36"/>
      <c r="J65" s="36"/>
      <c r="L65" s="35"/>
      <c r="M65" s="35"/>
    </row>
    <row r="66" spans="3:13" ht="25.8">
      <c r="C66" s="35"/>
      <c r="D66" s="35" t="s">
        <v>18</v>
      </c>
      <c r="E66" s="35" t="s">
        <v>2</v>
      </c>
      <c r="F66" s="99"/>
      <c r="G66" s="35"/>
      <c r="H66" s="35"/>
      <c r="I66" s="36"/>
      <c r="J66" s="36"/>
      <c r="L66" s="35"/>
      <c r="M66" s="35"/>
    </row>
    <row r="67" spans="3:13" ht="25.8">
      <c r="C67" s="35"/>
      <c r="D67" s="35" t="s">
        <v>18</v>
      </c>
      <c r="E67" s="35" t="s">
        <v>2</v>
      </c>
      <c r="F67" s="99"/>
      <c r="G67" s="35"/>
      <c r="H67" s="35"/>
      <c r="I67" s="36"/>
      <c r="J67" s="36"/>
      <c r="L67" s="35"/>
      <c r="M67" s="35"/>
    </row>
    <row r="68" spans="3:13" ht="25.8">
      <c r="C68" s="35"/>
      <c r="D68" s="35" t="s">
        <v>18</v>
      </c>
      <c r="E68" s="35" t="s">
        <v>2</v>
      </c>
      <c r="F68" s="99"/>
      <c r="G68" s="35"/>
      <c r="H68" s="35"/>
      <c r="I68" s="36"/>
      <c r="J68" s="36"/>
      <c r="L68" s="35"/>
      <c r="M68" s="35"/>
    </row>
    <row r="69" spans="3:13" ht="25.8">
      <c r="C69" s="35"/>
      <c r="D69" s="35" t="s">
        <v>18</v>
      </c>
      <c r="E69" s="35" t="s">
        <v>2</v>
      </c>
      <c r="F69" s="99"/>
      <c r="G69" s="35"/>
      <c r="H69" s="35"/>
      <c r="I69" s="36"/>
      <c r="J69" s="36"/>
      <c r="L69" s="35"/>
      <c r="M69" s="35"/>
    </row>
    <row r="70" spans="3:13" ht="25.8">
      <c r="C70" s="35"/>
      <c r="D70" s="35" t="s">
        <v>18</v>
      </c>
      <c r="E70" s="35" t="s">
        <v>2</v>
      </c>
      <c r="F70" s="99"/>
      <c r="G70" s="35"/>
      <c r="H70" s="35"/>
      <c r="I70" s="36"/>
      <c r="J70" s="36"/>
      <c r="L70" s="35"/>
      <c r="M70" s="35"/>
    </row>
    <row r="71" spans="3:13" ht="25.8">
      <c r="C71" s="35"/>
      <c r="D71" s="35" t="s">
        <v>18</v>
      </c>
      <c r="E71" s="35" t="s">
        <v>2</v>
      </c>
      <c r="F71" s="99"/>
      <c r="G71" s="35"/>
      <c r="H71" s="35"/>
      <c r="I71" s="36"/>
      <c r="J71" s="36"/>
      <c r="L71" s="35"/>
      <c r="M71" s="35"/>
    </row>
    <row r="72" spans="3:13" ht="25.8">
      <c r="C72" s="35"/>
      <c r="D72" s="35" t="s">
        <v>18</v>
      </c>
      <c r="E72" s="35" t="s">
        <v>2</v>
      </c>
      <c r="F72" s="99"/>
      <c r="G72" s="35"/>
      <c r="H72" s="35"/>
      <c r="I72" s="36"/>
      <c r="J72" s="36"/>
      <c r="L72" s="35"/>
      <c r="M72" s="35"/>
    </row>
    <row r="73" spans="3:13" ht="25.8">
      <c r="C73" s="35"/>
      <c r="D73" s="35" t="s">
        <v>18</v>
      </c>
      <c r="E73" s="35" t="s">
        <v>2</v>
      </c>
      <c r="F73" s="99"/>
      <c r="G73" s="35"/>
      <c r="H73" s="35"/>
      <c r="I73" s="36"/>
      <c r="J73" s="36"/>
      <c r="L73" s="35"/>
      <c r="M73" s="35"/>
    </row>
    <row r="74" spans="3:13" ht="25.8">
      <c r="C74" s="35"/>
      <c r="D74" s="35" t="s">
        <v>18</v>
      </c>
      <c r="E74" s="35" t="s">
        <v>2</v>
      </c>
      <c r="F74" s="99"/>
      <c r="G74" s="35"/>
      <c r="H74" s="35"/>
      <c r="I74" s="36"/>
      <c r="J74" s="36"/>
      <c r="L74" s="35"/>
      <c r="M74" s="35"/>
    </row>
    <row r="75" spans="3:13" ht="25.8">
      <c r="C75" s="35"/>
      <c r="D75" s="35" t="s">
        <v>18</v>
      </c>
      <c r="E75" s="35" t="s">
        <v>2</v>
      </c>
      <c r="F75" s="99"/>
      <c r="G75" s="35"/>
      <c r="H75" s="35"/>
      <c r="I75" s="36"/>
      <c r="J75" s="36"/>
      <c r="L75" s="35"/>
      <c r="M75" s="35"/>
    </row>
    <row r="76" spans="3:13" ht="25.8">
      <c r="C76" s="35"/>
      <c r="D76" s="35" t="s">
        <v>18</v>
      </c>
      <c r="E76" s="35" t="s">
        <v>2</v>
      </c>
      <c r="F76" s="99"/>
      <c r="G76" s="35"/>
      <c r="H76" s="35"/>
      <c r="I76" s="35"/>
      <c r="J76" s="35"/>
      <c r="L76" s="35"/>
      <c r="M76" s="35"/>
    </row>
    <row r="77" spans="3:13" ht="25.8">
      <c r="C77" s="35"/>
      <c r="D77" s="35" t="s">
        <v>18</v>
      </c>
      <c r="E77" s="35" t="s">
        <v>2</v>
      </c>
      <c r="F77" s="99"/>
      <c r="G77" s="35"/>
      <c r="H77" s="35"/>
      <c r="I77" s="35"/>
      <c r="J77" s="35"/>
      <c r="L77" s="35"/>
      <c r="M77" s="35"/>
    </row>
    <row r="78" spans="3:13" ht="25.8">
      <c r="C78" s="35"/>
      <c r="D78" s="35" t="s">
        <v>18</v>
      </c>
      <c r="E78" s="35" t="s">
        <v>2</v>
      </c>
      <c r="F78" s="99"/>
      <c r="G78" s="35"/>
      <c r="H78" s="35"/>
      <c r="I78" s="35"/>
      <c r="J78" s="35"/>
      <c r="L78" s="35"/>
      <c r="M78" s="35"/>
    </row>
    <row r="79" spans="3:13" ht="25.8">
      <c r="C79" s="35"/>
      <c r="D79" s="35" t="s">
        <v>18</v>
      </c>
      <c r="E79" s="35" t="s">
        <v>2</v>
      </c>
      <c r="F79" s="99"/>
      <c r="G79" s="35"/>
      <c r="H79" s="35"/>
      <c r="I79" s="35"/>
      <c r="J79" s="35"/>
      <c r="L79" s="35"/>
      <c r="M79" s="35"/>
    </row>
    <row r="80" spans="3:13" ht="25.8">
      <c r="C80" s="35"/>
      <c r="D80" s="35" t="s">
        <v>18</v>
      </c>
      <c r="E80" s="35" t="s">
        <v>2</v>
      </c>
      <c r="F80" s="99"/>
      <c r="G80" s="35"/>
      <c r="H80" s="35"/>
      <c r="I80" s="35"/>
      <c r="J80" s="35"/>
      <c r="L80" s="35"/>
      <c r="M80" s="35"/>
    </row>
    <row r="81" spans="3:13" ht="25.8">
      <c r="C81" s="35"/>
      <c r="D81" s="35" t="s">
        <v>18</v>
      </c>
      <c r="E81" s="35" t="s">
        <v>2</v>
      </c>
      <c r="F81" s="99"/>
      <c r="G81" s="35"/>
      <c r="H81" s="35"/>
      <c r="I81" s="35"/>
      <c r="J81" s="35"/>
      <c r="L81" s="35"/>
      <c r="M81" s="35"/>
    </row>
    <row r="82" spans="3:13" ht="25.8">
      <c r="C82" s="35"/>
      <c r="D82" s="35" t="s">
        <v>18</v>
      </c>
      <c r="E82" s="35" t="s">
        <v>2</v>
      </c>
      <c r="F82" s="99"/>
      <c r="G82" s="35"/>
      <c r="H82" s="35"/>
      <c r="I82" s="35"/>
      <c r="J82" s="35"/>
      <c r="L82" s="35"/>
      <c r="M82" s="35"/>
    </row>
    <row r="83" spans="3:13" ht="25.8">
      <c r="C83" s="35"/>
      <c r="D83" s="35" t="s">
        <v>18</v>
      </c>
      <c r="E83" s="35" t="s">
        <v>2</v>
      </c>
      <c r="F83" s="99"/>
      <c r="G83" s="35"/>
      <c r="H83" s="35"/>
      <c r="I83" s="35"/>
      <c r="J83" s="35"/>
      <c r="L83" s="35"/>
      <c r="M83" s="35"/>
    </row>
    <row r="84" spans="3:13" ht="25.8">
      <c r="C84" s="35"/>
      <c r="D84" s="35" t="s">
        <v>18</v>
      </c>
      <c r="E84" s="35" t="s">
        <v>2</v>
      </c>
      <c r="F84" s="99"/>
      <c r="G84" s="35"/>
      <c r="H84" s="35"/>
      <c r="I84" s="35"/>
      <c r="J84" s="35"/>
      <c r="L84" s="35"/>
      <c r="M84" s="35"/>
    </row>
    <row r="85" spans="3:13" ht="25.8">
      <c r="C85" s="35"/>
      <c r="D85" s="35" t="s">
        <v>18</v>
      </c>
      <c r="E85" s="35" t="s">
        <v>2</v>
      </c>
      <c r="F85" s="99"/>
      <c r="G85" s="35"/>
      <c r="H85" s="35"/>
      <c r="I85" s="35"/>
      <c r="J85" s="35"/>
      <c r="L85" s="35"/>
      <c r="M85" s="35"/>
    </row>
    <row r="86" spans="3:13" ht="25.8">
      <c r="C86" s="35"/>
      <c r="D86" s="35" t="s">
        <v>18</v>
      </c>
      <c r="E86" s="35" t="s">
        <v>2</v>
      </c>
      <c r="F86" s="99"/>
      <c r="G86" s="35"/>
      <c r="H86" s="35"/>
      <c r="I86" s="35"/>
      <c r="J86" s="35"/>
      <c r="L86" s="35"/>
      <c r="M86" s="35"/>
    </row>
    <row r="87" spans="3:13" ht="25.8">
      <c r="C87" s="35"/>
      <c r="D87" s="35" t="s">
        <v>18</v>
      </c>
      <c r="E87" s="35" t="s">
        <v>2</v>
      </c>
      <c r="F87" s="99"/>
      <c r="G87" s="35"/>
      <c r="H87" s="35"/>
      <c r="I87" s="35"/>
      <c r="J87" s="35"/>
      <c r="L87" s="35"/>
      <c r="M87" s="35"/>
    </row>
    <row r="88" spans="3:13" ht="25.8">
      <c r="C88" s="35"/>
      <c r="D88" s="35" t="s">
        <v>18</v>
      </c>
      <c r="E88" s="35" t="s">
        <v>2</v>
      </c>
      <c r="F88" s="99"/>
      <c r="G88" s="35"/>
      <c r="H88" s="35"/>
      <c r="I88" s="35"/>
      <c r="J88" s="35"/>
      <c r="L88" s="35"/>
      <c r="M88" s="35"/>
    </row>
    <row r="89" spans="3:13" ht="25.8">
      <c r="C89" s="35"/>
      <c r="D89" s="35" t="s">
        <v>18</v>
      </c>
      <c r="E89" s="35" t="s">
        <v>2</v>
      </c>
      <c r="F89" s="99"/>
      <c r="G89" s="35"/>
      <c r="H89" s="35"/>
      <c r="I89" s="35"/>
      <c r="J89" s="35"/>
      <c r="L89" s="35"/>
      <c r="M89" s="35"/>
    </row>
    <row r="90" spans="3:13" ht="25.8">
      <c r="C90" s="35"/>
      <c r="D90" s="35" t="s">
        <v>18</v>
      </c>
      <c r="E90" s="35" t="s">
        <v>2</v>
      </c>
      <c r="F90" s="99"/>
      <c r="G90" s="35"/>
      <c r="H90" s="35"/>
      <c r="I90" s="35"/>
      <c r="J90" s="35"/>
      <c r="L90" s="35"/>
      <c r="M90" s="35"/>
    </row>
    <row r="91" spans="3:13" ht="25.8">
      <c r="C91" s="35"/>
      <c r="D91" s="35" t="s">
        <v>18</v>
      </c>
      <c r="E91" s="35" t="s">
        <v>2</v>
      </c>
      <c r="F91" s="99"/>
      <c r="G91" s="35"/>
      <c r="H91" s="35"/>
      <c r="I91" s="35"/>
      <c r="J91" s="35"/>
      <c r="L91" s="35"/>
      <c r="M91" s="35"/>
    </row>
    <row r="92" spans="3:13" ht="25.8">
      <c r="C92" s="35"/>
      <c r="D92" s="35" t="s">
        <v>18</v>
      </c>
      <c r="E92" s="35" t="s">
        <v>2</v>
      </c>
      <c r="F92" s="99"/>
      <c r="G92" s="35"/>
      <c r="H92" s="35"/>
      <c r="I92" s="35"/>
      <c r="J92" s="35"/>
      <c r="L92" s="35"/>
      <c r="M92" s="35"/>
    </row>
    <row r="93" spans="3:13" ht="25.8">
      <c r="C93" s="35"/>
      <c r="D93" s="35" t="s">
        <v>18</v>
      </c>
      <c r="E93" s="35" t="s">
        <v>2</v>
      </c>
      <c r="F93" s="99"/>
      <c r="G93" s="35"/>
      <c r="H93" s="35"/>
      <c r="I93" s="35"/>
      <c r="J93" s="35"/>
      <c r="L93" s="35"/>
      <c r="M93" s="35"/>
    </row>
    <row r="94" spans="3:13" ht="25.8">
      <c r="C94" s="35"/>
      <c r="D94" s="35" t="s">
        <v>18</v>
      </c>
      <c r="E94" s="35" t="s">
        <v>2</v>
      </c>
      <c r="F94" s="99"/>
      <c r="G94" s="35"/>
      <c r="H94" s="35"/>
      <c r="I94" s="35"/>
      <c r="J94" s="35"/>
      <c r="L94" s="35"/>
      <c r="M94" s="35"/>
    </row>
    <row r="95" spans="3:13" ht="25.8">
      <c r="C95" s="35"/>
      <c r="D95" s="35" t="s">
        <v>18</v>
      </c>
      <c r="E95" s="35" t="s">
        <v>2</v>
      </c>
      <c r="F95" s="99"/>
      <c r="G95" s="35"/>
      <c r="H95" s="35"/>
      <c r="I95" s="35"/>
      <c r="J95" s="35"/>
      <c r="L95" s="35"/>
      <c r="M95" s="35"/>
    </row>
    <row r="96" spans="3:13" ht="25.8">
      <c r="C96" s="35"/>
      <c r="D96" s="35" t="s">
        <v>18</v>
      </c>
      <c r="E96" s="35" t="s">
        <v>2</v>
      </c>
      <c r="F96" s="99"/>
      <c r="G96" s="35"/>
      <c r="H96" s="35"/>
      <c r="I96" s="35"/>
      <c r="J96" s="35"/>
      <c r="L96" s="35"/>
      <c r="M96" s="35"/>
    </row>
    <row r="97" spans="3:13" ht="25.8">
      <c r="C97" s="35"/>
      <c r="D97" s="35" t="s">
        <v>18</v>
      </c>
      <c r="E97" s="35" t="s">
        <v>2</v>
      </c>
      <c r="F97" s="99"/>
      <c r="G97" s="35"/>
      <c r="H97" s="35"/>
      <c r="I97" s="35"/>
      <c r="J97" s="35"/>
      <c r="L97" s="35"/>
      <c r="M97" s="35"/>
    </row>
    <row r="98" spans="3:13" ht="25.8">
      <c r="C98" s="35"/>
      <c r="D98" s="35" t="s">
        <v>18</v>
      </c>
      <c r="E98" s="35" t="s">
        <v>2</v>
      </c>
      <c r="F98" s="99"/>
      <c r="G98" s="35"/>
      <c r="H98" s="35"/>
      <c r="I98" s="35"/>
      <c r="J98" s="35"/>
      <c r="L98" s="35"/>
      <c r="M98" s="35"/>
    </row>
    <row r="99" spans="3:13" ht="25.8">
      <c r="C99" s="35"/>
      <c r="D99" s="35" t="s">
        <v>18</v>
      </c>
      <c r="E99" s="35" t="s">
        <v>2</v>
      </c>
      <c r="F99" s="99"/>
      <c r="G99" s="35"/>
      <c r="H99" s="35"/>
      <c r="I99" s="35"/>
      <c r="J99" s="35"/>
      <c r="L99" s="35"/>
      <c r="M99" s="35"/>
    </row>
    <row r="100" spans="3:13" ht="25.8">
      <c r="C100" s="35"/>
      <c r="D100" s="35" t="s">
        <v>18</v>
      </c>
      <c r="E100" s="35" t="s">
        <v>2</v>
      </c>
      <c r="F100" s="99"/>
      <c r="G100" s="35"/>
      <c r="H100" s="35"/>
      <c r="I100" s="35"/>
      <c r="J100" s="35"/>
      <c r="L100" s="35"/>
      <c r="M100" s="35"/>
    </row>
    <row r="101" spans="3:13" ht="25.8">
      <c r="C101" s="35"/>
      <c r="D101" s="35" t="s">
        <v>18</v>
      </c>
      <c r="E101" s="35" t="s">
        <v>2</v>
      </c>
      <c r="F101" s="99"/>
      <c r="G101" s="35"/>
      <c r="H101" s="35"/>
      <c r="I101" s="35"/>
      <c r="J101" s="35"/>
      <c r="L101" s="35"/>
      <c r="M101" s="35"/>
    </row>
    <row r="102" spans="3:13" ht="25.8">
      <c r="C102" s="35"/>
      <c r="D102" s="35" t="s">
        <v>18</v>
      </c>
      <c r="E102" s="35" t="s">
        <v>2</v>
      </c>
      <c r="F102" s="99"/>
      <c r="G102" s="35"/>
      <c r="H102" s="35"/>
      <c r="I102" s="35"/>
      <c r="J102" s="35"/>
      <c r="L102" s="35"/>
      <c r="M102" s="35"/>
    </row>
    <row r="103" spans="3:13" ht="25.8">
      <c r="C103" s="35"/>
      <c r="D103" s="35" t="s">
        <v>18</v>
      </c>
      <c r="E103" s="35" t="s">
        <v>2</v>
      </c>
      <c r="F103" s="99"/>
      <c r="G103" s="35"/>
      <c r="H103" s="35"/>
      <c r="I103" s="35"/>
      <c r="J103" s="35"/>
      <c r="L103" s="35"/>
      <c r="M103" s="35"/>
    </row>
    <row r="104" spans="3:13" ht="25.8">
      <c r="C104" s="35"/>
      <c r="D104" s="35" t="s">
        <v>18</v>
      </c>
      <c r="E104" s="35" t="s">
        <v>2</v>
      </c>
      <c r="F104" s="99"/>
      <c r="G104" s="35"/>
      <c r="H104" s="35"/>
      <c r="I104" s="35"/>
      <c r="J104" s="35"/>
      <c r="L104" s="35"/>
      <c r="M104" s="35"/>
    </row>
    <row r="105" spans="3:13" ht="25.8">
      <c r="C105" s="35"/>
      <c r="D105" s="35" t="s">
        <v>18</v>
      </c>
      <c r="E105" s="35" t="s">
        <v>2</v>
      </c>
      <c r="F105" s="99"/>
      <c r="G105" s="35"/>
      <c r="H105" s="35"/>
      <c r="I105" s="35"/>
      <c r="J105" s="35"/>
      <c r="L105" s="35"/>
      <c r="M105" s="35"/>
    </row>
    <row r="106" spans="3:13" ht="25.8">
      <c r="C106" s="35"/>
      <c r="D106" s="35" t="s">
        <v>18</v>
      </c>
      <c r="E106" s="35" t="s">
        <v>2</v>
      </c>
      <c r="F106" s="99"/>
      <c r="G106" s="35"/>
      <c r="H106" s="35"/>
      <c r="I106" s="35"/>
      <c r="J106" s="35"/>
      <c r="L106" s="35"/>
      <c r="M106" s="35"/>
    </row>
    <row r="107" spans="3:13" ht="25.8">
      <c r="C107" s="35"/>
      <c r="D107" s="35" t="s">
        <v>18</v>
      </c>
      <c r="E107" s="35" t="s">
        <v>2</v>
      </c>
      <c r="F107" s="99"/>
      <c r="G107" s="35"/>
      <c r="H107" s="35"/>
      <c r="I107" s="35"/>
      <c r="J107" s="35"/>
      <c r="L107" s="35"/>
      <c r="M107" s="35"/>
    </row>
    <row r="108" spans="3:13" ht="25.8">
      <c r="C108" s="35"/>
      <c r="D108" s="35" t="s">
        <v>18</v>
      </c>
      <c r="E108" s="35" t="s">
        <v>2</v>
      </c>
      <c r="F108" s="99"/>
      <c r="G108" s="35"/>
      <c r="H108" s="35"/>
      <c r="I108" s="35"/>
      <c r="J108" s="35"/>
      <c r="L108" s="35"/>
      <c r="M108" s="35"/>
    </row>
    <row r="109" spans="3:13" ht="25.8">
      <c r="C109" s="35"/>
      <c r="D109" s="35" t="s">
        <v>18</v>
      </c>
      <c r="E109" s="35" t="s">
        <v>2</v>
      </c>
      <c r="F109" s="99"/>
      <c r="G109" s="35"/>
      <c r="H109" s="35"/>
      <c r="I109" s="35"/>
      <c r="J109" s="35"/>
      <c r="L109" s="35"/>
      <c r="M109" s="35"/>
    </row>
    <row r="110" spans="3:13" ht="25.8">
      <c r="C110" s="35"/>
      <c r="D110" s="35" t="s">
        <v>18</v>
      </c>
      <c r="E110" s="35" t="s">
        <v>2</v>
      </c>
      <c r="F110" s="99"/>
      <c r="G110" s="35"/>
      <c r="H110" s="35"/>
      <c r="I110" s="35"/>
      <c r="J110" s="35"/>
      <c r="L110" s="35"/>
      <c r="M110" s="35"/>
    </row>
    <row r="111" spans="3:13" ht="25.8">
      <c r="C111" s="35"/>
      <c r="D111" s="35" t="s">
        <v>18</v>
      </c>
      <c r="E111" s="35" t="s">
        <v>2</v>
      </c>
      <c r="F111" s="99"/>
      <c r="G111" s="35"/>
      <c r="H111" s="35"/>
      <c r="I111" s="35"/>
      <c r="J111" s="35"/>
      <c r="L111" s="35"/>
      <c r="M111" s="35"/>
    </row>
    <row r="112" spans="3:13" ht="25.8">
      <c r="C112" s="35"/>
      <c r="D112" s="35" t="s">
        <v>18</v>
      </c>
      <c r="E112" s="35" t="s">
        <v>2</v>
      </c>
      <c r="F112" s="99"/>
      <c r="G112" s="35"/>
      <c r="H112" s="35"/>
      <c r="I112" s="35"/>
      <c r="J112" s="35"/>
      <c r="L112" s="35"/>
      <c r="M112" s="35"/>
    </row>
    <row r="113" spans="3:13" ht="25.8">
      <c r="C113" s="35"/>
      <c r="D113" s="35" t="s">
        <v>18</v>
      </c>
      <c r="E113" s="35" t="s">
        <v>2</v>
      </c>
      <c r="F113" s="99"/>
      <c r="G113" s="35"/>
      <c r="H113" s="35"/>
      <c r="I113" s="35"/>
      <c r="J113" s="35"/>
      <c r="L113" s="35"/>
      <c r="M113" s="35"/>
    </row>
    <row r="114" spans="3:13" ht="25.8">
      <c r="C114" s="35"/>
      <c r="D114" s="35" t="s">
        <v>18</v>
      </c>
      <c r="E114" s="35" t="s">
        <v>2</v>
      </c>
      <c r="F114" s="99"/>
      <c r="G114" s="35"/>
      <c r="H114" s="35"/>
      <c r="I114" s="35"/>
      <c r="J114" s="35"/>
      <c r="L114" s="35"/>
      <c r="M114" s="35"/>
    </row>
    <row r="115" spans="3:13" ht="25.8">
      <c r="C115" s="35"/>
      <c r="D115" s="35" t="s">
        <v>18</v>
      </c>
      <c r="E115" s="35" t="s">
        <v>2</v>
      </c>
      <c r="F115" s="99"/>
      <c r="G115" s="35"/>
      <c r="H115" s="35"/>
      <c r="I115" s="35"/>
      <c r="J115" s="35"/>
      <c r="L115" s="35"/>
      <c r="M115" s="35"/>
    </row>
    <row r="116" spans="3:13" ht="25.8">
      <c r="C116" s="35"/>
      <c r="D116" s="35" t="s">
        <v>18</v>
      </c>
      <c r="E116" s="35" t="s">
        <v>2</v>
      </c>
      <c r="F116" s="99"/>
      <c r="G116" s="35"/>
      <c r="H116" s="35"/>
      <c r="I116" s="35"/>
      <c r="J116" s="35"/>
      <c r="L116" s="35"/>
      <c r="M116" s="35"/>
    </row>
    <row r="117" spans="3:13" ht="25.8">
      <c r="C117" s="35"/>
      <c r="D117" s="35" t="s">
        <v>18</v>
      </c>
      <c r="E117" s="35" t="s">
        <v>2</v>
      </c>
      <c r="F117" s="99"/>
      <c r="G117" s="35"/>
      <c r="H117" s="35"/>
      <c r="I117" s="35"/>
      <c r="J117" s="35"/>
      <c r="L117" s="35"/>
      <c r="M117" s="35"/>
    </row>
    <row r="118" spans="3:13" ht="25.8">
      <c r="C118" s="35"/>
      <c r="D118" s="35" t="s">
        <v>18</v>
      </c>
      <c r="E118" s="35" t="s">
        <v>2</v>
      </c>
      <c r="F118" s="99"/>
      <c r="G118" s="35"/>
      <c r="H118" s="35"/>
      <c r="I118" s="35"/>
      <c r="J118" s="35"/>
      <c r="L118" s="35"/>
      <c r="M118" s="35"/>
    </row>
    <row r="119" spans="3:13" ht="25.8">
      <c r="C119" s="35"/>
      <c r="D119" s="35" t="s">
        <v>18</v>
      </c>
      <c r="E119" s="35" t="s">
        <v>2</v>
      </c>
      <c r="F119" s="99"/>
      <c r="G119" s="35"/>
      <c r="H119" s="35"/>
      <c r="I119" s="35"/>
      <c r="J119" s="35"/>
      <c r="L119" s="35"/>
      <c r="M119" s="35"/>
    </row>
    <row r="120" spans="3:13" ht="25.8">
      <c r="C120" s="35"/>
      <c r="D120" s="35" t="s">
        <v>18</v>
      </c>
      <c r="E120" s="35" t="s">
        <v>2</v>
      </c>
      <c r="F120" s="99"/>
      <c r="G120" s="35"/>
      <c r="H120" s="35"/>
      <c r="I120" s="35"/>
      <c r="J120" s="35"/>
      <c r="L120" s="35"/>
      <c r="M120" s="35"/>
    </row>
    <row r="121" spans="3:13" ht="25.8">
      <c r="C121" s="35"/>
      <c r="D121" s="35" t="s">
        <v>18</v>
      </c>
      <c r="E121" s="35" t="s">
        <v>2</v>
      </c>
      <c r="F121" s="99"/>
      <c r="G121" s="35"/>
      <c r="H121" s="35"/>
      <c r="I121" s="35"/>
      <c r="J121" s="35"/>
      <c r="L121" s="35"/>
      <c r="M121" s="35"/>
    </row>
    <row r="122" spans="3:13" ht="25.8">
      <c r="C122" s="35"/>
      <c r="D122" s="35" t="s">
        <v>18</v>
      </c>
      <c r="E122" s="35" t="s">
        <v>2</v>
      </c>
      <c r="F122" s="99"/>
      <c r="G122" s="35"/>
      <c r="H122" s="35"/>
      <c r="I122" s="35"/>
      <c r="J122" s="35"/>
      <c r="L122" s="35"/>
      <c r="M122" s="35"/>
    </row>
    <row r="123" spans="3:13" ht="25.8">
      <c r="C123" s="35"/>
      <c r="D123" s="35" t="s">
        <v>18</v>
      </c>
      <c r="E123" s="35" t="s">
        <v>2</v>
      </c>
      <c r="F123" s="99"/>
      <c r="G123" s="35"/>
      <c r="H123" s="35"/>
      <c r="I123" s="35"/>
      <c r="J123" s="35"/>
      <c r="L123" s="35"/>
      <c r="M123" s="35"/>
    </row>
    <row r="124" spans="3:13" ht="25.8">
      <c r="C124" s="35"/>
      <c r="D124" s="35" t="s">
        <v>18</v>
      </c>
      <c r="E124" s="35" t="s">
        <v>2</v>
      </c>
      <c r="F124" s="99"/>
      <c r="G124" s="35"/>
      <c r="H124" s="35"/>
      <c r="I124" s="35"/>
      <c r="J124" s="35"/>
      <c r="L124" s="35"/>
      <c r="M124" s="35"/>
    </row>
    <row r="125" spans="3:13" ht="25.8">
      <c r="C125" s="35"/>
      <c r="D125" s="35" t="s">
        <v>18</v>
      </c>
      <c r="E125" s="35" t="s">
        <v>2</v>
      </c>
      <c r="F125" s="99"/>
      <c r="G125" s="35"/>
      <c r="H125" s="35"/>
      <c r="I125" s="35"/>
      <c r="J125" s="35"/>
      <c r="L125" s="35"/>
      <c r="M125" s="35"/>
    </row>
    <row r="126" spans="3:13" ht="25.8">
      <c r="C126" s="35"/>
      <c r="D126" s="35" t="s">
        <v>18</v>
      </c>
      <c r="E126" s="35" t="s">
        <v>2</v>
      </c>
      <c r="F126" s="99"/>
      <c r="G126" s="35"/>
      <c r="H126" s="35"/>
      <c r="I126" s="35"/>
      <c r="J126" s="35"/>
      <c r="L126" s="35"/>
      <c r="M126" s="35"/>
    </row>
    <row r="127" spans="3:13" ht="25.8">
      <c r="C127" s="35"/>
      <c r="D127" s="35" t="s">
        <v>18</v>
      </c>
      <c r="E127" s="35" t="s">
        <v>2</v>
      </c>
      <c r="F127" s="99"/>
      <c r="G127" s="35"/>
      <c r="H127" s="35"/>
      <c r="I127" s="35"/>
      <c r="J127" s="35"/>
      <c r="L127" s="35"/>
      <c r="M127" s="35"/>
    </row>
    <row r="128" spans="3:13" ht="25.8">
      <c r="C128" s="35"/>
      <c r="D128" s="35" t="s">
        <v>18</v>
      </c>
      <c r="E128" s="35" t="s">
        <v>2</v>
      </c>
      <c r="F128" s="99"/>
      <c r="G128" s="35"/>
      <c r="H128" s="35"/>
      <c r="I128" s="35"/>
      <c r="J128" s="35"/>
      <c r="L128" s="35"/>
      <c r="M128" s="35"/>
    </row>
    <row r="129" spans="3:13" ht="25.8">
      <c r="C129" s="35"/>
      <c r="D129" s="35" t="s">
        <v>18</v>
      </c>
      <c r="E129" s="35" t="s">
        <v>2</v>
      </c>
      <c r="F129" s="99"/>
      <c r="G129" s="35"/>
      <c r="H129" s="35"/>
      <c r="I129" s="35"/>
      <c r="J129" s="35"/>
      <c r="L129" s="35"/>
      <c r="M129" s="35"/>
    </row>
    <row r="130" spans="3:13" ht="25.8">
      <c r="C130" s="35"/>
      <c r="D130" s="35" t="s">
        <v>18</v>
      </c>
      <c r="E130" s="35" t="s">
        <v>2</v>
      </c>
      <c r="F130" s="99"/>
      <c r="G130" s="35"/>
      <c r="H130" s="35"/>
      <c r="I130" s="35"/>
      <c r="J130" s="35"/>
      <c r="L130" s="35"/>
      <c r="M130" s="35"/>
    </row>
    <row r="131" spans="3:13" ht="25.8">
      <c r="C131" s="35"/>
      <c r="D131" s="35" t="s">
        <v>18</v>
      </c>
      <c r="E131" s="35" t="s">
        <v>2</v>
      </c>
      <c r="F131" s="99"/>
      <c r="G131" s="35"/>
      <c r="H131" s="35"/>
      <c r="I131" s="35"/>
      <c r="J131" s="35"/>
      <c r="L131" s="35"/>
      <c r="M131" s="35"/>
    </row>
    <row r="132" spans="3:13" ht="25.8">
      <c r="C132" s="35"/>
      <c r="D132" s="35" t="s">
        <v>18</v>
      </c>
      <c r="E132" s="35" t="s">
        <v>2</v>
      </c>
      <c r="F132" s="99"/>
      <c r="G132" s="35"/>
      <c r="H132" s="35"/>
      <c r="I132" s="35"/>
      <c r="J132" s="35"/>
      <c r="L132" s="35"/>
      <c r="M132" s="35"/>
    </row>
    <row r="133" spans="3:13" ht="25.8">
      <c r="C133" s="35"/>
      <c r="D133" s="35" t="s">
        <v>18</v>
      </c>
      <c r="E133" s="35" t="s">
        <v>2</v>
      </c>
      <c r="F133" s="99"/>
      <c r="G133" s="35"/>
      <c r="H133" s="35"/>
      <c r="I133" s="35"/>
      <c r="J133" s="35"/>
      <c r="L133" s="35"/>
      <c r="M133" s="35"/>
    </row>
    <row r="134" spans="3:13" ht="25.8">
      <c r="C134" s="35"/>
      <c r="D134" s="35" t="s">
        <v>18</v>
      </c>
      <c r="E134" s="35" t="s">
        <v>2</v>
      </c>
      <c r="F134" s="99"/>
      <c r="G134" s="35"/>
      <c r="H134" s="35"/>
      <c r="I134" s="35"/>
      <c r="J134" s="35"/>
      <c r="L134" s="35"/>
      <c r="M134" s="35"/>
    </row>
    <row r="135" spans="3:13" ht="25.8">
      <c r="C135" s="35"/>
      <c r="D135" s="35" t="s">
        <v>18</v>
      </c>
      <c r="E135" s="35" t="s">
        <v>2</v>
      </c>
      <c r="F135" s="99"/>
      <c r="G135" s="35"/>
      <c r="H135" s="35"/>
      <c r="I135" s="35"/>
      <c r="J135" s="35"/>
      <c r="L135" s="35"/>
      <c r="M135" s="35"/>
    </row>
    <row r="136" spans="3:13" ht="25.8">
      <c r="C136" s="35"/>
      <c r="D136" s="35" t="s">
        <v>18</v>
      </c>
      <c r="E136" s="35" t="s">
        <v>2</v>
      </c>
      <c r="F136" s="99"/>
      <c r="G136" s="35"/>
      <c r="H136" s="35"/>
      <c r="I136" s="35"/>
      <c r="J136" s="35"/>
      <c r="L136" s="35"/>
      <c r="M136" s="35"/>
    </row>
    <row r="137" spans="3:13" ht="25.8">
      <c r="C137" s="35"/>
      <c r="D137" s="35" t="s">
        <v>18</v>
      </c>
      <c r="E137" s="35" t="s">
        <v>2</v>
      </c>
      <c r="F137" s="99"/>
      <c r="G137" s="35"/>
      <c r="H137" s="35"/>
      <c r="I137" s="35"/>
      <c r="J137" s="35"/>
      <c r="L137" s="35"/>
      <c r="M137" s="35"/>
    </row>
    <row r="138" spans="3:13" ht="25.8">
      <c r="C138" s="35"/>
      <c r="D138" s="35" t="s">
        <v>18</v>
      </c>
      <c r="E138" s="35" t="s">
        <v>2</v>
      </c>
      <c r="F138" s="99"/>
      <c r="G138" s="35"/>
      <c r="H138" s="35"/>
      <c r="I138" s="35"/>
      <c r="J138" s="35"/>
      <c r="L138" s="35"/>
      <c r="M138" s="35"/>
    </row>
    <row r="139" spans="3:13" ht="25.8">
      <c r="C139" s="35"/>
      <c r="D139" s="35" t="s">
        <v>18</v>
      </c>
      <c r="E139" s="35" t="s">
        <v>2</v>
      </c>
      <c r="F139" s="99"/>
      <c r="G139" s="35"/>
      <c r="H139" s="35"/>
      <c r="I139" s="35"/>
      <c r="J139" s="35"/>
      <c r="L139" s="35"/>
      <c r="M139" s="35"/>
    </row>
    <row r="140" spans="3:13" ht="25.8">
      <c r="C140" s="35"/>
      <c r="D140" s="35" t="s">
        <v>18</v>
      </c>
      <c r="E140" s="35" t="s">
        <v>2</v>
      </c>
      <c r="F140" s="99"/>
      <c r="G140" s="35"/>
      <c r="H140" s="35"/>
      <c r="I140" s="35"/>
      <c r="J140" s="35"/>
      <c r="L140" s="35"/>
      <c r="M140" s="35"/>
    </row>
    <row r="141" spans="3:13" ht="25.8">
      <c r="C141" s="35"/>
      <c r="D141" s="35" t="s">
        <v>18</v>
      </c>
      <c r="E141" s="35" t="s">
        <v>2</v>
      </c>
      <c r="F141" s="99"/>
      <c r="G141" s="35"/>
      <c r="H141" s="35"/>
      <c r="I141" s="35"/>
      <c r="J141" s="35"/>
      <c r="L141" s="35"/>
      <c r="M141" s="35"/>
    </row>
    <row r="142" spans="3:13" ht="25.8">
      <c r="C142" s="35"/>
      <c r="D142" s="35" t="s">
        <v>18</v>
      </c>
      <c r="E142" s="35" t="s">
        <v>2</v>
      </c>
      <c r="F142" s="99"/>
      <c r="G142" s="35"/>
      <c r="H142" s="35"/>
      <c r="I142" s="35"/>
      <c r="J142" s="35"/>
      <c r="L142" s="35"/>
      <c r="M142" s="35"/>
    </row>
    <row r="143" spans="3:13" ht="25.8">
      <c r="C143" s="35"/>
      <c r="D143" s="35" t="s">
        <v>18</v>
      </c>
      <c r="E143" s="35" t="s">
        <v>2</v>
      </c>
      <c r="F143" s="99"/>
      <c r="G143" s="35"/>
      <c r="H143" s="35"/>
      <c r="I143" s="35"/>
      <c r="J143" s="35"/>
      <c r="L143" s="35"/>
      <c r="M143" s="35"/>
    </row>
    <row r="144" spans="3:13" ht="25.8">
      <c r="C144" s="35"/>
      <c r="D144" s="35" t="s">
        <v>18</v>
      </c>
      <c r="E144" s="35" t="s">
        <v>2</v>
      </c>
      <c r="F144" s="99"/>
      <c r="G144" s="35"/>
      <c r="H144" s="35"/>
      <c r="I144" s="35"/>
      <c r="J144" s="35"/>
      <c r="L144" s="35"/>
      <c r="M144" s="35"/>
    </row>
    <row r="145" spans="3:13" ht="25.8">
      <c r="C145" s="35"/>
      <c r="D145" s="35" t="s">
        <v>18</v>
      </c>
      <c r="E145" s="35" t="s">
        <v>2</v>
      </c>
      <c r="F145" s="99"/>
      <c r="G145" s="35"/>
      <c r="H145" s="35"/>
      <c r="I145" s="35"/>
      <c r="J145" s="35"/>
      <c r="L145" s="35"/>
      <c r="M145" s="35"/>
    </row>
    <row r="146" spans="3:13" ht="25.8">
      <c r="C146" s="35"/>
      <c r="D146" s="35" t="s">
        <v>18</v>
      </c>
      <c r="E146" s="35" t="s">
        <v>2</v>
      </c>
      <c r="F146" s="99"/>
      <c r="G146" s="35"/>
      <c r="H146" s="35"/>
      <c r="I146" s="35"/>
      <c r="J146" s="35"/>
      <c r="L146" s="35"/>
      <c r="M146" s="35"/>
    </row>
    <row r="147" spans="3:13" ht="25.8">
      <c r="C147" s="35"/>
      <c r="D147" s="35" t="s">
        <v>18</v>
      </c>
      <c r="E147" s="35" t="s">
        <v>2</v>
      </c>
      <c r="F147" s="99"/>
      <c r="G147" s="35"/>
      <c r="H147" s="35"/>
      <c r="I147" s="35"/>
      <c r="J147" s="35"/>
      <c r="L147" s="35"/>
      <c r="M147" s="35"/>
    </row>
    <row r="148" spans="3:13" ht="25.8">
      <c r="C148" s="35"/>
      <c r="D148" s="35" t="s">
        <v>18</v>
      </c>
      <c r="E148" s="35" t="s">
        <v>2</v>
      </c>
      <c r="F148" s="99"/>
      <c r="G148" s="35"/>
      <c r="H148" s="35"/>
      <c r="I148" s="35"/>
      <c r="J148" s="35"/>
      <c r="L148" s="35"/>
      <c r="M148" s="35"/>
    </row>
    <row r="149" spans="3:13" ht="25.8">
      <c r="C149" s="35"/>
      <c r="D149" s="35" t="s">
        <v>18</v>
      </c>
      <c r="E149" s="35" t="s">
        <v>2</v>
      </c>
      <c r="F149" s="99"/>
      <c r="G149" s="35"/>
      <c r="H149" s="35"/>
      <c r="I149" s="35"/>
      <c r="J149" s="35"/>
      <c r="L149" s="35"/>
      <c r="M149" s="35"/>
    </row>
    <row r="150" spans="3:13" ht="25.8">
      <c r="C150" s="35"/>
      <c r="D150" s="35" t="s">
        <v>18</v>
      </c>
      <c r="E150" s="35" t="s">
        <v>2</v>
      </c>
      <c r="F150" s="99"/>
      <c r="G150" s="35"/>
      <c r="H150" s="35"/>
      <c r="I150" s="35"/>
      <c r="J150" s="35"/>
      <c r="L150" s="35"/>
      <c r="M150" s="35"/>
    </row>
    <row r="151" spans="3:13" ht="25.8">
      <c r="C151" s="35"/>
      <c r="D151" s="35" t="s">
        <v>18</v>
      </c>
      <c r="E151" s="35" t="s">
        <v>2</v>
      </c>
      <c r="F151" s="99"/>
      <c r="G151" s="35"/>
      <c r="H151" s="35"/>
      <c r="I151" s="35"/>
      <c r="J151" s="35"/>
      <c r="L151" s="35"/>
      <c r="M151" s="35"/>
    </row>
    <row r="152" spans="3:13" ht="25.8">
      <c r="C152" s="35"/>
      <c r="D152" s="35" t="s">
        <v>18</v>
      </c>
      <c r="E152" s="35" t="s">
        <v>2</v>
      </c>
      <c r="F152" s="99"/>
      <c r="G152" s="35"/>
      <c r="H152" s="35"/>
      <c r="I152" s="35"/>
      <c r="J152" s="35"/>
      <c r="L152" s="35"/>
      <c r="M152" s="35"/>
    </row>
    <row r="153" spans="3:13" ht="25.8">
      <c r="C153" s="35"/>
      <c r="D153" s="35" t="s">
        <v>18</v>
      </c>
      <c r="E153" s="35" t="s">
        <v>2</v>
      </c>
      <c r="F153" s="99"/>
      <c r="G153" s="35"/>
      <c r="H153" s="35"/>
      <c r="I153" s="35"/>
      <c r="J153" s="35"/>
      <c r="L153" s="35"/>
      <c r="M153" s="35"/>
    </row>
    <row r="154" spans="3:13" ht="25.8">
      <c r="C154" s="35"/>
      <c r="D154" s="35" t="s">
        <v>18</v>
      </c>
      <c r="E154" s="35" t="s">
        <v>2</v>
      </c>
      <c r="F154" s="99"/>
      <c r="G154" s="35"/>
      <c r="H154" s="35"/>
      <c r="I154" s="35"/>
      <c r="J154" s="35"/>
      <c r="L154" s="35"/>
      <c r="M154" s="35"/>
    </row>
    <row r="155" spans="3:13" ht="25.8">
      <c r="C155" s="35"/>
      <c r="D155" s="35" t="s">
        <v>18</v>
      </c>
      <c r="E155" s="35" t="s">
        <v>2</v>
      </c>
      <c r="F155" s="99"/>
      <c r="G155" s="35"/>
      <c r="H155" s="35"/>
      <c r="I155" s="35"/>
      <c r="J155" s="35"/>
      <c r="L155" s="35"/>
      <c r="M155" s="35"/>
    </row>
    <row r="156" spans="3:13" ht="25.8">
      <c r="C156" s="35"/>
      <c r="D156" s="35" t="s">
        <v>18</v>
      </c>
      <c r="E156" s="35" t="s">
        <v>2</v>
      </c>
      <c r="F156" s="99"/>
      <c r="G156" s="35"/>
      <c r="H156" s="35"/>
      <c r="I156" s="35"/>
      <c r="J156" s="35"/>
      <c r="L156" s="35"/>
      <c r="M156" s="35"/>
    </row>
    <row r="157" spans="3:13" ht="25.8">
      <c r="C157" s="35"/>
      <c r="D157" s="35" t="s">
        <v>18</v>
      </c>
      <c r="E157" s="35" t="s">
        <v>2</v>
      </c>
      <c r="F157" s="99"/>
      <c r="G157" s="35"/>
      <c r="H157" s="35"/>
      <c r="I157" s="35"/>
      <c r="J157" s="35"/>
      <c r="L157" s="35"/>
      <c r="M157" s="35"/>
    </row>
    <row r="158" spans="3:13" ht="25.8">
      <c r="C158" s="35"/>
      <c r="D158" s="35" t="s">
        <v>18</v>
      </c>
      <c r="E158" s="35" t="s">
        <v>2</v>
      </c>
      <c r="F158" s="99"/>
      <c r="G158" s="35"/>
      <c r="H158" s="35"/>
      <c r="I158" s="35"/>
      <c r="J158" s="35"/>
      <c r="L158" s="35"/>
      <c r="M158" s="35"/>
    </row>
    <row r="159" spans="3:13" ht="25.8">
      <c r="C159" s="35"/>
      <c r="D159" s="35" t="s">
        <v>18</v>
      </c>
      <c r="E159" s="35" t="s">
        <v>2</v>
      </c>
      <c r="F159" s="99"/>
      <c r="G159" s="35"/>
      <c r="H159" s="35"/>
      <c r="I159" s="35"/>
      <c r="J159" s="35"/>
      <c r="L159" s="35"/>
      <c r="M159" s="35"/>
    </row>
    <row r="160" spans="3:13" ht="25.8">
      <c r="C160" s="35"/>
      <c r="D160" s="35" t="s">
        <v>18</v>
      </c>
      <c r="E160" s="35" t="s">
        <v>2</v>
      </c>
      <c r="F160" s="99"/>
      <c r="G160" s="35"/>
      <c r="H160" s="35"/>
      <c r="I160" s="35"/>
      <c r="J160" s="35"/>
      <c r="L160" s="35"/>
      <c r="M160" s="35"/>
    </row>
    <row r="161" spans="3:13" ht="25.8">
      <c r="C161" s="35"/>
      <c r="D161" s="35" t="s">
        <v>18</v>
      </c>
      <c r="E161" s="35" t="s">
        <v>2</v>
      </c>
      <c r="F161" s="99"/>
      <c r="G161" s="35"/>
      <c r="H161" s="35"/>
      <c r="I161" s="35"/>
      <c r="J161" s="35"/>
      <c r="L161" s="35"/>
      <c r="M161" s="35"/>
    </row>
    <row r="162" spans="3:13" ht="25.8">
      <c r="C162" s="35"/>
      <c r="D162" s="35" t="s">
        <v>18</v>
      </c>
      <c r="E162" s="35" t="s">
        <v>2</v>
      </c>
      <c r="F162" s="99"/>
      <c r="G162" s="35"/>
      <c r="H162" s="35"/>
      <c r="I162" s="35"/>
      <c r="J162" s="35"/>
      <c r="L162" s="35"/>
      <c r="M162" s="35"/>
    </row>
    <row r="163" spans="3:13" ht="25.8">
      <c r="C163" s="35"/>
      <c r="D163" s="35" t="s">
        <v>18</v>
      </c>
      <c r="E163" s="35" t="s">
        <v>2</v>
      </c>
      <c r="F163" s="99"/>
      <c r="G163" s="35"/>
      <c r="H163" s="35"/>
      <c r="I163" s="35"/>
      <c r="J163" s="35"/>
      <c r="L163" s="35"/>
      <c r="M163" s="35"/>
    </row>
    <row r="164" spans="3:13" ht="25.8">
      <c r="C164" s="35"/>
      <c r="D164" s="35" t="s">
        <v>18</v>
      </c>
      <c r="E164" s="35" t="s">
        <v>2</v>
      </c>
      <c r="F164" s="99"/>
      <c r="G164" s="35"/>
      <c r="H164" s="35"/>
      <c r="I164" s="35"/>
      <c r="J164" s="35"/>
      <c r="L164" s="35"/>
      <c r="M164" s="35"/>
    </row>
    <row r="165" spans="3:13" ht="25.8">
      <c r="C165" s="35"/>
      <c r="D165" s="35" t="s">
        <v>18</v>
      </c>
      <c r="E165" s="35" t="s">
        <v>2</v>
      </c>
      <c r="F165" s="99"/>
      <c r="G165" s="35"/>
      <c r="H165" s="35"/>
      <c r="I165" s="35"/>
      <c r="J165" s="35"/>
      <c r="L165" s="35"/>
      <c r="M165" s="35"/>
    </row>
    <row r="166" spans="3:13" ht="25.8">
      <c r="C166" s="35"/>
      <c r="D166" s="35" t="s">
        <v>18</v>
      </c>
      <c r="E166" s="35" t="s">
        <v>2</v>
      </c>
      <c r="F166" s="99"/>
      <c r="G166" s="35"/>
      <c r="H166" s="35"/>
      <c r="I166" s="35"/>
      <c r="J166" s="35"/>
      <c r="L166" s="35"/>
      <c r="M166" s="35"/>
    </row>
    <row r="167" spans="3:13" ht="25.8">
      <c r="C167" s="35"/>
      <c r="D167" s="35" t="s">
        <v>18</v>
      </c>
      <c r="E167" s="35" t="s">
        <v>2</v>
      </c>
      <c r="F167" s="99"/>
      <c r="G167" s="35"/>
      <c r="H167" s="35"/>
      <c r="I167" s="35"/>
      <c r="J167" s="35"/>
      <c r="L167" s="35"/>
      <c r="M167" s="35"/>
    </row>
    <row r="168" spans="3:13" ht="25.8">
      <c r="C168" s="35"/>
      <c r="D168" s="35" t="s">
        <v>18</v>
      </c>
      <c r="E168" s="35" t="s">
        <v>2</v>
      </c>
      <c r="F168" s="99"/>
      <c r="G168" s="35"/>
      <c r="H168" s="35"/>
      <c r="I168" s="35"/>
      <c r="J168" s="35"/>
      <c r="L168" s="35"/>
      <c r="M168" s="35"/>
    </row>
    <row r="169" spans="3:13" ht="25.8">
      <c r="C169" s="35"/>
      <c r="D169" s="35" t="s">
        <v>18</v>
      </c>
      <c r="E169" s="35" t="s">
        <v>2</v>
      </c>
      <c r="F169" s="99"/>
      <c r="G169" s="35"/>
      <c r="H169" s="35"/>
      <c r="I169" s="35"/>
      <c r="J169" s="35"/>
      <c r="L169" s="35"/>
      <c r="M169" s="35"/>
    </row>
    <row r="170" spans="3:13" ht="25.8">
      <c r="C170" s="35"/>
      <c r="D170" s="35" t="s">
        <v>18</v>
      </c>
      <c r="E170" s="35" t="s">
        <v>2</v>
      </c>
      <c r="F170" s="99"/>
      <c r="G170" s="35"/>
      <c r="H170" s="35"/>
      <c r="I170" s="35"/>
      <c r="J170" s="35"/>
      <c r="L170" s="35"/>
      <c r="M170" s="35"/>
    </row>
    <row r="171" spans="3:13" ht="25.8">
      <c r="C171" s="35"/>
      <c r="D171" s="35" t="s">
        <v>18</v>
      </c>
      <c r="E171" s="35" t="s">
        <v>2</v>
      </c>
      <c r="F171" s="99"/>
      <c r="G171" s="35"/>
      <c r="H171" s="35"/>
      <c r="I171" s="35"/>
      <c r="J171" s="35"/>
      <c r="L171" s="35"/>
      <c r="M171" s="35"/>
    </row>
    <row r="172" spans="3:13" ht="25.8">
      <c r="C172" s="35"/>
      <c r="D172" s="35" t="s">
        <v>18</v>
      </c>
      <c r="E172" s="35" t="s">
        <v>2</v>
      </c>
      <c r="F172" s="99"/>
      <c r="G172" s="35"/>
      <c r="H172" s="35"/>
      <c r="I172" s="35"/>
      <c r="J172" s="35"/>
      <c r="L172" s="35"/>
      <c r="M172" s="35"/>
    </row>
    <row r="173" spans="3:13" ht="25.8">
      <c r="C173" s="35"/>
      <c r="D173" s="35" t="s">
        <v>18</v>
      </c>
      <c r="E173" s="35" t="s">
        <v>2</v>
      </c>
      <c r="F173" s="99"/>
      <c r="G173" s="35"/>
      <c r="H173" s="35"/>
      <c r="I173" s="35"/>
      <c r="J173" s="35"/>
      <c r="L173" s="35"/>
      <c r="M173" s="35"/>
    </row>
    <row r="174" spans="3:13" ht="25.8">
      <c r="C174" s="35"/>
      <c r="D174" s="35" t="s">
        <v>18</v>
      </c>
      <c r="E174" s="35" t="s">
        <v>2</v>
      </c>
      <c r="F174" s="99"/>
      <c r="G174" s="35"/>
      <c r="H174" s="35"/>
      <c r="I174" s="35"/>
      <c r="J174" s="35"/>
      <c r="L174" s="35"/>
      <c r="M174" s="35"/>
    </row>
    <row r="175" spans="3:13" ht="25.8">
      <c r="C175" s="35"/>
      <c r="D175" s="35" t="s">
        <v>18</v>
      </c>
      <c r="E175" s="35" t="s">
        <v>2</v>
      </c>
      <c r="F175" s="99"/>
      <c r="G175" s="35"/>
      <c r="H175" s="35"/>
      <c r="I175" s="35"/>
      <c r="J175" s="35"/>
      <c r="L175" s="35"/>
      <c r="M175" s="35"/>
    </row>
    <row r="176" spans="3:13" ht="25.8">
      <c r="C176" s="35"/>
      <c r="D176" s="35" t="s">
        <v>18</v>
      </c>
      <c r="E176" s="35" t="s">
        <v>2</v>
      </c>
      <c r="F176" s="99"/>
      <c r="G176" s="35"/>
      <c r="H176" s="35"/>
      <c r="I176" s="35"/>
      <c r="J176" s="35"/>
      <c r="L176" s="35"/>
      <c r="M176" s="35"/>
    </row>
    <row r="177" spans="3:13" ht="25.8">
      <c r="C177" s="35"/>
      <c r="D177" s="35" t="s">
        <v>18</v>
      </c>
      <c r="E177" s="35" t="s">
        <v>2</v>
      </c>
      <c r="F177" s="99"/>
      <c r="G177" s="35"/>
      <c r="H177" s="35"/>
      <c r="I177" s="35"/>
      <c r="J177" s="35"/>
      <c r="L177" s="35"/>
      <c r="M177" s="35"/>
    </row>
    <row r="178" spans="3:13" ht="25.8">
      <c r="C178" s="35"/>
      <c r="D178" s="35" t="s">
        <v>18</v>
      </c>
      <c r="E178" s="35" t="s">
        <v>2</v>
      </c>
      <c r="F178" s="99"/>
      <c r="G178" s="35"/>
      <c r="H178" s="35"/>
      <c r="I178" s="35"/>
      <c r="J178" s="35"/>
      <c r="L178" s="35"/>
      <c r="M178" s="35"/>
    </row>
    <row r="179" spans="3:13" ht="25.8">
      <c r="C179" s="35"/>
      <c r="D179" s="35" t="s">
        <v>18</v>
      </c>
      <c r="E179" s="35" t="s">
        <v>2</v>
      </c>
      <c r="F179" s="99"/>
      <c r="G179" s="35"/>
      <c r="H179" s="35"/>
      <c r="I179" s="35"/>
      <c r="J179" s="35"/>
      <c r="L179" s="35"/>
      <c r="M179" s="35"/>
    </row>
    <row r="180" spans="3:13" ht="25.8">
      <c r="C180" s="35"/>
      <c r="D180" s="35" t="s">
        <v>18</v>
      </c>
      <c r="E180" s="35" t="s">
        <v>2</v>
      </c>
      <c r="F180" s="99"/>
      <c r="G180" s="35"/>
      <c r="H180" s="35"/>
      <c r="I180" s="35"/>
      <c r="J180" s="35"/>
      <c r="L180" s="35"/>
      <c r="M180" s="35"/>
    </row>
    <row r="181" spans="3:13" ht="25.8">
      <c r="C181" s="35"/>
      <c r="D181" s="35" t="s">
        <v>18</v>
      </c>
      <c r="E181" s="35" t="s">
        <v>2</v>
      </c>
      <c r="F181" s="99"/>
      <c r="G181" s="35"/>
      <c r="H181" s="35"/>
      <c r="I181" s="35"/>
      <c r="J181" s="35"/>
      <c r="L181" s="35"/>
      <c r="M181" s="35"/>
    </row>
    <row r="182" spans="3:13" ht="25.8">
      <c r="C182" s="35"/>
      <c r="D182" s="35" t="s">
        <v>18</v>
      </c>
      <c r="E182" s="35" t="s">
        <v>2</v>
      </c>
      <c r="F182" s="99"/>
      <c r="G182" s="35"/>
      <c r="H182" s="35"/>
      <c r="I182" s="35"/>
      <c r="J182" s="35"/>
      <c r="L182" s="35"/>
      <c r="M182" s="35"/>
    </row>
    <row r="183" spans="3:13" ht="25.8">
      <c r="C183" s="35"/>
      <c r="D183" s="35" t="s">
        <v>18</v>
      </c>
      <c r="E183" s="35" t="s">
        <v>2</v>
      </c>
      <c r="F183" s="99"/>
      <c r="G183" s="35"/>
      <c r="H183" s="35"/>
      <c r="I183" s="35"/>
      <c r="J183" s="35"/>
      <c r="L183" s="35"/>
      <c r="M183" s="35"/>
    </row>
    <row r="184" spans="3:13" ht="25.8">
      <c r="C184" s="35"/>
      <c r="D184" s="35" t="s">
        <v>18</v>
      </c>
      <c r="E184" s="35" t="s">
        <v>2</v>
      </c>
      <c r="F184" s="99"/>
      <c r="G184" s="35"/>
      <c r="H184" s="35"/>
      <c r="I184" s="35"/>
      <c r="J184" s="35"/>
      <c r="L184" s="35"/>
      <c r="M184" s="35"/>
    </row>
    <row r="185" spans="3:13" ht="25.8">
      <c r="C185" s="35"/>
      <c r="D185" s="35" t="s">
        <v>18</v>
      </c>
      <c r="E185" s="35" t="s">
        <v>2</v>
      </c>
      <c r="F185" s="99"/>
      <c r="G185" s="35"/>
      <c r="H185" s="35"/>
      <c r="I185" s="35"/>
      <c r="J185" s="35"/>
      <c r="L185" s="35"/>
      <c r="M185" s="35"/>
    </row>
    <row r="186" spans="3:13" ht="25.8">
      <c r="C186" s="35"/>
      <c r="D186" s="35" t="s">
        <v>18</v>
      </c>
      <c r="E186" s="35" t="s">
        <v>2</v>
      </c>
      <c r="F186" s="99"/>
      <c r="G186" s="35"/>
      <c r="H186" s="35"/>
      <c r="I186" s="35"/>
      <c r="J186" s="35"/>
      <c r="L186" s="35"/>
      <c r="M186" s="35"/>
    </row>
    <row r="187" spans="3:13" ht="25.8">
      <c r="C187" s="35"/>
      <c r="D187" s="35" t="s">
        <v>18</v>
      </c>
      <c r="E187" s="35" t="s">
        <v>2</v>
      </c>
      <c r="F187" s="99"/>
      <c r="G187" s="35"/>
      <c r="H187" s="35"/>
      <c r="I187" s="35"/>
      <c r="J187" s="35"/>
      <c r="L187" s="35"/>
      <c r="M187" s="35"/>
    </row>
    <row r="188" spans="3:13" ht="25.8">
      <c r="C188" s="35"/>
      <c r="D188" s="35" t="s">
        <v>18</v>
      </c>
      <c r="E188" s="35" t="s">
        <v>2</v>
      </c>
      <c r="F188" s="99"/>
      <c r="G188" s="35"/>
      <c r="H188" s="35"/>
      <c r="I188" s="35"/>
      <c r="J188" s="35"/>
      <c r="L188" s="35"/>
      <c r="M188" s="35"/>
    </row>
    <row r="189" spans="3:13" ht="25.8">
      <c r="C189" s="35"/>
      <c r="D189" s="35" t="s">
        <v>18</v>
      </c>
      <c r="E189" s="35" t="s">
        <v>2</v>
      </c>
      <c r="F189" s="99"/>
      <c r="G189" s="35"/>
      <c r="H189" s="35"/>
      <c r="I189" s="35"/>
      <c r="J189" s="35"/>
      <c r="L189" s="35"/>
      <c r="M189" s="35"/>
    </row>
    <row r="190" spans="3:13" ht="25.8">
      <c r="C190" s="35"/>
      <c r="D190" s="35" t="s">
        <v>18</v>
      </c>
      <c r="E190" s="35" t="s">
        <v>2</v>
      </c>
      <c r="F190" s="99"/>
      <c r="G190" s="35"/>
      <c r="H190" s="35"/>
      <c r="I190" s="35"/>
      <c r="J190" s="35"/>
      <c r="L190" s="35"/>
      <c r="M190" s="35"/>
    </row>
    <row r="191" spans="3:13" ht="25.8">
      <c r="C191" s="35"/>
      <c r="D191" s="35" t="s">
        <v>18</v>
      </c>
      <c r="E191" s="35" t="s">
        <v>2</v>
      </c>
      <c r="F191" s="99"/>
      <c r="G191" s="35"/>
      <c r="H191" s="35"/>
      <c r="I191" s="35"/>
      <c r="J191" s="35"/>
      <c r="L191" s="35"/>
      <c r="M191" s="35"/>
    </row>
    <row r="192" spans="3:13" ht="25.8">
      <c r="C192" s="35"/>
      <c r="D192" s="35" t="s">
        <v>18</v>
      </c>
      <c r="E192" s="35" t="s">
        <v>2</v>
      </c>
      <c r="F192" s="99"/>
      <c r="G192" s="35"/>
      <c r="H192" s="35"/>
      <c r="I192" s="35"/>
      <c r="J192" s="35"/>
      <c r="L192" s="35"/>
      <c r="M192" s="35"/>
    </row>
    <row r="193" spans="3:13" ht="25.8">
      <c r="C193" s="35"/>
      <c r="D193" s="35" t="s">
        <v>18</v>
      </c>
      <c r="E193" s="35" t="s">
        <v>2</v>
      </c>
      <c r="F193" s="99"/>
      <c r="G193" s="35"/>
      <c r="H193" s="35"/>
      <c r="I193" s="35"/>
      <c r="J193" s="35"/>
      <c r="L193" s="35"/>
      <c r="M193" s="35"/>
    </row>
    <row r="194" spans="3:13" ht="25.8">
      <c r="C194" s="35"/>
      <c r="D194" s="35" t="s">
        <v>18</v>
      </c>
      <c r="E194" s="35" t="s">
        <v>2</v>
      </c>
      <c r="F194" s="99"/>
      <c r="G194" s="35"/>
      <c r="H194" s="35"/>
      <c r="I194" s="35"/>
      <c r="J194" s="35"/>
      <c r="L194" s="35"/>
      <c r="M194" s="35"/>
    </row>
    <row r="195" spans="3:13" ht="25.8">
      <c r="C195" s="35"/>
      <c r="D195" s="35" t="s">
        <v>18</v>
      </c>
      <c r="E195" s="35" t="s">
        <v>2</v>
      </c>
      <c r="F195" s="99"/>
      <c r="G195" s="35"/>
      <c r="H195" s="35"/>
      <c r="I195" s="35"/>
      <c r="J195" s="35"/>
      <c r="L195" s="35"/>
      <c r="M195" s="35"/>
    </row>
    <row r="196" spans="3:13" ht="25.8">
      <c r="C196" s="35"/>
      <c r="D196" s="35" t="s">
        <v>18</v>
      </c>
      <c r="E196" s="35" t="s">
        <v>2</v>
      </c>
      <c r="F196" s="99"/>
      <c r="G196" s="35"/>
      <c r="H196" s="35"/>
      <c r="I196" s="35"/>
      <c r="J196" s="35"/>
      <c r="L196" s="35"/>
      <c r="M196" s="35"/>
    </row>
    <row r="197" spans="3:13" ht="25.8">
      <c r="C197" s="35"/>
      <c r="D197" s="35" t="s">
        <v>18</v>
      </c>
      <c r="E197" s="35" t="s">
        <v>2</v>
      </c>
      <c r="F197" s="99"/>
      <c r="G197" s="35"/>
      <c r="H197" s="35"/>
      <c r="I197" s="35"/>
      <c r="J197" s="35"/>
      <c r="L197" s="35"/>
      <c r="M197" s="35"/>
    </row>
    <row r="198" spans="3:13" ht="25.8">
      <c r="C198" s="35"/>
      <c r="D198" s="35" t="s">
        <v>18</v>
      </c>
      <c r="E198" s="35" t="s">
        <v>2</v>
      </c>
      <c r="F198" s="99"/>
      <c r="G198" s="35"/>
      <c r="H198" s="35"/>
      <c r="I198" s="35"/>
      <c r="J198" s="35"/>
      <c r="L198" s="35"/>
      <c r="M198" s="35"/>
    </row>
    <row r="199" spans="3:13" ht="25.8">
      <c r="C199" s="35"/>
      <c r="D199" s="35" t="s">
        <v>18</v>
      </c>
      <c r="E199" s="35" t="s">
        <v>2</v>
      </c>
      <c r="F199" s="99"/>
      <c r="G199" s="35"/>
      <c r="H199" s="35"/>
      <c r="I199" s="35"/>
      <c r="J199" s="35"/>
      <c r="L199" s="35"/>
      <c r="M199" s="35"/>
    </row>
    <row r="200" spans="3:13" ht="25.8">
      <c r="C200" s="35"/>
      <c r="D200" s="35" t="s">
        <v>18</v>
      </c>
      <c r="E200" s="35" t="s">
        <v>2</v>
      </c>
      <c r="F200" s="99"/>
      <c r="G200" s="35"/>
      <c r="H200" s="35"/>
      <c r="I200" s="35"/>
      <c r="J200" s="35"/>
      <c r="L200" s="35"/>
      <c r="M200" s="35"/>
    </row>
    <row r="201" spans="3:13" ht="25.8">
      <c r="C201" s="35"/>
      <c r="D201" s="35" t="s">
        <v>18</v>
      </c>
      <c r="E201" s="35" t="s">
        <v>2</v>
      </c>
      <c r="F201" s="99"/>
      <c r="G201" s="35"/>
      <c r="H201" s="35"/>
      <c r="I201" s="35"/>
      <c r="J201" s="35"/>
      <c r="L201" s="35"/>
      <c r="M201" s="35"/>
    </row>
    <row r="202" spans="3:13" ht="25.8">
      <c r="C202" s="35"/>
      <c r="D202" s="35" t="s">
        <v>18</v>
      </c>
      <c r="E202" s="35" t="s">
        <v>2</v>
      </c>
      <c r="F202" s="99"/>
      <c r="G202" s="35"/>
      <c r="H202" s="35"/>
      <c r="I202" s="35"/>
      <c r="J202" s="35"/>
      <c r="L202" s="35"/>
      <c r="M202" s="35"/>
    </row>
    <row r="203" spans="3:13" ht="25.8">
      <c r="C203" s="35"/>
      <c r="D203" s="35" t="s">
        <v>18</v>
      </c>
      <c r="E203" s="35" t="s">
        <v>2</v>
      </c>
      <c r="F203" s="99"/>
      <c r="G203" s="35"/>
      <c r="H203" s="35"/>
      <c r="I203" s="35"/>
      <c r="J203" s="35"/>
      <c r="L203" s="35"/>
      <c r="M203" s="35"/>
    </row>
    <row r="204" spans="3:13" ht="25.8">
      <c r="C204" s="35"/>
      <c r="D204" s="35" t="s">
        <v>18</v>
      </c>
      <c r="E204" s="35" t="s">
        <v>2</v>
      </c>
      <c r="F204" s="99"/>
      <c r="G204" s="35"/>
      <c r="H204" s="35"/>
      <c r="I204" s="35"/>
      <c r="J204" s="35"/>
      <c r="L204" s="35"/>
      <c r="M204" s="35"/>
    </row>
    <row r="205" spans="3:13" ht="25.8">
      <c r="C205" s="35"/>
      <c r="D205" s="35" t="s">
        <v>18</v>
      </c>
      <c r="E205" s="35" t="s">
        <v>2</v>
      </c>
      <c r="F205" s="99"/>
      <c r="G205" s="35"/>
      <c r="H205" s="35"/>
      <c r="I205" s="35"/>
      <c r="J205" s="35"/>
      <c r="L205" s="35"/>
      <c r="M205" s="35"/>
    </row>
    <row r="206" spans="3:13" ht="25.8">
      <c r="C206" s="35"/>
      <c r="D206" s="35" t="s">
        <v>18</v>
      </c>
      <c r="E206" s="35" t="s">
        <v>2</v>
      </c>
      <c r="F206" s="99"/>
      <c r="G206" s="35"/>
      <c r="H206" s="35"/>
      <c r="I206" s="35"/>
      <c r="J206" s="35"/>
      <c r="L206" s="35"/>
      <c r="M206" s="35"/>
    </row>
    <row r="207" spans="3:13" ht="25.8">
      <c r="C207" s="35"/>
      <c r="D207" s="35" t="s">
        <v>18</v>
      </c>
      <c r="E207" s="35" t="s">
        <v>2</v>
      </c>
      <c r="F207" s="99"/>
      <c r="G207" s="35"/>
      <c r="H207" s="35"/>
      <c r="I207" s="35"/>
      <c r="J207" s="35"/>
      <c r="L207" s="35"/>
      <c r="M207" s="35"/>
    </row>
    <row r="208" spans="3:13" ht="25.8">
      <c r="C208" s="35"/>
      <c r="D208" s="35" t="s">
        <v>18</v>
      </c>
      <c r="E208" s="35" t="s">
        <v>2</v>
      </c>
      <c r="F208" s="99"/>
      <c r="G208" s="35"/>
      <c r="H208" s="35"/>
      <c r="I208" s="35"/>
      <c r="J208" s="35"/>
      <c r="L208" s="35"/>
      <c r="M208" s="35"/>
    </row>
    <row r="209" spans="3:13" ht="25.8">
      <c r="C209" s="35"/>
      <c r="D209" s="35" t="s">
        <v>18</v>
      </c>
      <c r="E209" s="35" t="s">
        <v>2</v>
      </c>
      <c r="F209" s="99"/>
      <c r="G209" s="35"/>
      <c r="H209" s="35"/>
      <c r="I209" s="35"/>
      <c r="J209" s="35"/>
      <c r="L209" s="35"/>
      <c r="M209" s="35"/>
    </row>
    <row r="210" spans="3:13" ht="25.8">
      <c r="C210" s="35"/>
      <c r="D210" s="35" t="s">
        <v>18</v>
      </c>
      <c r="E210" s="35" t="s">
        <v>2</v>
      </c>
      <c r="F210" s="99"/>
      <c r="G210" s="35"/>
      <c r="H210" s="35"/>
      <c r="I210" s="35"/>
      <c r="J210" s="35"/>
      <c r="L210" s="35"/>
      <c r="M210" s="35"/>
    </row>
    <row r="211" spans="3:13" ht="25.8">
      <c r="C211" s="35"/>
      <c r="D211" s="35" t="s">
        <v>18</v>
      </c>
      <c r="E211" s="35" t="s">
        <v>2</v>
      </c>
      <c r="F211" s="99"/>
      <c r="G211" s="35"/>
      <c r="H211" s="35"/>
      <c r="I211" s="35"/>
      <c r="J211" s="35"/>
      <c r="L211" s="35"/>
      <c r="M211" s="35"/>
    </row>
    <row r="212" spans="3:13" ht="25.8">
      <c r="C212" s="35"/>
      <c r="D212" s="35" t="s">
        <v>18</v>
      </c>
      <c r="E212" s="35" t="s">
        <v>2</v>
      </c>
      <c r="F212" s="99"/>
      <c r="G212" s="35"/>
      <c r="H212" s="35"/>
      <c r="I212" s="35"/>
      <c r="J212" s="35"/>
      <c r="L212" s="35"/>
      <c r="M212" s="35"/>
    </row>
    <row r="213" spans="3:13" ht="25.8">
      <c r="C213" s="35"/>
      <c r="D213" s="35" t="s">
        <v>18</v>
      </c>
      <c r="E213" s="35" t="s">
        <v>2</v>
      </c>
      <c r="F213" s="99"/>
      <c r="G213" s="35"/>
      <c r="H213" s="35"/>
      <c r="I213" s="35"/>
      <c r="J213" s="35"/>
      <c r="L213" s="35"/>
      <c r="M213" s="35"/>
    </row>
    <row r="214" spans="3:13" ht="25.8">
      <c r="C214" s="35"/>
      <c r="D214" s="35" t="s">
        <v>18</v>
      </c>
      <c r="E214" s="35" t="s">
        <v>2</v>
      </c>
      <c r="F214" s="99"/>
      <c r="G214" s="35"/>
      <c r="H214" s="35"/>
      <c r="I214" s="35"/>
      <c r="J214" s="35"/>
      <c r="L214" s="35"/>
      <c r="M214" s="35"/>
    </row>
    <row r="215" spans="3:13" ht="25.8">
      <c r="C215" s="35"/>
      <c r="D215" s="35" t="s">
        <v>18</v>
      </c>
      <c r="E215" s="35" t="s">
        <v>2</v>
      </c>
      <c r="F215" s="99"/>
      <c r="G215" s="35"/>
      <c r="H215" s="35"/>
      <c r="I215" s="35"/>
      <c r="J215" s="35"/>
      <c r="L215" s="35"/>
      <c r="M215" s="35"/>
    </row>
    <row r="216" spans="3:13" ht="25.8">
      <c r="C216" s="35"/>
      <c r="D216" s="35" t="s">
        <v>18</v>
      </c>
      <c r="E216" s="35" t="s">
        <v>2</v>
      </c>
      <c r="F216" s="99"/>
      <c r="G216" s="35"/>
      <c r="H216" s="35"/>
      <c r="I216" s="35"/>
      <c r="J216" s="35"/>
      <c r="L216" s="35"/>
      <c r="M216" s="35"/>
    </row>
    <row r="217" spans="3:13" ht="25.8">
      <c r="C217" s="35"/>
      <c r="D217" s="35" t="s">
        <v>18</v>
      </c>
      <c r="E217" s="35" t="s">
        <v>2</v>
      </c>
      <c r="F217" s="99"/>
      <c r="G217" s="35"/>
      <c r="H217" s="35"/>
      <c r="I217" s="35"/>
      <c r="J217" s="35"/>
      <c r="L217" s="35"/>
      <c r="M217" s="35"/>
    </row>
    <row r="218" spans="3:13" ht="25.8">
      <c r="C218" s="35"/>
      <c r="D218" s="35" t="s">
        <v>18</v>
      </c>
      <c r="E218" s="35" t="s">
        <v>2</v>
      </c>
      <c r="F218" s="99"/>
      <c r="G218" s="35"/>
      <c r="H218" s="35"/>
      <c r="I218" s="35"/>
      <c r="J218" s="35"/>
      <c r="L218" s="35"/>
      <c r="M218" s="35"/>
    </row>
    <row r="219" spans="3:13" ht="25.8">
      <c r="C219" s="35"/>
      <c r="D219" s="35" t="s">
        <v>18</v>
      </c>
      <c r="E219" s="35" t="s">
        <v>2</v>
      </c>
      <c r="F219" s="99"/>
      <c r="G219" s="35"/>
      <c r="H219" s="35"/>
      <c r="I219" s="35"/>
      <c r="J219" s="35"/>
      <c r="L219" s="35"/>
      <c r="M219" s="35"/>
    </row>
    <row r="220" spans="3:13" ht="25.8">
      <c r="C220" s="35"/>
      <c r="D220" s="35" t="s">
        <v>18</v>
      </c>
      <c r="E220" s="35" t="s">
        <v>2</v>
      </c>
      <c r="F220" s="99"/>
      <c r="G220" s="35"/>
      <c r="H220" s="35"/>
      <c r="I220" s="35"/>
      <c r="J220" s="35"/>
      <c r="L220" s="35"/>
      <c r="M220" s="35"/>
    </row>
    <row r="221" spans="3:13" ht="25.8">
      <c r="C221" s="35"/>
      <c r="D221" s="35" t="s">
        <v>18</v>
      </c>
      <c r="E221" s="35" t="s">
        <v>2</v>
      </c>
      <c r="F221" s="99"/>
      <c r="G221" s="35"/>
      <c r="H221" s="35"/>
      <c r="I221" s="35"/>
      <c r="J221" s="35"/>
      <c r="L221" s="35"/>
      <c r="M221" s="35"/>
    </row>
    <row r="222" spans="3:13" ht="25.8">
      <c r="C222" s="35"/>
      <c r="D222" s="35" t="s">
        <v>18</v>
      </c>
      <c r="E222" s="35" t="s">
        <v>2</v>
      </c>
      <c r="F222" s="99"/>
      <c r="G222" s="35"/>
      <c r="H222" s="35"/>
      <c r="I222" s="35"/>
      <c r="J222" s="35"/>
      <c r="L222" s="35"/>
      <c r="M222" s="35"/>
    </row>
    <row r="223" spans="3:13" ht="25.8">
      <c r="C223" s="35"/>
      <c r="D223" s="35" t="s">
        <v>18</v>
      </c>
      <c r="E223" s="35" t="s">
        <v>2</v>
      </c>
      <c r="F223" s="99"/>
      <c r="G223" s="35"/>
      <c r="H223" s="35"/>
      <c r="I223" s="35"/>
      <c r="J223" s="35"/>
      <c r="L223" s="35"/>
      <c r="M223" s="35"/>
    </row>
    <row r="224" spans="3:13" ht="25.8">
      <c r="C224" s="35"/>
      <c r="D224" s="35" t="s">
        <v>18</v>
      </c>
      <c r="E224" s="35" t="s">
        <v>2</v>
      </c>
      <c r="F224" s="99"/>
      <c r="G224" s="35"/>
      <c r="H224" s="35"/>
      <c r="I224" s="35"/>
      <c r="J224" s="35"/>
      <c r="L224" s="35"/>
      <c r="M224" s="35"/>
    </row>
    <row r="225" spans="3:13" ht="25.8">
      <c r="C225" s="35"/>
      <c r="D225" s="35" t="s">
        <v>18</v>
      </c>
      <c r="E225" s="35" t="s">
        <v>2</v>
      </c>
      <c r="F225" s="99"/>
      <c r="G225" s="35"/>
      <c r="H225" s="35"/>
      <c r="I225" s="35"/>
      <c r="J225" s="35"/>
      <c r="L225" s="35"/>
      <c r="M225" s="35"/>
    </row>
    <row r="226" spans="3:13" ht="25.8">
      <c r="C226" s="35"/>
      <c r="D226" s="35" t="s">
        <v>18</v>
      </c>
      <c r="E226" s="35" t="s">
        <v>2</v>
      </c>
      <c r="F226" s="99"/>
      <c r="G226" s="35"/>
      <c r="H226" s="35"/>
      <c r="I226" s="35"/>
      <c r="J226" s="35"/>
      <c r="L226" s="35"/>
      <c r="M226" s="35"/>
    </row>
    <row r="227" spans="3:13" ht="25.8">
      <c r="C227" s="35"/>
      <c r="D227" s="35" t="s">
        <v>18</v>
      </c>
      <c r="E227" s="35" t="s">
        <v>2</v>
      </c>
      <c r="F227" s="99"/>
      <c r="G227" s="35"/>
      <c r="H227" s="35"/>
      <c r="I227" s="35"/>
      <c r="J227" s="35"/>
      <c r="L227" s="35"/>
      <c r="M227" s="35"/>
    </row>
    <row r="228" spans="3:13" ht="25.8">
      <c r="C228" s="35"/>
      <c r="D228" s="35" t="s">
        <v>18</v>
      </c>
      <c r="E228" s="35" t="s">
        <v>2</v>
      </c>
      <c r="F228" s="99"/>
      <c r="G228" s="35"/>
      <c r="H228" s="35"/>
      <c r="I228" s="35"/>
      <c r="J228" s="35"/>
      <c r="L228" s="35"/>
      <c r="M228" s="35"/>
    </row>
    <row r="229" spans="3:13" ht="25.8">
      <c r="C229" s="35"/>
      <c r="D229" s="35" t="s">
        <v>18</v>
      </c>
      <c r="E229" s="35" t="s">
        <v>2</v>
      </c>
      <c r="F229" s="99"/>
      <c r="G229" s="35"/>
      <c r="H229" s="35"/>
      <c r="I229" s="35"/>
      <c r="J229" s="35"/>
      <c r="L229" s="35"/>
      <c r="M229" s="35"/>
    </row>
    <row r="230" spans="3:13" ht="25.8">
      <c r="C230" s="35"/>
      <c r="D230" s="35" t="s">
        <v>18</v>
      </c>
      <c r="E230" s="35" t="s">
        <v>2</v>
      </c>
      <c r="F230" s="99"/>
      <c r="G230" s="35"/>
      <c r="H230" s="35"/>
      <c r="I230" s="35"/>
      <c r="J230" s="35"/>
      <c r="L230" s="35"/>
      <c r="M230" s="35"/>
    </row>
    <row r="231" spans="3:13" ht="25.8">
      <c r="C231" s="35"/>
      <c r="D231" s="35" t="s">
        <v>18</v>
      </c>
      <c r="E231" s="35" t="s">
        <v>2</v>
      </c>
      <c r="F231" s="99"/>
      <c r="G231" s="35"/>
      <c r="H231" s="35"/>
      <c r="I231" s="35"/>
      <c r="J231" s="35"/>
      <c r="L231" s="35"/>
      <c r="M231" s="35"/>
    </row>
    <row r="232" spans="3:13" ht="25.8">
      <c r="C232" s="35"/>
      <c r="D232" s="35" t="s">
        <v>18</v>
      </c>
      <c r="E232" s="35" t="s">
        <v>2</v>
      </c>
      <c r="F232" s="99"/>
      <c r="G232" s="35"/>
      <c r="H232" s="35"/>
      <c r="I232" s="35"/>
      <c r="J232" s="35"/>
      <c r="L232" s="35"/>
      <c r="M232" s="35"/>
    </row>
    <row r="233" spans="3:13" ht="25.8">
      <c r="C233" s="35"/>
      <c r="D233" s="35" t="s">
        <v>18</v>
      </c>
      <c r="E233" s="35" t="s">
        <v>2</v>
      </c>
      <c r="F233" s="99"/>
      <c r="G233" s="35"/>
      <c r="H233" s="35"/>
      <c r="I233" s="35"/>
      <c r="J233" s="35"/>
      <c r="L233" s="35"/>
      <c r="M233" s="35"/>
    </row>
    <row r="234" spans="3:13" ht="25.8">
      <c r="C234" s="35"/>
      <c r="D234" s="35" t="s">
        <v>18</v>
      </c>
      <c r="E234" s="35" t="s">
        <v>2</v>
      </c>
      <c r="F234" s="99"/>
      <c r="G234" s="35"/>
      <c r="H234" s="35"/>
      <c r="I234" s="35"/>
      <c r="J234" s="35"/>
      <c r="L234" s="35"/>
      <c r="M234" s="35"/>
    </row>
    <row r="235" spans="3:13" ht="25.8">
      <c r="C235" s="35"/>
      <c r="D235" s="35" t="s">
        <v>18</v>
      </c>
      <c r="E235" s="35" t="s">
        <v>2</v>
      </c>
      <c r="F235" s="99"/>
      <c r="G235" s="35"/>
      <c r="H235" s="35"/>
      <c r="I235" s="35"/>
      <c r="J235" s="35"/>
      <c r="L235" s="35"/>
      <c r="M235" s="35"/>
    </row>
    <row r="236" spans="3:13" ht="25.8">
      <c r="C236" s="35"/>
      <c r="D236" s="35" t="s">
        <v>18</v>
      </c>
      <c r="E236" s="35" t="s">
        <v>2</v>
      </c>
      <c r="F236" s="99"/>
      <c r="G236" s="35"/>
      <c r="H236" s="35"/>
      <c r="I236" s="35"/>
      <c r="J236" s="35"/>
      <c r="L236" s="35"/>
      <c r="M236" s="35"/>
    </row>
    <row r="237" spans="3:13" ht="25.8">
      <c r="C237" s="35"/>
      <c r="D237" s="35" t="s">
        <v>18</v>
      </c>
      <c r="E237" s="35" t="s">
        <v>2</v>
      </c>
      <c r="F237" s="99"/>
      <c r="G237" s="35"/>
      <c r="H237" s="35"/>
      <c r="I237" s="35"/>
      <c r="J237" s="35"/>
      <c r="L237" s="35"/>
      <c r="M237" s="35"/>
    </row>
    <row r="238" spans="3:13" ht="25.8">
      <c r="C238" s="35"/>
      <c r="D238" s="35" t="s">
        <v>18</v>
      </c>
      <c r="E238" s="35" t="s">
        <v>2</v>
      </c>
      <c r="F238" s="99"/>
      <c r="G238" s="35"/>
      <c r="H238" s="35"/>
      <c r="I238" s="35"/>
      <c r="J238" s="35"/>
      <c r="L238" s="35"/>
      <c r="M238" s="35"/>
    </row>
    <row r="239" spans="3:13" ht="25.8">
      <c r="C239" s="35"/>
      <c r="D239" s="35" t="s">
        <v>18</v>
      </c>
      <c r="E239" s="35" t="s">
        <v>2</v>
      </c>
      <c r="F239" s="99"/>
      <c r="G239" s="35"/>
      <c r="H239" s="35"/>
      <c r="I239" s="35"/>
      <c r="J239" s="35"/>
      <c r="L239" s="35"/>
      <c r="M239" s="35"/>
    </row>
    <row r="240" spans="3:13" ht="25.8">
      <c r="C240" s="35"/>
      <c r="D240" s="35" t="s">
        <v>18</v>
      </c>
      <c r="E240" s="35" t="s">
        <v>2</v>
      </c>
      <c r="F240" s="99"/>
      <c r="G240" s="35"/>
      <c r="H240" s="35"/>
      <c r="I240" s="35"/>
      <c r="J240" s="35"/>
      <c r="L240" s="35"/>
      <c r="M240" s="35"/>
    </row>
    <row r="241" spans="3:13" ht="25.8">
      <c r="C241" s="35"/>
      <c r="D241" s="35" t="s">
        <v>18</v>
      </c>
      <c r="E241" s="35" t="s">
        <v>2</v>
      </c>
      <c r="F241" s="99"/>
      <c r="G241" s="35"/>
      <c r="H241" s="35"/>
      <c r="I241" s="35"/>
      <c r="J241" s="35"/>
      <c r="L241" s="35"/>
      <c r="M241" s="35"/>
    </row>
    <row r="242" spans="3:13" ht="25.8">
      <c r="C242" s="35"/>
      <c r="D242" s="35" t="s">
        <v>18</v>
      </c>
      <c r="E242" s="35" t="s">
        <v>2</v>
      </c>
      <c r="F242" s="99"/>
      <c r="G242" s="35"/>
      <c r="H242" s="35"/>
      <c r="I242" s="35"/>
      <c r="J242" s="35"/>
      <c r="L242" s="35"/>
      <c r="M242" s="35"/>
    </row>
    <row r="243" spans="3:13" ht="25.8">
      <c r="C243" s="35"/>
      <c r="D243" s="35" t="s">
        <v>18</v>
      </c>
      <c r="E243" s="35" t="s">
        <v>2</v>
      </c>
      <c r="F243" s="99"/>
      <c r="G243" s="35"/>
      <c r="H243" s="35"/>
      <c r="I243" s="35"/>
      <c r="J243" s="35"/>
      <c r="L243" s="35"/>
      <c r="M243" s="35"/>
    </row>
    <row r="244" spans="3:13" ht="25.8">
      <c r="C244" s="35"/>
      <c r="D244" s="35" t="s">
        <v>18</v>
      </c>
      <c r="E244" s="35" t="s">
        <v>2</v>
      </c>
      <c r="F244" s="99"/>
      <c r="G244" s="35"/>
      <c r="H244" s="35"/>
      <c r="I244" s="35"/>
      <c r="J244" s="35"/>
      <c r="L244" s="35"/>
      <c r="M244" s="35"/>
    </row>
    <row r="245" spans="3:13" ht="25.8">
      <c r="C245" s="35"/>
      <c r="D245" s="35" t="s">
        <v>18</v>
      </c>
      <c r="E245" s="35" t="s">
        <v>2</v>
      </c>
      <c r="F245" s="99"/>
      <c r="G245" s="35"/>
      <c r="H245" s="35"/>
      <c r="I245" s="35"/>
      <c r="J245" s="35"/>
      <c r="L245" s="35"/>
      <c r="M245" s="35"/>
    </row>
    <row r="246" spans="3:13" ht="25.8">
      <c r="C246" s="35"/>
      <c r="D246" s="35" t="s">
        <v>18</v>
      </c>
      <c r="E246" s="35" t="s">
        <v>2</v>
      </c>
      <c r="F246" s="99"/>
      <c r="G246" s="35"/>
      <c r="H246" s="35"/>
      <c r="I246" s="35"/>
      <c r="J246" s="35"/>
      <c r="L246" s="35"/>
      <c r="M246" s="35"/>
    </row>
    <row r="247" spans="3:13" ht="25.8">
      <c r="C247" s="35"/>
      <c r="D247" s="35" t="s">
        <v>18</v>
      </c>
      <c r="E247" s="35" t="s">
        <v>2</v>
      </c>
      <c r="F247" s="99"/>
      <c r="G247" s="35"/>
      <c r="H247" s="35"/>
      <c r="I247" s="35"/>
      <c r="J247" s="35"/>
      <c r="L247" s="35"/>
      <c r="M247" s="35"/>
    </row>
    <row r="248" spans="3:13" ht="25.8">
      <c r="C248" s="35"/>
      <c r="D248" s="35" t="s">
        <v>18</v>
      </c>
      <c r="E248" s="35" t="s">
        <v>2</v>
      </c>
      <c r="F248" s="99"/>
      <c r="G248" s="35"/>
      <c r="H248" s="35"/>
      <c r="I248" s="35"/>
      <c r="J248" s="35"/>
      <c r="L248" s="35"/>
      <c r="M248" s="35"/>
    </row>
    <row r="249" spans="3:13" ht="25.8">
      <c r="C249" s="35"/>
      <c r="D249" s="35" t="s">
        <v>18</v>
      </c>
      <c r="E249" s="35" t="s">
        <v>2</v>
      </c>
      <c r="F249" s="99"/>
      <c r="G249" s="35"/>
      <c r="H249" s="35"/>
      <c r="I249" s="35"/>
      <c r="J249" s="35"/>
      <c r="L249" s="35"/>
      <c r="M249" s="35"/>
    </row>
    <row r="250" spans="3:13" ht="25.8">
      <c r="C250" s="35"/>
      <c r="D250" s="35" t="s">
        <v>18</v>
      </c>
      <c r="E250" s="35" t="s">
        <v>2</v>
      </c>
      <c r="F250" s="99"/>
      <c r="G250" s="35"/>
      <c r="H250" s="35"/>
      <c r="I250" s="35"/>
      <c r="J250" s="35"/>
      <c r="L250" s="35"/>
      <c r="M250" s="35"/>
    </row>
    <row r="251" spans="3:13" ht="25.8">
      <c r="C251" s="35"/>
      <c r="D251" s="35" t="s">
        <v>18</v>
      </c>
      <c r="E251" s="35" t="s">
        <v>2</v>
      </c>
      <c r="F251" s="99"/>
      <c r="G251" s="35"/>
      <c r="H251" s="35"/>
      <c r="I251" s="35"/>
      <c r="J251" s="35"/>
      <c r="L251" s="35"/>
      <c r="M251" s="35"/>
    </row>
    <row r="252" spans="3:13" ht="25.8">
      <c r="C252" s="35"/>
      <c r="D252" s="35" t="s">
        <v>18</v>
      </c>
      <c r="E252" s="35" t="s">
        <v>2</v>
      </c>
      <c r="F252" s="99"/>
      <c r="G252" s="35"/>
      <c r="H252" s="35"/>
      <c r="I252" s="35"/>
      <c r="J252" s="35"/>
      <c r="L252" s="35"/>
      <c r="M252" s="35"/>
    </row>
    <row r="253" spans="3:13" ht="25.8">
      <c r="C253" s="35"/>
      <c r="D253" s="35" t="s">
        <v>18</v>
      </c>
      <c r="E253" s="35" t="s">
        <v>2</v>
      </c>
      <c r="F253" s="99"/>
      <c r="G253" s="35"/>
      <c r="H253" s="35"/>
      <c r="I253" s="35"/>
      <c r="J253" s="35"/>
      <c r="L253" s="35"/>
      <c r="M253" s="35"/>
    </row>
    <row r="254" spans="3:13" ht="25.8">
      <c r="C254" s="35"/>
      <c r="D254" s="35" t="s">
        <v>18</v>
      </c>
      <c r="E254" s="35" t="s">
        <v>2</v>
      </c>
      <c r="F254" s="99"/>
      <c r="G254" s="35"/>
      <c r="H254" s="35"/>
      <c r="I254" s="35"/>
      <c r="J254" s="35"/>
      <c r="L254" s="35"/>
      <c r="M254" s="35"/>
    </row>
    <row r="255" spans="3:13" ht="25.8">
      <c r="C255" s="35"/>
      <c r="D255" s="35" t="s">
        <v>18</v>
      </c>
      <c r="E255" s="35" t="s">
        <v>2</v>
      </c>
      <c r="F255" s="99"/>
      <c r="G255" s="35"/>
      <c r="H255" s="35"/>
      <c r="I255" s="35"/>
      <c r="J255" s="35"/>
      <c r="L255" s="35"/>
      <c r="M255" s="35"/>
    </row>
    <row r="256" spans="3:13" ht="25.8">
      <c r="C256" s="35"/>
      <c r="D256" s="35" t="s">
        <v>18</v>
      </c>
      <c r="E256" s="35" t="s">
        <v>2</v>
      </c>
      <c r="F256" s="99"/>
      <c r="G256" s="35"/>
      <c r="H256" s="35"/>
      <c r="I256" s="35"/>
      <c r="J256" s="35"/>
      <c r="L256" s="35"/>
      <c r="M256" s="35"/>
    </row>
    <row r="257" spans="3:13" ht="25.8">
      <c r="C257" s="35"/>
      <c r="D257" s="35" t="s">
        <v>18</v>
      </c>
      <c r="E257" s="35" t="s">
        <v>2</v>
      </c>
      <c r="F257" s="99"/>
      <c r="G257" s="35"/>
      <c r="H257" s="35"/>
      <c r="I257" s="35"/>
      <c r="J257" s="35"/>
      <c r="L257" s="35"/>
      <c r="M257" s="35"/>
    </row>
    <row r="258" spans="3:13" ht="25.8">
      <c r="C258" s="35"/>
      <c r="D258" s="35" t="s">
        <v>18</v>
      </c>
      <c r="E258" s="35" t="s">
        <v>2</v>
      </c>
      <c r="F258" s="99"/>
      <c r="G258" s="35"/>
      <c r="H258" s="35"/>
      <c r="I258" s="35"/>
      <c r="J258" s="35"/>
      <c r="L258" s="35"/>
      <c r="M258" s="35"/>
    </row>
    <row r="259" spans="3:13" ht="25.8">
      <c r="C259" s="35"/>
      <c r="D259" s="35" t="s">
        <v>18</v>
      </c>
      <c r="E259" s="35" t="s">
        <v>2</v>
      </c>
      <c r="F259" s="99"/>
      <c r="G259" s="35"/>
      <c r="H259" s="35"/>
      <c r="I259" s="35"/>
      <c r="J259" s="35"/>
      <c r="L259" s="35"/>
      <c r="M259" s="35"/>
    </row>
    <row r="260" spans="3:13" ht="25.8">
      <c r="C260" s="35"/>
      <c r="D260" s="35" t="s">
        <v>18</v>
      </c>
      <c r="E260" s="35" t="s">
        <v>2</v>
      </c>
      <c r="F260" s="99"/>
      <c r="G260" s="35"/>
      <c r="H260" s="35"/>
      <c r="I260" s="35"/>
      <c r="J260" s="35"/>
      <c r="L260" s="35"/>
      <c r="M260" s="35"/>
    </row>
    <row r="261" spans="3:13" ht="25.8">
      <c r="C261" s="35"/>
      <c r="D261" s="35" t="s">
        <v>18</v>
      </c>
      <c r="E261" s="35" t="s">
        <v>2</v>
      </c>
      <c r="F261" s="99"/>
      <c r="G261" s="35"/>
      <c r="H261" s="35"/>
      <c r="I261" s="35"/>
      <c r="J261" s="35"/>
      <c r="L261" s="35"/>
      <c r="M261" s="35"/>
    </row>
    <row r="262" spans="3:13" ht="25.8">
      <c r="C262" s="35"/>
      <c r="D262" s="35" t="s">
        <v>18</v>
      </c>
      <c r="E262" s="35" t="s">
        <v>2</v>
      </c>
      <c r="F262" s="99"/>
      <c r="G262" s="35"/>
      <c r="H262" s="35"/>
      <c r="I262" s="35"/>
      <c r="J262" s="35"/>
      <c r="L262" s="35"/>
      <c r="M262" s="35"/>
    </row>
    <row r="263" spans="3:13" ht="25.8">
      <c r="C263" s="35"/>
      <c r="D263" s="35" t="s">
        <v>18</v>
      </c>
      <c r="E263" s="35" t="s">
        <v>2</v>
      </c>
      <c r="F263" s="99"/>
      <c r="G263" s="35"/>
      <c r="H263" s="35"/>
      <c r="I263" s="35"/>
      <c r="J263" s="35"/>
      <c r="L263" s="35"/>
      <c r="M263" s="35"/>
    </row>
    <row r="264" spans="3:13" ht="25.8">
      <c r="C264" s="35"/>
      <c r="D264" s="35" t="s">
        <v>18</v>
      </c>
      <c r="E264" s="35" t="s">
        <v>2</v>
      </c>
      <c r="F264" s="99"/>
      <c r="G264" s="35"/>
      <c r="H264" s="35"/>
      <c r="I264" s="35"/>
      <c r="J264" s="35"/>
      <c r="L264" s="35"/>
      <c r="M264" s="35"/>
    </row>
    <row r="265" spans="3:13" ht="25.8">
      <c r="C265" s="35"/>
      <c r="D265" s="35" t="s">
        <v>18</v>
      </c>
      <c r="E265" s="35" t="s">
        <v>2</v>
      </c>
      <c r="F265" s="99"/>
      <c r="G265" s="35"/>
      <c r="H265" s="35"/>
      <c r="I265" s="35"/>
      <c r="J265" s="35"/>
      <c r="L265" s="35"/>
      <c r="M265" s="35"/>
    </row>
    <row r="266" spans="3:13" ht="25.8">
      <c r="C266" s="35"/>
      <c r="D266" s="35" t="s">
        <v>18</v>
      </c>
      <c r="E266" s="35" t="s">
        <v>2</v>
      </c>
      <c r="F266" s="99"/>
      <c r="G266" s="35"/>
      <c r="H266" s="35"/>
      <c r="I266" s="35"/>
      <c r="J266" s="35"/>
      <c r="L266" s="35"/>
      <c r="M266" s="35"/>
    </row>
    <row r="267" spans="3:13" ht="25.8">
      <c r="C267" s="35"/>
      <c r="D267" s="35" t="s">
        <v>18</v>
      </c>
      <c r="E267" s="35" t="s">
        <v>2</v>
      </c>
      <c r="F267" s="99"/>
      <c r="G267" s="35"/>
      <c r="H267" s="35"/>
      <c r="I267" s="35"/>
      <c r="J267" s="35"/>
      <c r="L267" s="35"/>
      <c r="M267" s="35"/>
    </row>
    <row r="268" spans="3:13" ht="25.8">
      <c r="C268" s="35"/>
      <c r="D268" s="35" t="s">
        <v>18</v>
      </c>
      <c r="E268" s="35" t="s">
        <v>2</v>
      </c>
      <c r="F268" s="99"/>
      <c r="G268" s="35"/>
      <c r="H268" s="35"/>
      <c r="I268" s="35"/>
      <c r="J268" s="35"/>
      <c r="L268" s="35"/>
      <c r="M268" s="35"/>
    </row>
    <row r="269" spans="3:13" ht="25.8">
      <c r="C269" s="35"/>
      <c r="D269" s="35" t="s">
        <v>18</v>
      </c>
      <c r="E269" s="35" t="s">
        <v>2</v>
      </c>
      <c r="F269" s="99"/>
      <c r="G269" s="35"/>
      <c r="H269" s="35"/>
      <c r="I269" s="35"/>
      <c r="J269" s="35"/>
      <c r="L269" s="35"/>
      <c r="M269" s="35"/>
    </row>
    <row r="270" spans="3:13" ht="25.8">
      <c r="C270" s="35"/>
      <c r="D270" s="35" t="s">
        <v>18</v>
      </c>
      <c r="E270" s="35" t="s">
        <v>2</v>
      </c>
      <c r="F270" s="99"/>
      <c r="G270" s="35"/>
      <c r="H270" s="35"/>
      <c r="I270" s="35"/>
      <c r="J270" s="35"/>
      <c r="L270" s="35"/>
      <c r="M270" s="35"/>
    </row>
    <row r="271" spans="3:13" ht="25.8">
      <c r="C271" s="35"/>
      <c r="D271" s="35" t="s">
        <v>18</v>
      </c>
      <c r="E271" s="35" t="s">
        <v>2</v>
      </c>
      <c r="F271" s="99"/>
      <c r="G271" s="35"/>
      <c r="H271" s="35"/>
      <c r="I271" s="35"/>
      <c r="J271" s="35"/>
      <c r="L271" s="35"/>
      <c r="M271" s="35"/>
    </row>
    <row r="272" spans="3:13" ht="25.8">
      <c r="C272" s="35"/>
      <c r="D272" s="35" t="s">
        <v>18</v>
      </c>
      <c r="E272" s="35" t="s">
        <v>2</v>
      </c>
      <c r="F272" s="99"/>
      <c r="G272" s="35"/>
      <c r="H272" s="35"/>
      <c r="I272" s="35"/>
      <c r="J272" s="35"/>
      <c r="L272" s="35"/>
      <c r="M272" s="35"/>
    </row>
    <row r="273" spans="3:13" ht="25.8">
      <c r="C273" s="35"/>
      <c r="D273" s="35" t="s">
        <v>18</v>
      </c>
      <c r="E273" s="35" t="s">
        <v>2</v>
      </c>
      <c r="F273" s="99"/>
      <c r="G273" s="35"/>
      <c r="H273" s="35"/>
      <c r="I273" s="35"/>
      <c r="J273" s="35"/>
      <c r="L273" s="35"/>
      <c r="M273" s="35"/>
    </row>
    <row r="274" spans="3:13" ht="25.8">
      <c r="C274" s="35"/>
      <c r="D274" s="35" t="s">
        <v>18</v>
      </c>
      <c r="E274" s="35" t="s">
        <v>2</v>
      </c>
      <c r="F274" s="99"/>
      <c r="G274" s="35"/>
      <c r="H274" s="35"/>
      <c r="I274" s="35"/>
      <c r="J274" s="35"/>
      <c r="L274" s="35"/>
      <c r="M274" s="35"/>
    </row>
    <row r="275" spans="3:13" ht="25.8">
      <c r="C275" s="35"/>
      <c r="D275" s="35" t="s">
        <v>18</v>
      </c>
      <c r="E275" s="35" t="s">
        <v>2</v>
      </c>
      <c r="F275" s="99"/>
      <c r="G275" s="35"/>
      <c r="H275" s="35"/>
      <c r="I275" s="35"/>
      <c r="J275" s="35"/>
      <c r="L275" s="35"/>
      <c r="M275" s="35"/>
    </row>
    <row r="276" spans="3:13" ht="25.8">
      <c r="C276" s="35"/>
      <c r="D276" s="35" t="s">
        <v>18</v>
      </c>
      <c r="E276" s="35" t="s">
        <v>2</v>
      </c>
      <c r="F276" s="99"/>
      <c r="G276" s="35"/>
      <c r="H276" s="35"/>
      <c r="I276" s="35"/>
      <c r="J276" s="35"/>
      <c r="L276" s="35"/>
      <c r="M276" s="35"/>
    </row>
    <row r="277" spans="3:13" ht="25.8">
      <c r="C277" s="35"/>
      <c r="D277" s="35" t="s">
        <v>18</v>
      </c>
      <c r="E277" s="35" t="s">
        <v>2</v>
      </c>
      <c r="F277" s="99"/>
      <c r="G277" s="35"/>
      <c r="H277" s="35"/>
      <c r="I277" s="35"/>
      <c r="J277" s="35"/>
      <c r="L277" s="35"/>
      <c r="M277" s="35"/>
    </row>
    <row r="278" spans="3:13" ht="25.8">
      <c r="C278" s="35"/>
      <c r="D278" s="35" t="s">
        <v>18</v>
      </c>
      <c r="E278" s="35" t="s">
        <v>2</v>
      </c>
      <c r="F278" s="99"/>
      <c r="G278" s="35"/>
      <c r="H278" s="35"/>
      <c r="I278" s="35"/>
      <c r="J278" s="35"/>
      <c r="L278" s="35"/>
      <c r="M278" s="35"/>
    </row>
    <row r="279" spans="3:13" ht="25.8">
      <c r="C279" s="35"/>
      <c r="D279" s="35" t="s">
        <v>18</v>
      </c>
      <c r="E279" s="35" t="s">
        <v>2</v>
      </c>
      <c r="F279" s="99"/>
      <c r="G279" s="35"/>
      <c r="H279" s="35"/>
      <c r="I279" s="35"/>
      <c r="J279" s="35"/>
      <c r="L279" s="35"/>
      <c r="M279" s="35"/>
    </row>
    <row r="280" spans="3:13" ht="25.8">
      <c r="C280" s="35"/>
      <c r="D280" s="35" t="s">
        <v>18</v>
      </c>
      <c r="E280" s="35" t="s">
        <v>2</v>
      </c>
      <c r="F280" s="99"/>
      <c r="G280" s="35"/>
      <c r="H280" s="35"/>
      <c r="I280" s="35"/>
      <c r="J280" s="35"/>
      <c r="L280" s="35"/>
      <c r="M280" s="35"/>
    </row>
    <row r="281" spans="3:13" ht="25.8">
      <c r="C281" s="35"/>
      <c r="D281" s="35" t="s">
        <v>18</v>
      </c>
      <c r="E281" s="35" t="s">
        <v>2</v>
      </c>
      <c r="F281" s="99"/>
      <c r="G281" s="35"/>
      <c r="H281" s="35"/>
      <c r="I281" s="35"/>
      <c r="J281" s="35"/>
      <c r="L281" s="35"/>
      <c r="M281" s="35"/>
    </row>
    <row r="282" spans="3:13" ht="25.8">
      <c r="C282" s="35"/>
      <c r="D282" s="35" t="s">
        <v>18</v>
      </c>
      <c r="E282" s="35" t="s">
        <v>2</v>
      </c>
      <c r="F282" s="99"/>
      <c r="G282" s="35"/>
      <c r="H282" s="35"/>
      <c r="I282" s="35"/>
      <c r="J282" s="35"/>
      <c r="L282" s="35"/>
      <c r="M282" s="35"/>
    </row>
    <row r="283" spans="3:13" ht="25.8">
      <c r="C283" s="35"/>
      <c r="D283" s="35" t="s">
        <v>18</v>
      </c>
      <c r="E283" s="35" t="s">
        <v>2</v>
      </c>
      <c r="F283" s="99"/>
      <c r="G283" s="35"/>
      <c r="H283" s="35"/>
      <c r="I283" s="35"/>
      <c r="J283" s="35"/>
      <c r="L283" s="35"/>
      <c r="M283" s="35"/>
    </row>
    <row r="284" spans="3:13" ht="25.8">
      <c r="C284" s="35"/>
      <c r="D284" s="35" t="s">
        <v>18</v>
      </c>
      <c r="E284" s="35" t="s">
        <v>2</v>
      </c>
      <c r="F284" s="99"/>
      <c r="G284" s="35"/>
      <c r="H284" s="35"/>
      <c r="I284" s="35"/>
      <c r="J284" s="35"/>
      <c r="L284" s="35"/>
      <c r="M284" s="35"/>
    </row>
    <row r="285" spans="3:13" ht="25.8">
      <c r="C285" s="35"/>
      <c r="D285" s="35" t="s">
        <v>18</v>
      </c>
      <c r="E285" s="35" t="s">
        <v>2</v>
      </c>
      <c r="F285" s="99"/>
      <c r="G285" s="35"/>
      <c r="H285" s="35"/>
      <c r="I285" s="35"/>
      <c r="J285" s="35"/>
      <c r="L285" s="35"/>
      <c r="M285" s="35"/>
    </row>
    <row r="286" spans="3:13" ht="25.8">
      <c r="C286" s="35"/>
      <c r="D286" s="35" t="s">
        <v>18</v>
      </c>
      <c r="E286" s="35" t="s">
        <v>2</v>
      </c>
      <c r="F286" s="99"/>
      <c r="G286" s="35"/>
      <c r="H286" s="35"/>
      <c r="I286" s="35"/>
      <c r="J286" s="35"/>
      <c r="L286" s="35"/>
      <c r="M286" s="35"/>
    </row>
    <row r="287" spans="3:13" ht="25.8">
      <c r="C287" s="35"/>
      <c r="D287" s="35" t="s">
        <v>18</v>
      </c>
      <c r="E287" s="35" t="s">
        <v>2</v>
      </c>
      <c r="F287" s="99"/>
      <c r="G287" s="35"/>
      <c r="H287" s="35"/>
      <c r="I287" s="35"/>
      <c r="J287" s="35"/>
      <c r="L287" s="35"/>
      <c r="M287" s="35"/>
    </row>
    <row r="288" spans="3:13" ht="25.8">
      <c r="C288" s="35"/>
      <c r="D288" s="35" t="s">
        <v>18</v>
      </c>
      <c r="E288" s="35" t="s">
        <v>2</v>
      </c>
      <c r="F288" s="99"/>
      <c r="G288" s="35"/>
      <c r="H288" s="35"/>
      <c r="I288" s="35"/>
      <c r="J288" s="35"/>
      <c r="L288" s="35"/>
      <c r="M288" s="35"/>
    </row>
    <row r="289" spans="3:13" ht="25.8">
      <c r="C289" s="35"/>
      <c r="D289" s="35" t="s">
        <v>18</v>
      </c>
      <c r="E289" s="35" t="s">
        <v>2</v>
      </c>
      <c r="F289" s="99"/>
      <c r="G289" s="35"/>
      <c r="H289" s="35"/>
      <c r="I289" s="35"/>
      <c r="J289" s="35"/>
      <c r="L289" s="35"/>
      <c r="M289" s="35"/>
    </row>
    <row r="290" spans="3:13" ht="25.8">
      <c r="C290" s="35"/>
      <c r="D290" s="35" t="s">
        <v>18</v>
      </c>
      <c r="E290" s="35" t="s">
        <v>2</v>
      </c>
      <c r="F290" s="99"/>
      <c r="G290" s="35"/>
      <c r="H290" s="35"/>
      <c r="I290" s="35"/>
      <c r="J290" s="35"/>
      <c r="L290" s="35"/>
      <c r="M290" s="35"/>
    </row>
    <row r="291" spans="3:13" ht="25.8">
      <c r="C291" s="35"/>
      <c r="D291" s="35" t="s">
        <v>18</v>
      </c>
      <c r="E291" s="35" t="s">
        <v>2</v>
      </c>
      <c r="F291" s="99"/>
      <c r="G291" s="35"/>
      <c r="H291" s="35"/>
      <c r="I291" s="35"/>
      <c r="J291" s="35"/>
      <c r="L291" s="35"/>
      <c r="M291" s="35"/>
    </row>
    <row r="292" spans="3:13" ht="25.8">
      <c r="C292" s="35"/>
      <c r="D292" s="35" t="s">
        <v>18</v>
      </c>
      <c r="E292" s="35" t="s">
        <v>2</v>
      </c>
      <c r="F292" s="99"/>
      <c r="G292" s="35"/>
      <c r="H292" s="35"/>
      <c r="I292" s="35"/>
      <c r="J292" s="35"/>
      <c r="L292" s="35"/>
      <c r="M292" s="35"/>
    </row>
    <row r="293" spans="3:13" ht="25.8">
      <c r="C293" s="35"/>
      <c r="D293" s="35" t="s">
        <v>18</v>
      </c>
      <c r="E293" s="35" t="s">
        <v>2</v>
      </c>
      <c r="F293" s="99"/>
      <c r="G293" s="35"/>
      <c r="H293" s="35"/>
      <c r="I293" s="35"/>
      <c r="J293" s="35"/>
      <c r="L293" s="35"/>
      <c r="M293" s="35"/>
    </row>
    <row r="294" spans="3:13" ht="25.8">
      <c r="C294" s="35"/>
      <c r="D294" s="35" t="s">
        <v>18</v>
      </c>
      <c r="E294" s="35" t="s">
        <v>2</v>
      </c>
      <c r="F294" s="99"/>
      <c r="G294" s="35"/>
      <c r="H294" s="35"/>
      <c r="I294" s="35"/>
      <c r="J294" s="35"/>
      <c r="L294" s="35"/>
      <c r="M294" s="35"/>
    </row>
    <row r="295" spans="3:13" ht="25.8">
      <c r="C295" s="35"/>
      <c r="D295" s="35" t="s">
        <v>18</v>
      </c>
      <c r="E295" s="35" t="s">
        <v>2</v>
      </c>
      <c r="F295" s="99"/>
      <c r="G295" s="35"/>
      <c r="H295" s="35"/>
      <c r="I295" s="35"/>
      <c r="J295" s="35"/>
      <c r="L295" s="35"/>
      <c r="M295" s="35"/>
    </row>
    <row r="296" spans="3:13" ht="25.8">
      <c r="C296" s="35"/>
      <c r="D296" s="35" t="s">
        <v>18</v>
      </c>
      <c r="E296" s="35" t="s">
        <v>2</v>
      </c>
      <c r="F296" s="99"/>
      <c r="G296" s="35"/>
      <c r="H296" s="35"/>
      <c r="I296" s="35"/>
      <c r="J296" s="35"/>
      <c r="L296" s="35"/>
      <c r="M296" s="35"/>
    </row>
    <row r="297" spans="3:13" ht="25.8">
      <c r="C297" s="35"/>
      <c r="D297" s="35" t="s">
        <v>18</v>
      </c>
      <c r="E297" s="35" t="s">
        <v>2</v>
      </c>
      <c r="F297" s="99"/>
      <c r="G297" s="35"/>
      <c r="H297" s="35"/>
      <c r="I297" s="35"/>
      <c r="J297" s="35"/>
      <c r="L297" s="35"/>
      <c r="M297" s="35"/>
    </row>
    <row r="298" spans="3:13" ht="25.8">
      <c r="C298" s="35"/>
      <c r="D298" s="35" t="s">
        <v>18</v>
      </c>
      <c r="E298" s="35" t="s">
        <v>2</v>
      </c>
      <c r="F298" s="99"/>
      <c r="G298" s="35"/>
      <c r="H298" s="35"/>
      <c r="I298" s="35"/>
      <c r="J298" s="35"/>
      <c r="L298" s="35"/>
      <c r="M298" s="35"/>
    </row>
    <row r="299" spans="3:13" ht="25.8">
      <c r="C299" s="35"/>
      <c r="D299" s="35" t="s">
        <v>18</v>
      </c>
      <c r="E299" s="35" t="s">
        <v>2</v>
      </c>
      <c r="F299" s="99"/>
      <c r="G299" s="35"/>
      <c r="H299" s="35"/>
      <c r="I299" s="35"/>
      <c r="J299" s="35"/>
      <c r="L299" s="35"/>
      <c r="M299" s="35"/>
    </row>
    <row r="300" spans="3:13" ht="25.8">
      <c r="C300" s="35"/>
      <c r="D300" s="35" t="s">
        <v>18</v>
      </c>
      <c r="E300" s="35" t="s">
        <v>2</v>
      </c>
      <c r="F300" s="99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00">
    <cfRule type="containsText" dxfId="113" priority="10" operator="containsText" text="Blue">
      <formula>NOT(ISERROR(SEARCH("Blue",F7)))</formula>
    </cfRule>
    <cfRule type="containsText" dxfId="112" priority="13" operator="containsText" text="Dark Green">
      <formula>NOT(ISERROR(SEARCH("Dark Green",F7)))</formula>
    </cfRule>
    <cfRule type="containsText" dxfId="111" priority="15" operator="containsText" text="Green">
      <formula>NOT(ISERROR(SEARCH("Green",F7)))</formula>
    </cfRule>
    <cfRule type="containsText" dxfId="110" priority="16" operator="containsText" text="Red">
      <formula>NOT(ISERROR(SEARCH("Red",F7)))</formula>
    </cfRule>
    <cfRule type="containsText" dxfId="109" priority="18" operator="containsText" text="Orange">
      <formula>NOT(ISERROR(SEARCH("Orange",F7)))</formula>
    </cfRule>
    <cfRule type="containsText" dxfId="108" priority="19" operator="containsText" text="Purple">
      <formula>NOT(ISERROR(SEARCH("Purple",F7)))</formula>
    </cfRule>
  </conditionalFormatting>
  <conditionalFormatting sqref="J1:J1048576">
    <cfRule type="beginsWith" dxfId="107" priority="2" operator="beginsWith" text="0">
      <formula>LEFT(J1,LEN("0"))="0"</formula>
    </cfRule>
  </conditionalFormatting>
  <conditionalFormatting sqref="I1:I1048576">
    <cfRule type="beginsWith" dxfId="106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N330"/>
  <sheetViews>
    <sheetView zoomScale="70" zoomScaleNormal="70" workbookViewId="0">
      <selection activeCell="L14" sqref="L14"/>
    </sheetView>
  </sheetViews>
  <sheetFormatPr defaultRowHeight="14.4"/>
  <cols>
    <col min="3" max="3" width="41.44140625" customWidth="1"/>
    <col min="4" max="4" width="23.33203125" customWidth="1"/>
    <col min="5" max="5" width="21.109375" style="138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4" ht="25.8">
      <c r="C2" s="139" t="s">
        <v>6</v>
      </c>
      <c r="D2" s="139"/>
      <c r="E2" s="139"/>
      <c r="F2" s="139"/>
      <c r="G2" s="139"/>
      <c r="H2" s="139"/>
      <c r="I2" s="139"/>
      <c r="J2" s="139"/>
      <c r="K2" s="1"/>
    </row>
    <row r="3" spans="3:14" ht="27.75" customHeight="1">
      <c r="C3" s="139"/>
      <c r="D3" s="139"/>
      <c r="E3" s="139"/>
      <c r="F3" s="139"/>
      <c r="G3" s="139"/>
      <c r="H3" s="139"/>
      <c r="I3" s="139"/>
      <c r="J3" s="139"/>
      <c r="K3" s="1"/>
      <c r="L3" s="135" t="s">
        <v>16</v>
      </c>
      <c r="M3" s="135"/>
    </row>
    <row r="4" spans="3:14" ht="27.75" customHeight="1">
      <c r="C4" s="139"/>
      <c r="D4" s="139"/>
      <c r="E4" s="139"/>
      <c r="F4" s="139"/>
      <c r="G4" s="139"/>
      <c r="H4" s="139"/>
      <c r="I4" s="139"/>
      <c r="J4" s="139"/>
      <c r="K4" s="1"/>
      <c r="L4" s="136"/>
      <c r="M4" s="136"/>
    </row>
    <row r="5" spans="3:14" ht="25.8">
      <c r="C5" s="134"/>
      <c r="D5" s="134"/>
      <c r="E5" s="134"/>
      <c r="F5" s="134"/>
      <c r="G5" s="134"/>
      <c r="H5" s="134"/>
      <c r="I5" s="134"/>
      <c r="J5" s="134"/>
      <c r="K5" s="1"/>
      <c r="L5" s="140"/>
      <c r="M5" s="140"/>
    </row>
    <row r="6" spans="3:14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137" t="s">
        <v>14</v>
      </c>
      <c r="J6" s="137" t="s">
        <v>15</v>
      </c>
      <c r="K6" s="1"/>
      <c r="L6" s="122" t="s">
        <v>1</v>
      </c>
      <c r="M6" s="123" t="s">
        <v>0</v>
      </c>
    </row>
    <row r="7" spans="3:14" ht="25.8">
      <c r="C7" s="37">
        <v>46174</v>
      </c>
      <c r="D7" s="94" t="s">
        <v>18</v>
      </c>
      <c r="E7" s="112" t="s">
        <v>5</v>
      </c>
      <c r="F7" s="116" t="s">
        <v>55</v>
      </c>
      <c r="G7" s="94" t="s">
        <v>56</v>
      </c>
      <c r="H7" s="94" t="s">
        <v>89</v>
      </c>
      <c r="I7" s="130">
        <v>7466</v>
      </c>
      <c r="J7" s="130">
        <v>7466</v>
      </c>
      <c r="K7" s="1"/>
      <c r="L7" s="35"/>
      <c r="M7" s="35"/>
    </row>
    <row r="8" spans="3:14" ht="25.8">
      <c r="C8" s="37">
        <v>46174</v>
      </c>
      <c r="D8" s="94" t="s">
        <v>18</v>
      </c>
      <c r="E8" s="112" t="s">
        <v>5</v>
      </c>
      <c r="F8" s="116" t="s">
        <v>57</v>
      </c>
      <c r="G8" s="94" t="s">
        <v>56</v>
      </c>
      <c r="H8" s="94" t="s">
        <v>89</v>
      </c>
      <c r="I8" s="130">
        <v>7450</v>
      </c>
      <c r="J8" s="130">
        <v>7450</v>
      </c>
      <c r="K8" s="1"/>
      <c r="L8" s="35"/>
      <c r="M8" s="35"/>
    </row>
    <row r="9" spans="3:14" ht="25.8">
      <c r="C9" s="37">
        <v>46174</v>
      </c>
      <c r="D9" s="94" t="s">
        <v>18</v>
      </c>
      <c r="E9" s="112" t="s">
        <v>5</v>
      </c>
      <c r="F9" s="112" t="s">
        <v>36</v>
      </c>
      <c r="G9" s="94" t="s">
        <v>29</v>
      </c>
      <c r="H9" s="94" t="s">
        <v>89</v>
      </c>
      <c r="I9" s="130">
        <v>23928</v>
      </c>
      <c r="J9" s="130">
        <v>23928</v>
      </c>
      <c r="K9" s="1"/>
      <c r="L9" s="35"/>
      <c r="M9" s="35"/>
    </row>
    <row r="10" spans="3:14" ht="25.8">
      <c r="C10" s="37">
        <v>46174</v>
      </c>
      <c r="D10" s="94" t="s">
        <v>18</v>
      </c>
      <c r="E10" s="112" t="s">
        <v>5</v>
      </c>
      <c r="F10" s="112" t="s">
        <v>37</v>
      </c>
      <c r="G10" s="94" t="s">
        <v>29</v>
      </c>
      <c r="H10" s="94" t="s">
        <v>89</v>
      </c>
      <c r="I10" s="130">
        <v>20251</v>
      </c>
      <c r="J10" s="130">
        <v>20251</v>
      </c>
      <c r="K10" s="1"/>
      <c r="L10" s="35"/>
      <c r="M10" s="35"/>
    </row>
    <row r="11" spans="3:14" ht="25.8">
      <c r="C11" s="37">
        <v>46174</v>
      </c>
      <c r="D11" s="94" t="s">
        <v>18</v>
      </c>
      <c r="E11" s="112" t="s">
        <v>5</v>
      </c>
      <c r="F11" s="112" t="s">
        <v>42</v>
      </c>
      <c r="G11" s="94" t="s">
        <v>29</v>
      </c>
      <c r="H11" s="94" t="s">
        <v>89</v>
      </c>
      <c r="I11" s="130">
        <v>5223</v>
      </c>
      <c r="J11" s="130">
        <v>5223</v>
      </c>
      <c r="K11" s="1"/>
      <c r="L11" s="35"/>
      <c r="M11" s="35"/>
    </row>
    <row r="12" spans="3:14" ht="25.8">
      <c r="C12" s="37">
        <v>46174</v>
      </c>
      <c r="D12" s="94" t="s">
        <v>18</v>
      </c>
      <c r="E12" s="112" t="s">
        <v>5</v>
      </c>
      <c r="F12" s="112" t="s">
        <v>24</v>
      </c>
      <c r="G12" s="94" t="s">
        <v>29</v>
      </c>
      <c r="H12" s="94" t="s">
        <v>89</v>
      </c>
      <c r="I12" s="130">
        <v>6397</v>
      </c>
      <c r="J12" s="130">
        <v>6397</v>
      </c>
      <c r="K12" s="125"/>
      <c r="L12" s="94"/>
      <c r="M12" s="94"/>
      <c r="N12" s="126"/>
    </row>
    <row r="13" spans="3:14" ht="25.8">
      <c r="C13" s="37">
        <v>46174</v>
      </c>
      <c r="D13" s="94" t="s">
        <v>18</v>
      </c>
      <c r="E13" s="112" t="s">
        <v>5</v>
      </c>
      <c r="F13" s="116" t="s">
        <v>58</v>
      </c>
      <c r="G13" s="94" t="s">
        <v>29</v>
      </c>
      <c r="H13" s="94" t="s">
        <v>89</v>
      </c>
      <c r="I13" s="130">
        <v>4805</v>
      </c>
      <c r="J13" s="130">
        <v>4805</v>
      </c>
      <c r="K13" s="125"/>
      <c r="L13" s="94"/>
      <c r="M13" s="94"/>
      <c r="N13" s="126"/>
    </row>
    <row r="14" spans="3:14" ht="25.8">
      <c r="C14" s="111"/>
      <c r="D14" s="94" t="s">
        <v>18</v>
      </c>
      <c r="E14" s="112" t="s">
        <v>5</v>
      </c>
      <c r="F14" s="112"/>
      <c r="G14" s="94"/>
      <c r="H14" s="94"/>
      <c r="I14" s="130"/>
      <c r="J14" s="130"/>
      <c r="K14" s="125"/>
      <c r="L14" s="94"/>
      <c r="M14" s="94"/>
      <c r="N14" s="126"/>
    </row>
    <row r="15" spans="3:14" ht="25.8">
      <c r="C15" s="111"/>
      <c r="D15" s="94" t="s">
        <v>18</v>
      </c>
      <c r="E15" s="112" t="s">
        <v>5</v>
      </c>
      <c r="F15" s="112"/>
      <c r="G15" s="94"/>
      <c r="H15" s="94"/>
      <c r="I15" s="130"/>
      <c r="J15" s="130"/>
      <c r="K15" s="125"/>
      <c r="L15" s="94"/>
      <c r="M15" s="94"/>
      <c r="N15" s="126"/>
    </row>
    <row r="16" spans="3:14" ht="25.8">
      <c r="C16" s="111"/>
      <c r="D16" s="94" t="s">
        <v>18</v>
      </c>
      <c r="E16" s="112" t="s">
        <v>5</v>
      </c>
      <c r="F16" s="112"/>
      <c r="G16" s="94"/>
      <c r="H16" s="94"/>
      <c r="I16" s="130"/>
      <c r="J16" s="130"/>
      <c r="K16" s="125"/>
      <c r="L16" s="94"/>
      <c r="M16" s="94"/>
      <c r="N16" s="126"/>
    </row>
    <row r="17" spans="3:14" ht="25.8">
      <c r="C17" s="111"/>
      <c r="D17" s="94" t="s">
        <v>18</v>
      </c>
      <c r="E17" s="112" t="s">
        <v>5</v>
      </c>
      <c r="F17" s="112"/>
      <c r="G17" s="94"/>
      <c r="H17" s="94"/>
      <c r="I17" s="130"/>
      <c r="J17" s="130"/>
      <c r="K17" s="125"/>
      <c r="L17" s="94"/>
      <c r="M17" s="94"/>
      <c r="N17" s="126"/>
    </row>
    <row r="18" spans="3:14" ht="25.8">
      <c r="C18" s="111"/>
      <c r="D18" s="94" t="s">
        <v>18</v>
      </c>
      <c r="E18" s="112" t="s">
        <v>5</v>
      </c>
      <c r="F18" s="112"/>
      <c r="G18" s="94"/>
      <c r="H18" s="94"/>
      <c r="I18" s="130"/>
      <c r="J18" s="130"/>
      <c r="K18" s="125"/>
      <c r="L18" s="94"/>
      <c r="M18" s="94"/>
      <c r="N18" s="126"/>
    </row>
    <row r="19" spans="3:14" ht="25.8">
      <c r="C19" s="111"/>
      <c r="D19" s="94" t="s">
        <v>18</v>
      </c>
      <c r="E19" s="112" t="s">
        <v>5</v>
      </c>
      <c r="F19" s="112"/>
      <c r="G19" s="94"/>
      <c r="H19" s="94"/>
      <c r="I19" s="130"/>
      <c r="J19" s="130"/>
      <c r="K19" s="125"/>
      <c r="L19" s="94"/>
      <c r="M19" s="94"/>
      <c r="N19" s="126"/>
    </row>
    <row r="20" spans="3:14" ht="25.8">
      <c r="C20" s="111"/>
      <c r="D20" s="94" t="s">
        <v>18</v>
      </c>
      <c r="E20" s="112" t="s">
        <v>5</v>
      </c>
      <c r="F20" s="112"/>
      <c r="G20" s="94"/>
      <c r="H20" s="94"/>
      <c r="I20" s="130"/>
      <c r="J20" s="130"/>
      <c r="K20" s="125"/>
      <c r="L20" s="94"/>
      <c r="M20" s="94"/>
      <c r="N20" s="126"/>
    </row>
    <row r="21" spans="3:14" ht="26.25" customHeight="1">
      <c r="C21" s="111"/>
      <c r="D21" s="94" t="s">
        <v>18</v>
      </c>
      <c r="E21" s="112" t="s">
        <v>5</v>
      </c>
      <c r="F21" s="112"/>
      <c r="G21" s="94"/>
      <c r="H21" s="94"/>
      <c r="I21" s="130"/>
      <c r="J21" s="130"/>
      <c r="K21" s="125"/>
      <c r="L21" s="94"/>
      <c r="M21" s="94"/>
      <c r="N21" s="126"/>
    </row>
    <row r="22" spans="3:14" ht="26.25" customHeight="1">
      <c r="C22" s="111"/>
      <c r="D22" s="94" t="s">
        <v>18</v>
      </c>
      <c r="E22" s="112" t="s">
        <v>5</v>
      </c>
      <c r="F22" s="112"/>
      <c r="G22" s="94"/>
      <c r="H22" s="94"/>
      <c r="I22" s="130"/>
      <c r="J22" s="130"/>
      <c r="K22" s="125"/>
      <c r="L22" s="94"/>
      <c r="M22" s="94"/>
      <c r="N22" s="126"/>
    </row>
    <row r="23" spans="3:14" ht="26.25" customHeight="1">
      <c r="C23" s="111"/>
      <c r="D23" s="94" t="s">
        <v>18</v>
      </c>
      <c r="E23" s="112" t="s">
        <v>5</v>
      </c>
      <c r="F23" s="112"/>
      <c r="G23" s="94"/>
      <c r="H23" s="94"/>
      <c r="I23" s="130"/>
      <c r="J23" s="130"/>
      <c r="K23" s="125"/>
      <c r="L23" s="94"/>
      <c r="M23" s="94"/>
      <c r="N23" s="126"/>
    </row>
    <row r="24" spans="3:14" ht="26.25" customHeight="1">
      <c r="C24" s="111"/>
      <c r="D24" s="94" t="s">
        <v>18</v>
      </c>
      <c r="E24" s="112" t="s">
        <v>5</v>
      </c>
      <c r="F24" s="112"/>
      <c r="G24" s="94"/>
      <c r="H24" s="94"/>
      <c r="I24" s="130"/>
      <c r="J24" s="130"/>
      <c r="K24" s="125"/>
      <c r="L24" s="94"/>
      <c r="M24" s="94"/>
      <c r="N24" s="126"/>
    </row>
    <row r="25" spans="3:14" ht="26.25" customHeight="1">
      <c r="C25" s="111"/>
      <c r="D25" s="94" t="s">
        <v>18</v>
      </c>
      <c r="E25" s="112" t="s">
        <v>5</v>
      </c>
      <c r="F25" s="112"/>
      <c r="G25" s="94"/>
      <c r="H25" s="94"/>
      <c r="I25" s="130"/>
      <c r="J25" s="130"/>
      <c r="K25" s="125"/>
      <c r="L25" s="94"/>
      <c r="M25" s="94"/>
      <c r="N25" s="126"/>
    </row>
    <row r="26" spans="3:14" ht="26.25" customHeight="1">
      <c r="C26" s="111"/>
      <c r="D26" s="94" t="s">
        <v>18</v>
      </c>
      <c r="E26" s="112" t="s">
        <v>5</v>
      </c>
      <c r="F26" s="112"/>
      <c r="G26" s="94"/>
      <c r="H26" s="94"/>
      <c r="I26" s="130"/>
      <c r="J26" s="130"/>
      <c r="K26" s="125"/>
      <c r="L26" s="94"/>
      <c r="M26" s="94"/>
      <c r="N26" s="126"/>
    </row>
    <row r="27" spans="3:14" ht="26.25" customHeight="1">
      <c r="C27" s="111"/>
      <c r="D27" s="94" t="s">
        <v>18</v>
      </c>
      <c r="E27" s="112" t="s">
        <v>5</v>
      </c>
      <c r="F27" s="112"/>
      <c r="G27" s="94"/>
      <c r="H27" s="94"/>
      <c r="I27" s="130"/>
      <c r="J27" s="130"/>
      <c r="K27" s="125"/>
      <c r="L27" s="94"/>
      <c r="M27" s="94"/>
      <c r="N27" s="126"/>
    </row>
    <row r="28" spans="3:14" ht="26.25" customHeight="1">
      <c r="C28" s="106"/>
      <c r="D28" s="94" t="s">
        <v>18</v>
      </c>
      <c r="E28" s="112" t="s">
        <v>5</v>
      </c>
      <c r="F28" s="112"/>
      <c r="G28" s="94"/>
      <c r="H28" s="94"/>
      <c r="I28" s="130"/>
      <c r="J28" s="130"/>
      <c r="K28" s="125"/>
      <c r="L28" s="94"/>
      <c r="M28" s="94"/>
      <c r="N28" s="126"/>
    </row>
    <row r="29" spans="3:14" ht="26.25" customHeight="1">
      <c r="C29" s="106"/>
      <c r="D29" s="94" t="s">
        <v>18</v>
      </c>
      <c r="E29" s="112" t="s">
        <v>5</v>
      </c>
      <c r="F29" s="112"/>
      <c r="G29" s="94"/>
      <c r="H29" s="94"/>
      <c r="I29" s="130"/>
      <c r="J29" s="130"/>
      <c r="K29" s="125"/>
      <c r="L29" s="94"/>
      <c r="M29" s="94"/>
      <c r="N29" s="126"/>
    </row>
    <row r="30" spans="3:14" ht="26.25" customHeight="1">
      <c r="C30" s="106"/>
      <c r="D30" s="94" t="s">
        <v>18</v>
      </c>
      <c r="E30" s="112" t="s">
        <v>5</v>
      </c>
      <c r="F30" s="112"/>
      <c r="G30" s="94"/>
      <c r="H30" s="94"/>
      <c r="I30" s="130"/>
      <c r="J30" s="130"/>
      <c r="K30" s="125"/>
      <c r="L30" s="94"/>
      <c r="M30" s="94"/>
      <c r="N30" s="126"/>
    </row>
    <row r="31" spans="3:14" ht="26.25" customHeight="1">
      <c r="C31" s="111"/>
      <c r="D31" s="94" t="s">
        <v>18</v>
      </c>
      <c r="E31" s="112" t="s">
        <v>5</v>
      </c>
      <c r="F31" s="112"/>
      <c r="G31" s="94"/>
      <c r="H31" s="94"/>
      <c r="I31" s="130"/>
      <c r="J31" s="130"/>
      <c r="K31" s="125"/>
      <c r="L31" s="94"/>
      <c r="M31" s="94"/>
      <c r="N31" s="126"/>
    </row>
    <row r="32" spans="3:14" ht="26.25" customHeight="1">
      <c r="C32" s="111"/>
      <c r="D32" s="94" t="s">
        <v>18</v>
      </c>
      <c r="E32" s="112" t="s">
        <v>5</v>
      </c>
      <c r="F32" s="112"/>
      <c r="G32" s="94"/>
      <c r="H32" s="94"/>
      <c r="I32" s="130"/>
      <c r="J32" s="130"/>
      <c r="K32" s="125"/>
      <c r="L32" s="94"/>
      <c r="M32" s="94"/>
      <c r="N32" s="126"/>
    </row>
    <row r="33" spans="3:14" ht="26.25" customHeight="1">
      <c r="C33" s="111"/>
      <c r="D33" s="94" t="s">
        <v>18</v>
      </c>
      <c r="E33" s="112" t="s">
        <v>5</v>
      </c>
      <c r="F33" s="112"/>
      <c r="G33" s="94"/>
      <c r="H33" s="94"/>
      <c r="I33" s="130"/>
      <c r="J33" s="130"/>
      <c r="K33" s="125"/>
      <c r="L33" s="94"/>
      <c r="M33" s="94"/>
      <c r="N33" s="126"/>
    </row>
    <row r="34" spans="3:14" ht="26.25" customHeight="1">
      <c r="C34" s="111"/>
      <c r="D34" s="94" t="s">
        <v>18</v>
      </c>
      <c r="E34" s="112" t="s">
        <v>5</v>
      </c>
      <c r="F34" s="112"/>
      <c r="G34" s="94"/>
      <c r="H34" s="94"/>
      <c r="I34" s="130"/>
      <c r="J34" s="130"/>
      <c r="K34" s="125"/>
      <c r="L34" s="94"/>
      <c r="M34" s="94"/>
      <c r="N34" s="126"/>
    </row>
    <row r="35" spans="3:14" ht="26.25" customHeight="1">
      <c r="C35" s="111"/>
      <c r="D35" s="94" t="s">
        <v>18</v>
      </c>
      <c r="E35" s="112" t="s">
        <v>5</v>
      </c>
      <c r="F35" s="116"/>
      <c r="G35" s="94"/>
      <c r="H35" s="94"/>
      <c r="I35" s="130"/>
      <c r="J35" s="130"/>
      <c r="K35" s="125"/>
      <c r="L35" s="94"/>
      <c r="M35" s="94"/>
      <c r="N35" s="126"/>
    </row>
    <row r="36" spans="3:14" ht="26.25" customHeight="1">
      <c r="C36" s="111"/>
      <c r="D36" s="94" t="s">
        <v>18</v>
      </c>
      <c r="E36" s="112" t="s">
        <v>5</v>
      </c>
      <c r="F36" s="112"/>
      <c r="G36" s="94"/>
      <c r="H36" s="94"/>
      <c r="I36" s="130"/>
      <c r="J36" s="130"/>
      <c r="K36" s="125"/>
      <c r="L36" s="94"/>
      <c r="M36" s="94"/>
      <c r="N36" s="126"/>
    </row>
    <row r="37" spans="3:14" ht="26.25" customHeight="1">
      <c r="C37" s="111"/>
      <c r="D37" s="94" t="s">
        <v>18</v>
      </c>
      <c r="E37" s="112" t="s">
        <v>5</v>
      </c>
      <c r="F37" s="112"/>
      <c r="G37" s="94"/>
      <c r="H37" s="94"/>
      <c r="I37" s="130"/>
      <c r="J37" s="130"/>
      <c r="K37" s="125"/>
      <c r="L37" s="94"/>
      <c r="M37" s="94"/>
      <c r="N37" s="126"/>
    </row>
    <row r="38" spans="3:14" ht="25.8">
      <c r="C38" s="111"/>
      <c r="D38" s="94" t="s">
        <v>18</v>
      </c>
      <c r="E38" s="112" t="s">
        <v>5</v>
      </c>
      <c r="F38" s="94"/>
      <c r="G38" s="94"/>
      <c r="H38" s="94"/>
      <c r="I38" s="130"/>
      <c r="J38" s="130"/>
      <c r="K38" s="126"/>
      <c r="L38" s="94"/>
      <c r="M38" s="94"/>
      <c r="N38" s="126"/>
    </row>
    <row r="39" spans="3:14" ht="25.8">
      <c r="C39" s="111"/>
      <c r="D39" s="94" t="s">
        <v>18</v>
      </c>
      <c r="E39" s="112" t="s">
        <v>5</v>
      </c>
      <c r="F39" s="94"/>
      <c r="G39" s="94"/>
      <c r="H39" s="94"/>
      <c r="I39" s="130"/>
      <c r="J39" s="130"/>
      <c r="K39" s="126"/>
      <c r="L39" s="94"/>
      <c r="M39" s="94"/>
      <c r="N39" s="126"/>
    </row>
    <row r="40" spans="3:14" ht="25.8">
      <c r="C40" s="111"/>
      <c r="D40" s="94" t="s">
        <v>18</v>
      </c>
      <c r="E40" s="112" t="s">
        <v>5</v>
      </c>
      <c r="F40" s="94"/>
      <c r="G40" s="94"/>
      <c r="H40" s="94"/>
      <c r="I40" s="130"/>
      <c r="J40" s="130"/>
      <c r="K40" s="126"/>
      <c r="L40" s="94"/>
      <c r="M40" s="94"/>
      <c r="N40" s="126"/>
    </row>
    <row r="41" spans="3:14" ht="25.8">
      <c r="C41" s="111"/>
      <c r="D41" s="94" t="s">
        <v>18</v>
      </c>
      <c r="E41" s="112" t="s">
        <v>5</v>
      </c>
      <c r="F41" s="94"/>
      <c r="G41" s="94"/>
      <c r="H41" s="94"/>
      <c r="I41" s="130"/>
      <c r="J41" s="130"/>
      <c r="K41" s="126"/>
      <c r="L41" s="94"/>
      <c r="M41" s="94"/>
      <c r="N41" s="126"/>
    </row>
    <row r="42" spans="3:14" ht="25.8">
      <c r="C42" s="111"/>
      <c r="D42" s="94" t="s">
        <v>18</v>
      </c>
      <c r="E42" s="112" t="s">
        <v>5</v>
      </c>
      <c r="F42" s="94"/>
      <c r="G42" s="94"/>
      <c r="H42" s="94"/>
      <c r="I42" s="130"/>
      <c r="J42" s="130"/>
      <c r="K42" s="126"/>
      <c r="L42" s="94"/>
      <c r="M42" s="94"/>
      <c r="N42" s="126"/>
    </row>
    <row r="43" spans="3:14" ht="25.8">
      <c r="C43" s="111"/>
      <c r="D43" s="94" t="s">
        <v>18</v>
      </c>
      <c r="E43" s="112" t="s">
        <v>5</v>
      </c>
      <c r="F43" s="94"/>
      <c r="G43" s="94"/>
      <c r="H43" s="94"/>
      <c r="I43" s="130"/>
      <c r="J43" s="130"/>
      <c r="K43" s="126"/>
      <c r="L43" s="94"/>
      <c r="M43" s="94"/>
      <c r="N43" s="126"/>
    </row>
    <row r="44" spans="3:14" ht="25.8">
      <c r="C44" s="111"/>
      <c r="D44" s="94" t="s">
        <v>18</v>
      </c>
      <c r="E44" s="112" t="s">
        <v>5</v>
      </c>
      <c r="F44" s="94"/>
      <c r="G44" s="94"/>
      <c r="H44" s="94"/>
      <c r="I44" s="130"/>
      <c r="J44" s="130"/>
      <c r="K44" s="126"/>
      <c r="L44" s="94"/>
      <c r="M44" s="94"/>
      <c r="N44" s="126"/>
    </row>
    <row r="45" spans="3:14" ht="25.8">
      <c r="C45" s="111"/>
      <c r="D45" s="94" t="s">
        <v>18</v>
      </c>
      <c r="E45" s="112" t="s">
        <v>5</v>
      </c>
      <c r="F45" s="94"/>
      <c r="G45" s="94"/>
      <c r="H45" s="94"/>
      <c r="I45" s="130"/>
      <c r="J45" s="130"/>
      <c r="K45" s="126"/>
      <c r="L45" s="94"/>
      <c r="M45" s="94"/>
      <c r="N45" s="126"/>
    </row>
    <row r="46" spans="3:14" ht="25.8">
      <c r="C46" s="111"/>
      <c r="D46" s="94" t="s">
        <v>18</v>
      </c>
      <c r="E46" s="112" t="s">
        <v>5</v>
      </c>
      <c r="F46" s="94"/>
      <c r="G46" s="94"/>
      <c r="H46" s="94"/>
      <c r="I46" s="130"/>
      <c r="J46" s="130"/>
      <c r="K46" s="126"/>
      <c r="L46" s="94"/>
      <c r="M46" s="94"/>
      <c r="N46" s="126"/>
    </row>
    <row r="47" spans="3:14" ht="25.8">
      <c r="C47" s="106"/>
      <c r="D47" s="94" t="s">
        <v>18</v>
      </c>
      <c r="E47" s="112" t="s">
        <v>5</v>
      </c>
      <c r="F47" s="95"/>
      <c r="G47" s="95"/>
      <c r="H47" s="95"/>
      <c r="I47" s="133"/>
      <c r="J47" s="133"/>
      <c r="K47" s="126"/>
      <c r="L47" s="95"/>
      <c r="M47" s="95"/>
      <c r="N47" s="126"/>
    </row>
    <row r="48" spans="3:14" ht="25.8">
      <c r="C48" s="111"/>
      <c r="D48" s="94" t="s">
        <v>18</v>
      </c>
      <c r="E48" s="112" t="s">
        <v>5</v>
      </c>
      <c r="F48" s="94"/>
      <c r="G48" s="94"/>
      <c r="H48" s="94"/>
      <c r="I48" s="130"/>
      <c r="J48" s="130"/>
      <c r="K48" s="126"/>
      <c r="L48" s="94"/>
      <c r="M48" s="94"/>
      <c r="N48" s="126"/>
    </row>
    <row r="49" spans="3:14" ht="25.8">
      <c r="C49" s="106"/>
      <c r="D49" s="94" t="s">
        <v>18</v>
      </c>
      <c r="E49" s="112" t="s">
        <v>5</v>
      </c>
      <c r="F49" s="95"/>
      <c r="G49" s="95"/>
      <c r="H49" s="95"/>
      <c r="I49" s="133"/>
      <c r="J49" s="133"/>
      <c r="K49" s="126"/>
      <c r="L49" s="95"/>
      <c r="M49" s="95"/>
      <c r="N49" s="126"/>
    </row>
    <row r="50" spans="3:14" ht="25.8">
      <c r="C50" s="111"/>
      <c r="D50" s="94" t="s">
        <v>18</v>
      </c>
      <c r="E50" s="112" t="s">
        <v>5</v>
      </c>
      <c r="F50" s="94"/>
      <c r="G50" s="94"/>
      <c r="H50" s="94"/>
      <c r="I50" s="130"/>
      <c r="J50" s="130"/>
      <c r="K50" s="126"/>
      <c r="L50" s="94"/>
      <c r="M50" s="94"/>
      <c r="N50" s="126"/>
    </row>
    <row r="51" spans="3:14" ht="25.8">
      <c r="C51" s="111"/>
      <c r="D51" s="94" t="s">
        <v>18</v>
      </c>
      <c r="E51" s="112" t="s">
        <v>5</v>
      </c>
      <c r="F51" s="94"/>
      <c r="G51" s="94"/>
      <c r="H51" s="94"/>
      <c r="I51" s="130"/>
      <c r="J51" s="130"/>
      <c r="K51" s="126"/>
      <c r="L51" s="94"/>
      <c r="M51" s="94"/>
      <c r="N51" s="126"/>
    </row>
    <row r="52" spans="3:14" ht="25.8">
      <c r="C52" s="111"/>
      <c r="D52" s="94" t="s">
        <v>18</v>
      </c>
      <c r="E52" s="112" t="s">
        <v>5</v>
      </c>
      <c r="F52" s="94"/>
      <c r="G52" s="94"/>
      <c r="H52" s="94"/>
      <c r="I52" s="130"/>
      <c r="J52" s="130"/>
      <c r="K52" s="126"/>
      <c r="L52" s="94"/>
      <c r="M52" s="94"/>
      <c r="N52" s="126"/>
    </row>
    <row r="53" spans="3:14" ht="25.8">
      <c r="C53" s="111"/>
      <c r="D53" s="94" t="s">
        <v>18</v>
      </c>
      <c r="E53" s="112" t="s">
        <v>5</v>
      </c>
      <c r="F53" s="94"/>
      <c r="G53" s="94"/>
      <c r="H53" s="94"/>
      <c r="I53" s="130"/>
      <c r="J53" s="130"/>
      <c r="K53" s="126"/>
      <c r="L53" s="94"/>
      <c r="M53" s="94"/>
      <c r="N53" s="126"/>
    </row>
    <row r="54" spans="3:14" ht="25.8">
      <c r="C54" s="111"/>
      <c r="D54" s="94" t="s">
        <v>18</v>
      </c>
      <c r="E54" s="112" t="s">
        <v>5</v>
      </c>
      <c r="F54" s="94"/>
      <c r="G54" s="94"/>
      <c r="H54" s="94"/>
      <c r="I54" s="130"/>
      <c r="J54" s="130"/>
      <c r="K54" s="126"/>
      <c r="L54" s="94"/>
      <c r="M54" s="94"/>
      <c r="N54" s="126"/>
    </row>
    <row r="55" spans="3:14" ht="25.8">
      <c r="C55" s="111"/>
      <c r="D55" s="94" t="s">
        <v>18</v>
      </c>
      <c r="E55" s="112" t="s">
        <v>5</v>
      </c>
      <c r="F55" s="94"/>
      <c r="G55" s="94"/>
      <c r="H55" s="94"/>
      <c r="I55" s="130"/>
      <c r="J55" s="130"/>
      <c r="L55" s="35"/>
      <c r="M55" s="35"/>
    </row>
    <row r="56" spans="3:14" ht="25.8">
      <c r="C56" s="111"/>
      <c r="D56" s="94" t="s">
        <v>18</v>
      </c>
      <c r="E56" s="112" t="s">
        <v>5</v>
      </c>
      <c r="F56" s="94"/>
      <c r="G56" s="94"/>
      <c r="H56" s="94"/>
      <c r="I56" s="130"/>
      <c r="J56" s="130"/>
      <c r="L56" s="35"/>
      <c r="M56" s="35"/>
    </row>
    <row r="57" spans="3:14" ht="25.8">
      <c r="C57" s="111"/>
      <c r="D57" s="94" t="s">
        <v>18</v>
      </c>
      <c r="E57" s="112" t="s">
        <v>5</v>
      </c>
      <c r="F57" s="94"/>
      <c r="G57" s="94"/>
      <c r="H57" s="94"/>
      <c r="I57" s="130"/>
      <c r="J57" s="130"/>
      <c r="L57" s="35"/>
      <c r="M57" s="35"/>
    </row>
    <row r="58" spans="3:14" ht="25.8">
      <c r="C58" s="111"/>
      <c r="D58" s="94" t="s">
        <v>18</v>
      </c>
      <c r="E58" s="112" t="s">
        <v>5</v>
      </c>
      <c r="F58" s="94"/>
      <c r="G58" s="94"/>
      <c r="H58" s="94"/>
      <c r="I58" s="130"/>
      <c r="J58" s="130"/>
      <c r="L58" s="35"/>
      <c r="M58" s="35"/>
    </row>
    <row r="59" spans="3:14" ht="25.8">
      <c r="C59" s="111"/>
      <c r="D59" s="94" t="s">
        <v>18</v>
      </c>
      <c r="E59" s="112" t="s">
        <v>5</v>
      </c>
      <c r="F59" s="94"/>
      <c r="G59" s="94"/>
      <c r="H59" s="94"/>
      <c r="I59" s="130"/>
      <c r="J59" s="130"/>
      <c r="L59" s="35"/>
      <c r="M59" s="35"/>
    </row>
    <row r="60" spans="3:14" ht="25.8">
      <c r="C60" s="111"/>
      <c r="D60" s="94" t="s">
        <v>18</v>
      </c>
      <c r="E60" s="112" t="s">
        <v>5</v>
      </c>
      <c r="F60" s="94"/>
      <c r="G60" s="94"/>
      <c r="H60" s="94"/>
      <c r="I60" s="130"/>
      <c r="J60" s="130"/>
      <c r="L60" s="35"/>
      <c r="M60" s="35"/>
    </row>
    <row r="61" spans="3:14" ht="25.8">
      <c r="C61" s="111"/>
      <c r="D61" s="94" t="s">
        <v>18</v>
      </c>
      <c r="E61" s="112" t="s">
        <v>5</v>
      </c>
      <c r="F61" s="94"/>
      <c r="G61" s="94"/>
      <c r="H61" s="94"/>
      <c r="I61" s="130"/>
      <c r="J61" s="130"/>
      <c r="L61" s="35"/>
      <c r="M61" s="35"/>
    </row>
    <row r="62" spans="3:14" ht="25.8">
      <c r="C62" s="111"/>
      <c r="D62" s="94" t="s">
        <v>18</v>
      </c>
      <c r="E62" s="112" t="s">
        <v>5</v>
      </c>
      <c r="F62" s="94"/>
      <c r="G62" s="94"/>
      <c r="H62" s="94"/>
      <c r="I62" s="130"/>
      <c r="J62" s="130"/>
      <c r="L62" s="35"/>
      <c r="M62" s="35"/>
    </row>
    <row r="63" spans="3:14" ht="25.8">
      <c r="C63" s="111"/>
      <c r="D63" s="94" t="s">
        <v>18</v>
      </c>
      <c r="E63" s="112" t="s">
        <v>5</v>
      </c>
      <c r="F63" s="94"/>
      <c r="G63" s="94"/>
      <c r="H63" s="94"/>
      <c r="I63" s="130"/>
      <c r="J63" s="130"/>
      <c r="L63" s="35"/>
      <c r="M63" s="35"/>
    </row>
    <row r="64" spans="3:14" ht="25.8">
      <c r="C64" s="111"/>
      <c r="D64" s="94" t="s">
        <v>18</v>
      </c>
      <c r="E64" s="112" t="s">
        <v>5</v>
      </c>
      <c r="F64" s="94"/>
      <c r="G64" s="94"/>
      <c r="H64" s="94"/>
      <c r="I64" s="130"/>
      <c r="J64" s="130"/>
      <c r="L64" s="35"/>
      <c r="M64" s="35"/>
    </row>
    <row r="65" spans="3:13" ht="25.8">
      <c r="C65" s="94"/>
      <c r="D65" s="94" t="s">
        <v>18</v>
      </c>
      <c r="E65" s="112" t="s">
        <v>5</v>
      </c>
      <c r="F65" s="94"/>
      <c r="G65" s="94"/>
      <c r="H65" s="94"/>
      <c r="I65" s="130"/>
      <c r="J65" s="130"/>
      <c r="L65" s="35"/>
      <c r="M65" s="35"/>
    </row>
    <row r="66" spans="3:13" ht="25.8">
      <c r="C66" s="94"/>
      <c r="D66" s="94" t="s">
        <v>18</v>
      </c>
      <c r="E66" s="112" t="s">
        <v>5</v>
      </c>
      <c r="F66" s="94"/>
      <c r="G66" s="94"/>
      <c r="H66" s="94"/>
      <c r="I66" s="130"/>
      <c r="J66" s="130"/>
      <c r="L66" s="35"/>
      <c r="M66" s="35"/>
    </row>
    <row r="67" spans="3:13" ht="25.8">
      <c r="C67" s="94"/>
      <c r="D67" s="94" t="s">
        <v>18</v>
      </c>
      <c r="E67" s="112" t="s">
        <v>5</v>
      </c>
      <c r="F67" s="94"/>
      <c r="G67" s="94"/>
      <c r="H67" s="94"/>
      <c r="I67" s="130"/>
      <c r="J67" s="130"/>
      <c r="L67" s="35"/>
      <c r="M67" s="35"/>
    </row>
    <row r="68" spans="3:13" ht="25.8">
      <c r="C68" s="94"/>
      <c r="D68" s="94" t="s">
        <v>18</v>
      </c>
      <c r="E68" s="112" t="s">
        <v>5</v>
      </c>
      <c r="F68" s="94"/>
      <c r="G68" s="94"/>
      <c r="H68" s="94"/>
      <c r="I68" s="130"/>
      <c r="J68" s="130"/>
      <c r="L68" s="35"/>
      <c r="M68" s="35"/>
    </row>
    <row r="69" spans="3:13" ht="25.8">
      <c r="C69" s="94"/>
      <c r="D69" s="94" t="s">
        <v>18</v>
      </c>
      <c r="E69" s="112" t="s">
        <v>5</v>
      </c>
      <c r="F69" s="94"/>
      <c r="G69" s="94"/>
      <c r="H69" s="94"/>
      <c r="I69" s="130"/>
      <c r="J69" s="130"/>
      <c r="L69" s="35"/>
      <c r="M69" s="35"/>
    </row>
    <row r="70" spans="3:13" ht="25.8">
      <c r="C70" s="94"/>
      <c r="D70" s="94" t="s">
        <v>18</v>
      </c>
      <c r="E70" s="112" t="s">
        <v>5</v>
      </c>
      <c r="F70" s="94"/>
      <c r="G70" s="94"/>
      <c r="H70" s="94"/>
      <c r="I70" s="130"/>
      <c r="J70" s="130"/>
      <c r="L70" s="35"/>
      <c r="M70" s="35"/>
    </row>
    <row r="71" spans="3:13" ht="25.8">
      <c r="C71" s="94"/>
      <c r="D71" s="94" t="s">
        <v>18</v>
      </c>
      <c r="E71" s="112" t="s">
        <v>5</v>
      </c>
      <c r="F71" s="94"/>
      <c r="G71" s="94"/>
      <c r="H71" s="94"/>
      <c r="I71" s="130"/>
      <c r="J71" s="130"/>
      <c r="L71" s="35"/>
      <c r="M71" s="35"/>
    </row>
    <row r="72" spans="3:13" ht="25.8">
      <c r="C72" s="35"/>
      <c r="D72" s="94" t="s">
        <v>18</v>
      </c>
      <c r="E72" s="112" t="s">
        <v>5</v>
      </c>
      <c r="F72" s="35"/>
      <c r="G72" s="35"/>
      <c r="H72" s="35"/>
      <c r="I72" s="36"/>
      <c r="J72" s="36"/>
      <c r="L72" s="2"/>
      <c r="M72" s="2"/>
    </row>
    <row r="73" spans="3:13" ht="25.8">
      <c r="C73" s="35"/>
      <c r="D73" s="94" t="s">
        <v>18</v>
      </c>
      <c r="E73" s="112" t="s">
        <v>5</v>
      </c>
      <c r="F73" s="35"/>
      <c r="G73" s="35"/>
      <c r="H73" s="35"/>
      <c r="I73" s="36"/>
      <c r="J73" s="36"/>
      <c r="L73" s="2"/>
      <c r="M73" s="2"/>
    </row>
    <row r="74" spans="3:13" ht="25.8">
      <c r="C74" s="35"/>
      <c r="D74" s="94" t="s">
        <v>18</v>
      </c>
      <c r="E74" s="112" t="s">
        <v>5</v>
      </c>
      <c r="F74" s="35"/>
      <c r="G74" s="35"/>
      <c r="H74" s="35"/>
      <c r="I74" s="36"/>
      <c r="J74" s="36"/>
      <c r="L74" s="2"/>
      <c r="M74" s="2"/>
    </row>
    <row r="75" spans="3:13" ht="25.8">
      <c r="C75" s="35"/>
      <c r="D75" s="94" t="s">
        <v>18</v>
      </c>
      <c r="E75" s="112" t="s">
        <v>5</v>
      </c>
      <c r="F75" s="35"/>
      <c r="G75" s="35"/>
      <c r="H75" s="35"/>
      <c r="I75" s="36"/>
      <c r="J75" s="36"/>
      <c r="L75" s="2"/>
      <c r="M75" s="2"/>
    </row>
    <row r="76" spans="3:13" ht="25.8">
      <c r="C76" s="35"/>
      <c r="D76" s="94" t="s">
        <v>18</v>
      </c>
      <c r="E76" s="112" t="s">
        <v>5</v>
      </c>
      <c r="F76" s="35"/>
      <c r="G76" s="35"/>
      <c r="H76" s="35"/>
      <c r="I76" s="36"/>
      <c r="J76" s="36"/>
      <c r="L76" s="2"/>
      <c r="M76" s="2"/>
    </row>
    <row r="77" spans="3:13" ht="25.8">
      <c r="C77" s="35"/>
      <c r="D77" s="94" t="s">
        <v>18</v>
      </c>
      <c r="E77" s="112" t="s">
        <v>5</v>
      </c>
      <c r="F77" s="35"/>
      <c r="G77" s="35"/>
      <c r="H77" s="35"/>
      <c r="I77" s="36"/>
      <c r="J77" s="36"/>
      <c r="L77" s="2"/>
      <c r="M77" s="2"/>
    </row>
    <row r="78" spans="3:13" ht="25.8">
      <c r="C78" s="35"/>
      <c r="D78" s="94" t="s">
        <v>18</v>
      </c>
      <c r="E78" s="112" t="s">
        <v>5</v>
      </c>
      <c r="F78" s="35"/>
      <c r="G78" s="35"/>
      <c r="H78" s="35"/>
      <c r="I78" s="36"/>
      <c r="J78" s="36"/>
      <c r="L78" s="2"/>
      <c r="M78" s="2"/>
    </row>
    <row r="79" spans="3:13" ht="25.8">
      <c r="C79" s="35"/>
      <c r="D79" s="94" t="s">
        <v>18</v>
      </c>
      <c r="E79" s="112" t="s">
        <v>5</v>
      </c>
      <c r="F79" s="35"/>
      <c r="G79" s="35"/>
      <c r="H79" s="35"/>
      <c r="I79" s="36"/>
      <c r="J79" s="36"/>
      <c r="L79" s="2"/>
      <c r="M79" s="2"/>
    </row>
    <row r="80" spans="3:13" ht="25.8">
      <c r="C80" s="35"/>
      <c r="D80" s="94" t="s">
        <v>18</v>
      </c>
      <c r="E80" s="112" t="s">
        <v>5</v>
      </c>
      <c r="F80" s="35"/>
      <c r="G80" s="35"/>
      <c r="H80" s="35"/>
      <c r="I80" s="36"/>
      <c r="J80" s="36"/>
      <c r="L80" s="2"/>
      <c r="M80" s="2"/>
    </row>
    <row r="81" spans="3:13" ht="25.8">
      <c r="C81" s="35"/>
      <c r="D81" s="94" t="s">
        <v>18</v>
      </c>
      <c r="E81" s="112" t="s">
        <v>5</v>
      </c>
      <c r="F81" s="35"/>
      <c r="G81" s="35"/>
      <c r="H81" s="35"/>
      <c r="I81" s="36"/>
      <c r="J81" s="36"/>
      <c r="L81" s="2"/>
      <c r="M81" s="2"/>
    </row>
    <row r="82" spans="3:13" ht="25.8">
      <c r="C82" s="35"/>
      <c r="D82" s="94" t="s">
        <v>18</v>
      </c>
      <c r="E82" s="112" t="s">
        <v>5</v>
      </c>
      <c r="F82" s="35"/>
      <c r="G82" s="35"/>
      <c r="H82" s="35"/>
      <c r="I82" s="36"/>
      <c r="J82" s="36"/>
      <c r="L82" s="2"/>
      <c r="M82" s="2"/>
    </row>
    <row r="83" spans="3:13" ht="25.8">
      <c r="C83" s="35"/>
      <c r="D83" s="94" t="s">
        <v>18</v>
      </c>
      <c r="E83" s="112" t="s">
        <v>5</v>
      </c>
      <c r="F83" s="35"/>
      <c r="G83" s="35"/>
      <c r="H83" s="35"/>
      <c r="I83" s="36"/>
      <c r="J83" s="36"/>
      <c r="L83" s="2"/>
      <c r="M83" s="2"/>
    </row>
    <row r="84" spans="3:13" ht="25.8">
      <c r="C84" s="35"/>
      <c r="D84" s="94" t="s">
        <v>18</v>
      </c>
      <c r="E84" s="112" t="s">
        <v>5</v>
      </c>
      <c r="F84" s="35"/>
      <c r="G84" s="35"/>
      <c r="H84" s="35"/>
      <c r="I84" s="36"/>
      <c r="J84" s="36"/>
      <c r="L84" s="2"/>
      <c r="M84" s="2"/>
    </row>
    <row r="85" spans="3:13" ht="25.8">
      <c r="C85" s="35"/>
      <c r="D85" s="94" t="s">
        <v>18</v>
      </c>
      <c r="E85" s="112" t="s">
        <v>5</v>
      </c>
      <c r="F85" s="35"/>
      <c r="G85" s="35"/>
      <c r="H85" s="35"/>
      <c r="I85" s="36"/>
      <c r="J85" s="36"/>
      <c r="L85" s="2"/>
      <c r="M85" s="2"/>
    </row>
    <row r="86" spans="3:13" ht="25.8">
      <c r="C86" s="35"/>
      <c r="D86" s="94" t="s">
        <v>18</v>
      </c>
      <c r="E86" s="112" t="s">
        <v>5</v>
      </c>
      <c r="F86" s="35"/>
      <c r="G86" s="35"/>
      <c r="H86" s="35"/>
      <c r="I86" s="36"/>
      <c r="J86" s="36"/>
      <c r="L86" s="2"/>
      <c r="M86" s="2"/>
    </row>
    <row r="87" spans="3:13" ht="25.8">
      <c r="C87" s="35"/>
      <c r="D87" s="94" t="s">
        <v>18</v>
      </c>
      <c r="E87" s="112" t="s">
        <v>5</v>
      </c>
      <c r="F87" s="35"/>
      <c r="G87" s="35"/>
      <c r="H87" s="35"/>
      <c r="I87" s="36"/>
      <c r="J87" s="36"/>
      <c r="L87" s="2"/>
      <c r="M87" s="2"/>
    </row>
    <row r="88" spans="3:13" ht="25.8">
      <c r="C88" s="35"/>
      <c r="D88" s="94" t="s">
        <v>18</v>
      </c>
      <c r="E88" s="112" t="s">
        <v>5</v>
      </c>
      <c r="F88" s="35"/>
      <c r="G88" s="35"/>
      <c r="H88" s="35"/>
      <c r="I88" s="36"/>
      <c r="J88" s="36"/>
      <c r="L88" s="2"/>
      <c r="M88" s="2"/>
    </row>
    <row r="89" spans="3:13" ht="25.8">
      <c r="C89" s="35"/>
      <c r="D89" s="94" t="s">
        <v>18</v>
      </c>
      <c r="E89" s="112" t="s">
        <v>5</v>
      </c>
      <c r="F89" s="35"/>
      <c r="G89" s="35"/>
      <c r="H89" s="35"/>
      <c r="I89" s="36"/>
      <c r="J89" s="36"/>
      <c r="L89" s="2"/>
      <c r="M89" s="2"/>
    </row>
    <row r="90" spans="3:13" ht="25.8">
      <c r="C90" s="35"/>
      <c r="D90" s="94" t="s">
        <v>18</v>
      </c>
      <c r="E90" s="112" t="s">
        <v>5</v>
      </c>
      <c r="F90" s="35"/>
      <c r="G90" s="35"/>
      <c r="H90" s="35"/>
      <c r="I90" s="36"/>
      <c r="J90" s="36"/>
      <c r="L90" s="2"/>
      <c r="M90" s="2"/>
    </row>
    <row r="91" spans="3:13" ht="25.8">
      <c r="C91" s="35"/>
      <c r="D91" s="94" t="s">
        <v>18</v>
      </c>
      <c r="E91" s="112" t="s">
        <v>5</v>
      </c>
      <c r="F91" s="35"/>
      <c r="G91" s="35"/>
      <c r="H91" s="35"/>
      <c r="I91" s="36"/>
      <c r="J91" s="36"/>
      <c r="L91" s="2"/>
      <c r="M91" s="2"/>
    </row>
    <row r="92" spans="3:13" ht="25.8">
      <c r="C92" s="35"/>
      <c r="D92" s="94" t="s">
        <v>18</v>
      </c>
      <c r="E92" s="112" t="s">
        <v>5</v>
      </c>
      <c r="F92" s="35"/>
      <c r="G92" s="35"/>
      <c r="H92" s="35"/>
      <c r="I92" s="36"/>
      <c r="J92" s="36"/>
      <c r="L92" s="2"/>
      <c r="M92" s="2"/>
    </row>
    <row r="93" spans="3:13" ht="25.8">
      <c r="C93" s="35"/>
      <c r="D93" s="94" t="s">
        <v>18</v>
      </c>
      <c r="E93" s="112" t="s">
        <v>5</v>
      </c>
      <c r="F93" s="35"/>
      <c r="G93" s="35"/>
      <c r="H93" s="35"/>
      <c r="I93" s="36"/>
      <c r="J93" s="36"/>
      <c r="L93" s="2"/>
      <c r="M93" s="2"/>
    </row>
    <row r="94" spans="3:13" ht="25.8">
      <c r="C94" s="35"/>
      <c r="D94" s="94" t="s">
        <v>18</v>
      </c>
      <c r="E94" s="112" t="s">
        <v>5</v>
      </c>
      <c r="F94" s="35"/>
      <c r="G94" s="35"/>
      <c r="H94" s="35"/>
      <c r="I94" s="36"/>
      <c r="J94" s="36"/>
      <c r="L94" s="2"/>
      <c r="M94" s="2"/>
    </row>
    <row r="95" spans="3:13" ht="25.8">
      <c r="C95" s="35"/>
      <c r="D95" s="94" t="s">
        <v>18</v>
      </c>
      <c r="E95" s="112" t="s">
        <v>5</v>
      </c>
      <c r="F95" s="35"/>
      <c r="G95" s="35"/>
      <c r="H95" s="35"/>
      <c r="I95" s="36"/>
      <c r="J95" s="36"/>
      <c r="L95" s="2"/>
      <c r="M95" s="2"/>
    </row>
    <row r="96" spans="3:13" ht="25.8">
      <c r="C96" s="35"/>
      <c r="D96" s="94" t="s">
        <v>18</v>
      </c>
      <c r="E96" s="112" t="s">
        <v>5</v>
      </c>
      <c r="F96" s="35"/>
      <c r="G96" s="35"/>
      <c r="H96" s="35"/>
      <c r="I96" s="36"/>
      <c r="J96" s="36"/>
      <c r="L96" s="2"/>
      <c r="M96" s="2"/>
    </row>
    <row r="97" spans="3:13" ht="25.8">
      <c r="C97" s="35"/>
      <c r="D97" s="94" t="s">
        <v>18</v>
      </c>
      <c r="E97" s="112" t="s">
        <v>5</v>
      </c>
      <c r="F97" s="35"/>
      <c r="G97" s="35"/>
      <c r="H97" s="35"/>
      <c r="I97" s="36"/>
      <c r="J97" s="36"/>
      <c r="L97" s="2"/>
      <c r="M97" s="2"/>
    </row>
    <row r="98" spans="3:13" ht="25.8">
      <c r="C98" s="35"/>
      <c r="D98" s="94" t="s">
        <v>18</v>
      </c>
      <c r="E98" s="112" t="s">
        <v>5</v>
      </c>
      <c r="F98" s="35"/>
      <c r="G98" s="35"/>
      <c r="H98" s="35"/>
      <c r="I98" s="36"/>
      <c r="J98" s="36"/>
      <c r="L98" s="2"/>
      <c r="M98" s="2"/>
    </row>
    <row r="99" spans="3:13" ht="25.8">
      <c r="C99" s="35"/>
      <c r="D99" s="94" t="s">
        <v>18</v>
      </c>
      <c r="E99" s="112" t="s">
        <v>5</v>
      </c>
      <c r="F99" s="35"/>
      <c r="G99" s="35"/>
      <c r="H99" s="35"/>
      <c r="I99" s="36"/>
      <c r="J99" s="36"/>
      <c r="L99" s="2"/>
      <c r="M99" s="2"/>
    </row>
    <row r="100" spans="3:13" ht="25.8">
      <c r="C100" s="35"/>
      <c r="D100" s="94" t="s">
        <v>18</v>
      </c>
      <c r="E100" s="112" t="s">
        <v>5</v>
      </c>
      <c r="F100" s="35"/>
      <c r="G100" s="35"/>
      <c r="H100" s="35"/>
      <c r="I100" s="36"/>
      <c r="J100" s="36"/>
      <c r="L100" s="2"/>
      <c r="M100" s="2"/>
    </row>
    <row r="101" spans="3:13" ht="25.8">
      <c r="C101" s="35"/>
      <c r="D101" s="94" t="s">
        <v>18</v>
      </c>
      <c r="E101" s="112" t="s">
        <v>5</v>
      </c>
      <c r="F101" s="35"/>
      <c r="G101" s="35"/>
      <c r="H101" s="35"/>
      <c r="I101" s="36"/>
      <c r="J101" s="36"/>
      <c r="L101" s="2"/>
      <c r="M101" s="2"/>
    </row>
    <row r="102" spans="3:13" ht="25.8">
      <c r="C102" s="35"/>
      <c r="D102" s="94" t="s">
        <v>18</v>
      </c>
      <c r="E102" s="112" t="s">
        <v>5</v>
      </c>
      <c r="F102" s="35"/>
      <c r="G102" s="35"/>
      <c r="H102" s="35"/>
      <c r="I102" s="36"/>
      <c r="J102" s="36"/>
      <c r="L102" s="2"/>
      <c r="M102" s="2"/>
    </row>
    <row r="103" spans="3:13" ht="25.8">
      <c r="C103" s="35"/>
      <c r="D103" s="94" t="s">
        <v>18</v>
      </c>
      <c r="E103" s="112" t="s">
        <v>5</v>
      </c>
      <c r="F103" s="35"/>
      <c r="G103" s="35"/>
      <c r="H103" s="35"/>
      <c r="I103" s="36"/>
      <c r="J103" s="36"/>
      <c r="L103" s="2"/>
      <c r="M103" s="2"/>
    </row>
    <row r="104" spans="3:13" ht="25.8">
      <c r="C104" s="35"/>
      <c r="D104" s="94" t="s">
        <v>18</v>
      </c>
      <c r="E104" s="112" t="s">
        <v>5</v>
      </c>
      <c r="F104" s="35"/>
      <c r="G104" s="35"/>
      <c r="H104" s="35"/>
      <c r="I104" s="36"/>
      <c r="J104" s="36"/>
      <c r="L104" s="2"/>
      <c r="M104" s="2"/>
    </row>
    <row r="105" spans="3:13" ht="25.8">
      <c r="C105" s="35"/>
      <c r="D105" s="94" t="s">
        <v>18</v>
      </c>
      <c r="E105" s="112" t="s">
        <v>5</v>
      </c>
      <c r="F105" s="35"/>
      <c r="G105" s="35"/>
      <c r="H105" s="35"/>
      <c r="I105" s="36"/>
      <c r="J105" s="36"/>
      <c r="L105" s="2"/>
      <c r="M105" s="2"/>
    </row>
    <row r="106" spans="3:13" ht="25.8">
      <c r="C106" s="35"/>
      <c r="D106" s="94" t="s">
        <v>18</v>
      </c>
      <c r="E106" s="112" t="s">
        <v>5</v>
      </c>
      <c r="F106" s="35"/>
      <c r="G106" s="35"/>
      <c r="H106" s="35"/>
      <c r="I106" s="36"/>
      <c r="J106" s="36"/>
      <c r="L106" s="2"/>
      <c r="M106" s="2"/>
    </row>
    <row r="107" spans="3:13" ht="25.8">
      <c r="C107" s="35"/>
      <c r="D107" s="94" t="s">
        <v>18</v>
      </c>
      <c r="E107" s="112" t="s">
        <v>5</v>
      </c>
      <c r="F107" s="35"/>
      <c r="G107" s="35"/>
      <c r="H107" s="35"/>
      <c r="I107" s="36"/>
      <c r="J107" s="36"/>
      <c r="L107" s="2"/>
      <c r="M107" s="2"/>
    </row>
    <row r="108" spans="3:13" ht="25.8">
      <c r="C108" s="35"/>
      <c r="D108" s="94" t="s">
        <v>18</v>
      </c>
      <c r="E108" s="112" t="s">
        <v>5</v>
      </c>
      <c r="F108" s="35"/>
      <c r="G108" s="35"/>
      <c r="H108" s="35"/>
      <c r="I108" s="36"/>
      <c r="J108" s="36"/>
      <c r="L108" s="2"/>
      <c r="M108" s="2"/>
    </row>
    <row r="109" spans="3:13" ht="25.8">
      <c r="C109" s="35"/>
      <c r="D109" s="94" t="s">
        <v>18</v>
      </c>
      <c r="E109" s="112" t="s">
        <v>5</v>
      </c>
      <c r="F109" s="35"/>
      <c r="G109" s="35"/>
      <c r="H109" s="35"/>
      <c r="I109" s="36"/>
      <c r="J109" s="36"/>
      <c r="L109" s="2"/>
      <c r="M109" s="2"/>
    </row>
    <row r="110" spans="3:13" ht="25.8">
      <c r="C110" s="35"/>
      <c r="D110" s="94" t="s">
        <v>18</v>
      </c>
      <c r="E110" s="112" t="s">
        <v>5</v>
      </c>
      <c r="F110" s="35"/>
      <c r="G110" s="35"/>
      <c r="H110" s="35"/>
      <c r="I110" s="36"/>
      <c r="J110" s="36"/>
      <c r="L110" s="2"/>
      <c r="M110" s="2"/>
    </row>
    <row r="111" spans="3:13" ht="25.8">
      <c r="C111" s="35"/>
      <c r="D111" s="94" t="s">
        <v>18</v>
      </c>
      <c r="E111" s="112" t="s">
        <v>5</v>
      </c>
      <c r="F111" s="35"/>
      <c r="G111" s="35"/>
      <c r="H111" s="35"/>
      <c r="I111" s="36"/>
      <c r="J111" s="36"/>
      <c r="L111" s="2"/>
      <c r="M111" s="2"/>
    </row>
    <row r="112" spans="3:13" ht="25.8">
      <c r="C112" s="35"/>
      <c r="D112" s="94" t="s">
        <v>18</v>
      </c>
      <c r="E112" s="112" t="s">
        <v>5</v>
      </c>
      <c r="F112" s="35"/>
      <c r="G112" s="35"/>
      <c r="H112" s="35"/>
      <c r="I112" s="36"/>
      <c r="J112" s="36"/>
      <c r="L112" s="2"/>
      <c r="M112" s="2"/>
    </row>
    <row r="113" spans="3:13" ht="25.8">
      <c r="C113" s="35"/>
      <c r="D113" s="94" t="s">
        <v>18</v>
      </c>
      <c r="E113" s="112" t="s">
        <v>5</v>
      </c>
      <c r="F113" s="35"/>
      <c r="G113" s="35"/>
      <c r="H113" s="35"/>
      <c r="I113" s="36"/>
      <c r="J113" s="36"/>
      <c r="L113" s="2"/>
      <c r="M113" s="2"/>
    </row>
    <row r="114" spans="3:13" ht="25.8">
      <c r="C114" s="35"/>
      <c r="D114" s="94" t="s">
        <v>18</v>
      </c>
      <c r="E114" s="112" t="s">
        <v>5</v>
      </c>
      <c r="F114" s="35"/>
      <c r="G114" s="35"/>
      <c r="H114" s="35"/>
      <c r="I114" s="36"/>
      <c r="J114" s="36"/>
      <c r="L114" s="2"/>
      <c r="M114" s="2"/>
    </row>
    <row r="115" spans="3:13" ht="25.8">
      <c r="C115" s="35"/>
      <c r="D115" s="94" t="s">
        <v>18</v>
      </c>
      <c r="E115" s="112" t="s">
        <v>5</v>
      </c>
      <c r="F115" s="35"/>
      <c r="G115" s="35"/>
      <c r="H115" s="35"/>
      <c r="I115" s="36"/>
      <c r="J115" s="36"/>
      <c r="L115" s="2"/>
      <c r="M115" s="2"/>
    </row>
    <row r="116" spans="3:13" ht="25.8">
      <c r="C116" s="35"/>
      <c r="D116" s="94" t="s">
        <v>18</v>
      </c>
      <c r="E116" s="112" t="s">
        <v>5</v>
      </c>
      <c r="F116" s="35"/>
      <c r="G116" s="35"/>
      <c r="H116" s="35"/>
      <c r="I116" s="36"/>
      <c r="J116" s="36"/>
      <c r="L116" s="2"/>
      <c r="M116" s="2"/>
    </row>
    <row r="117" spans="3:13" ht="25.8">
      <c r="C117" s="35"/>
      <c r="D117" s="94" t="s">
        <v>18</v>
      </c>
      <c r="E117" s="112" t="s">
        <v>5</v>
      </c>
      <c r="F117" s="35"/>
      <c r="G117" s="35"/>
      <c r="H117" s="35"/>
      <c r="I117" s="36"/>
      <c r="J117" s="36"/>
      <c r="L117" s="2"/>
      <c r="M117" s="2"/>
    </row>
    <row r="118" spans="3:13" ht="25.8">
      <c r="C118" s="35"/>
      <c r="D118" s="94" t="s">
        <v>18</v>
      </c>
      <c r="E118" s="112" t="s">
        <v>5</v>
      </c>
      <c r="F118" s="35"/>
      <c r="G118" s="35"/>
      <c r="H118" s="35"/>
      <c r="I118" s="36"/>
      <c r="J118" s="36"/>
      <c r="L118" s="2"/>
      <c r="M118" s="2"/>
    </row>
    <row r="119" spans="3:13" ht="25.8">
      <c r="C119" s="35"/>
      <c r="D119" s="94" t="s">
        <v>18</v>
      </c>
      <c r="E119" s="112" t="s">
        <v>5</v>
      </c>
      <c r="F119" s="35"/>
      <c r="G119" s="35"/>
      <c r="H119" s="35"/>
      <c r="I119" s="36"/>
      <c r="J119" s="36"/>
      <c r="L119" s="2"/>
      <c r="M119" s="2"/>
    </row>
    <row r="120" spans="3:13" ht="25.8">
      <c r="C120" s="35"/>
      <c r="D120" s="94" t="s">
        <v>18</v>
      </c>
      <c r="E120" s="112" t="s">
        <v>5</v>
      </c>
      <c r="F120" s="35"/>
      <c r="G120" s="35"/>
      <c r="H120" s="35"/>
      <c r="I120" s="36"/>
      <c r="J120" s="36"/>
      <c r="L120" s="2"/>
      <c r="M120" s="2"/>
    </row>
    <row r="121" spans="3:13" ht="25.8">
      <c r="C121" s="35"/>
      <c r="D121" s="94" t="s">
        <v>18</v>
      </c>
      <c r="E121" s="112" t="s">
        <v>5</v>
      </c>
      <c r="F121" s="35"/>
      <c r="G121" s="35"/>
      <c r="H121" s="35"/>
      <c r="I121" s="36"/>
      <c r="J121" s="36"/>
      <c r="L121" s="2"/>
      <c r="M121" s="2"/>
    </row>
    <row r="122" spans="3:13" ht="25.8">
      <c r="C122" s="35"/>
      <c r="D122" s="94" t="s">
        <v>18</v>
      </c>
      <c r="E122" s="112" t="s">
        <v>5</v>
      </c>
      <c r="F122" s="35"/>
      <c r="G122" s="35"/>
      <c r="H122" s="35"/>
      <c r="I122" s="36"/>
      <c r="J122" s="36"/>
      <c r="L122" s="2"/>
      <c r="M122" s="2"/>
    </row>
    <row r="123" spans="3:13" ht="25.8">
      <c r="C123" s="35"/>
      <c r="D123" s="94" t="s">
        <v>18</v>
      </c>
      <c r="E123" s="112" t="s">
        <v>5</v>
      </c>
      <c r="F123" s="35"/>
      <c r="G123" s="35"/>
      <c r="H123" s="35"/>
      <c r="I123" s="36"/>
      <c r="J123" s="36"/>
      <c r="L123" s="2"/>
      <c r="M123" s="2"/>
    </row>
    <row r="124" spans="3:13" ht="25.8">
      <c r="C124" s="35"/>
      <c r="D124" s="94" t="s">
        <v>18</v>
      </c>
      <c r="E124" s="112" t="s">
        <v>5</v>
      </c>
      <c r="F124" s="35"/>
      <c r="G124" s="35"/>
      <c r="H124" s="35"/>
      <c r="I124" s="36"/>
      <c r="J124" s="36"/>
      <c r="L124" s="2"/>
      <c r="M124" s="2"/>
    </row>
    <row r="125" spans="3:13" ht="25.8">
      <c r="C125" s="35"/>
      <c r="D125" s="94" t="s">
        <v>18</v>
      </c>
      <c r="E125" s="112" t="s">
        <v>5</v>
      </c>
      <c r="F125" s="35"/>
      <c r="G125" s="35"/>
      <c r="H125" s="35"/>
      <c r="I125" s="36"/>
      <c r="J125" s="36"/>
      <c r="L125" s="2"/>
      <c r="M125" s="2"/>
    </row>
    <row r="126" spans="3:13" ht="25.8">
      <c r="C126" s="35"/>
      <c r="D126" s="94" t="s">
        <v>18</v>
      </c>
      <c r="E126" s="112" t="s">
        <v>5</v>
      </c>
      <c r="F126" s="35"/>
      <c r="G126" s="35"/>
      <c r="H126" s="35"/>
      <c r="I126" s="36"/>
      <c r="J126" s="36"/>
      <c r="L126" s="2"/>
      <c r="M126" s="2"/>
    </row>
    <row r="127" spans="3:13" ht="25.8">
      <c r="C127" s="35"/>
      <c r="D127" s="94" t="s">
        <v>18</v>
      </c>
      <c r="E127" s="112" t="s">
        <v>5</v>
      </c>
      <c r="F127" s="35"/>
      <c r="G127" s="35"/>
      <c r="H127" s="35"/>
      <c r="I127" s="36"/>
      <c r="J127" s="36"/>
      <c r="L127" s="2"/>
      <c r="M127" s="2"/>
    </row>
    <row r="128" spans="3:13" ht="25.8">
      <c r="C128" s="35"/>
      <c r="D128" s="94" t="s">
        <v>18</v>
      </c>
      <c r="E128" s="112" t="s">
        <v>5</v>
      </c>
      <c r="F128" s="35"/>
      <c r="G128" s="35"/>
      <c r="H128" s="35"/>
      <c r="I128" s="36"/>
      <c r="J128" s="36"/>
      <c r="L128" s="2"/>
      <c r="M128" s="2"/>
    </row>
    <row r="129" spans="3:13" ht="25.8">
      <c r="C129" s="35"/>
      <c r="D129" s="94" t="s">
        <v>18</v>
      </c>
      <c r="E129" s="112" t="s">
        <v>5</v>
      </c>
      <c r="F129" s="35"/>
      <c r="G129" s="35"/>
      <c r="H129" s="35"/>
      <c r="I129" s="36"/>
      <c r="J129" s="36"/>
      <c r="L129" s="2"/>
      <c r="M129" s="2"/>
    </row>
    <row r="130" spans="3:13" ht="25.8">
      <c r="C130" s="35"/>
      <c r="D130" s="94" t="s">
        <v>18</v>
      </c>
      <c r="E130" s="112" t="s">
        <v>5</v>
      </c>
      <c r="F130" s="35"/>
      <c r="G130" s="35"/>
      <c r="H130" s="35"/>
      <c r="I130" s="36"/>
      <c r="J130" s="36"/>
      <c r="L130" s="2"/>
      <c r="M130" s="2"/>
    </row>
    <row r="131" spans="3:13" ht="25.8">
      <c r="C131" s="35"/>
      <c r="D131" s="94" t="s">
        <v>18</v>
      </c>
      <c r="E131" s="112" t="s">
        <v>5</v>
      </c>
      <c r="F131" s="35"/>
      <c r="G131" s="35"/>
      <c r="H131" s="35"/>
      <c r="I131" s="36"/>
      <c r="J131" s="36"/>
      <c r="L131" s="2"/>
      <c r="M131" s="2"/>
    </row>
    <row r="132" spans="3:13" ht="25.8">
      <c r="C132" s="35"/>
      <c r="D132" s="94" t="s">
        <v>18</v>
      </c>
      <c r="E132" s="112" t="s">
        <v>5</v>
      </c>
      <c r="F132" s="35"/>
      <c r="G132" s="35"/>
      <c r="H132" s="35"/>
      <c r="I132" s="36"/>
      <c r="J132" s="36"/>
      <c r="L132" s="2"/>
      <c r="M132" s="2"/>
    </row>
    <row r="133" spans="3:13" ht="25.8">
      <c r="C133" s="35"/>
      <c r="D133" s="94" t="s">
        <v>18</v>
      </c>
      <c r="E133" s="112" t="s">
        <v>5</v>
      </c>
      <c r="F133" s="35"/>
      <c r="G133" s="35"/>
      <c r="H133" s="35"/>
      <c r="I133" s="36"/>
      <c r="J133" s="36"/>
      <c r="L133" s="2"/>
      <c r="M133" s="2"/>
    </row>
    <row r="134" spans="3:13" ht="25.8">
      <c r="C134" s="35"/>
      <c r="D134" s="94" t="s">
        <v>18</v>
      </c>
      <c r="E134" s="112" t="s">
        <v>5</v>
      </c>
      <c r="F134" s="35"/>
      <c r="G134" s="35"/>
      <c r="H134" s="35"/>
      <c r="I134" s="36"/>
      <c r="J134" s="36"/>
      <c r="L134" s="2"/>
      <c r="M134" s="2"/>
    </row>
    <row r="135" spans="3:13" ht="25.8">
      <c r="C135" s="35"/>
      <c r="D135" s="94" t="s">
        <v>18</v>
      </c>
      <c r="E135" s="112" t="s">
        <v>5</v>
      </c>
      <c r="F135" s="35"/>
      <c r="G135" s="35"/>
      <c r="H135" s="35"/>
      <c r="I135" s="36"/>
      <c r="J135" s="36"/>
      <c r="L135" s="2"/>
      <c r="M135" s="2"/>
    </row>
    <row r="136" spans="3:13" ht="25.8">
      <c r="C136" s="35"/>
      <c r="D136" s="94" t="s">
        <v>18</v>
      </c>
      <c r="E136" s="112" t="s">
        <v>5</v>
      </c>
      <c r="F136" s="35"/>
      <c r="G136" s="35"/>
      <c r="H136" s="35"/>
      <c r="I136" s="36"/>
      <c r="J136" s="36"/>
      <c r="L136" s="2"/>
      <c r="M136" s="2"/>
    </row>
    <row r="137" spans="3:13" ht="25.8">
      <c r="C137" s="35"/>
      <c r="D137" s="94" t="s">
        <v>18</v>
      </c>
      <c r="E137" s="112" t="s">
        <v>5</v>
      </c>
      <c r="F137" s="35"/>
      <c r="G137" s="35"/>
      <c r="H137" s="35"/>
      <c r="I137" s="36"/>
      <c r="J137" s="36"/>
      <c r="L137" s="2"/>
      <c r="M137" s="2"/>
    </row>
    <row r="138" spans="3:13" ht="25.8">
      <c r="C138" s="35"/>
      <c r="D138" s="94" t="s">
        <v>18</v>
      </c>
      <c r="E138" s="112" t="s">
        <v>5</v>
      </c>
      <c r="F138" s="35"/>
      <c r="G138" s="35"/>
      <c r="H138" s="35"/>
      <c r="I138" s="36"/>
      <c r="J138" s="36"/>
      <c r="L138" s="2"/>
      <c r="M138" s="2"/>
    </row>
    <row r="139" spans="3:13" ht="25.8">
      <c r="C139" s="35"/>
      <c r="D139" s="94" t="s">
        <v>18</v>
      </c>
      <c r="E139" s="112" t="s">
        <v>5</v>
      </c>
      <c r="F139" s="35"/>
      <c r="G139" s="35"/>
      <c r="H139" s="35"/>
      <c r="I139" s="36"/>
      <c r="J139" s="36"/>
      <c r="L139" s="2"/>
      <c r="M139" s="2"/>
    </row>
    <row r="140" spans="3:13" ht="25.8">
      <c r="C140" s="35"/>
      <c r="D140" s="94" t="s">
        <v>18</v>
      </c>
      <c r="E140" s="112" t="s">
        <v>5</v>
      </c>
      <c r="F140" s="35"/>
      <c r="G140" s="35"/>
      <c r="H140" s="35"/>
      <c r="I140" s="36"/>
      <c r="J140" s="36"/>
      <c r="L140" s="2"/>
      <c r="M140" s="2"/>
    </row>
    <row r="141" spans="3:13" ht="25.8">
      <c r="C141" s="35"/>
      <c r="D141" s="94" t="s">
        <v>18</v>
      </c>
      <c r="E141" s="112" t="s">
        <v>5</v>
      </c>
      <c r="F141" s="35"/>
      <c r="G141" s="35"/>
      <c r="H141" s="35"/>
      <c r="I141" s="36"/>
      <c r="J141" s="36"/>
      <c r="L141" s="2"/>
      <c r="M141" s="2"/>
    </row>
    <row r="142" spans="3:13" ht="25.8">
      <c r="C142" s="35"/>
      <c r="D142" s="94" t="s">
        <v>18</v>
      </c>
      <c r="E142" s="112" t="s">
        <v>5</v>
      </c>
      <c r="F142" s="35"/>
      <c r="G142" s="35"/>
      <c r="H142" s="35"/>
      <c r="I142" s="36"/>
      <c r="J142" s="36"/>
      <c r="L142" s="2"/>
      <c r="M142" s="2"/>
    </row>
    <row r="143" spans="3:13" ht="25.8">
      <c r="C143" s="35"/>
      <c r="D143" s="94" t="s">
        <v>18</v>
      </c>
      <c r="E143" s="112" t="s">
        <v>5</v>
      </c>
      <c r="F143" s="35"/>
      <c r="G143" s="35"/>
      <c r="H143" s="35"/>
      <c r="I143" s="36"/>
      <c r="J143" s="36"/>
      <c r="L143" s="2"/>
      <c r="M143" s="2"/>
    </row>
    <row r="144" spans="3:13" ht="25.8">
      <c r="C144" s="35"/>
      <c r="D144" s="94" t="s">
        <v>18</v>
      </c>
      <c r="E144" s="112" t="s">
        <v>5</v>
      </c>
      <c r="F144" s="35"/>
      <c r="G144" s="35"/>
      <c r="H144" s="35"/>
      <c r="I144" s="36"/>
      <c r="J144" s="36"/>
      <c r="L144" s="2"/>
      <c r="M144" s="2"/>
    </row>
    <row r="145" spans="3:13" ht="25.8">
      <c r="C145" s="35"/>
      <c r="D145" s="94" t="s">
        <v>18</v>
      </c>
      <c r="E145" s="112" t="s">
        <v>5</v>
      </c>
      <c r="F145" s="35"/>
      <c r="G145" s="35"/>
      <c r="H145" s="35"/>
      <c r="I145" s="36"/>
      <c r="J145" s="36"/>
      <c r="L145" s="2"/>
      <c r="M145" s="2"/>
    </row>
    <row r="146" spans="3:13" ht="25.8">
      <c r="C146" s="35"/>
      <c r="D146" s="94" t="s">
        <v>18</v>
      </c>
      <c r="E146" s="112" t="s">
        <v>5</v>
      </c>
      <c r="F146" s="35"/>
      <c r="G146" s="35"/>
      <c r="H146" s="35"/>
      <c r="I146" s="36"/>
      <c r="J146" s="36"/>
      <c r="L146" s="2"/>
      <c r="M146" s="2"/>
    </row>
    <row r="147" spans="3:13" ht="25.8">
      <c r="C147" s="35"/>
      <c r="D147" s="94" t="s">
        <v>18</v>
      </c>
      <c r="E147" s="112" t="s">
        <v>5</v>
      </c>
      <c r="F147" s="35"/>
      <c r="G147" s="35"/>
      <c r="H147" s="35"/>
      <c r="I147" s="36"/>
      <c r="J147" s="36"/>
      <c r="L147" s="2"/>
      <c r="M147" s="2"/>
    </row>
    <row r="148" spans="3:13" ht="25.8">
      <c r="C148" s="35"/>
      <c r="D148" s="94" t="s">
        <v>18</v>
      </c>
      <c r="E148" s="112" t="s">
        <v>5</v>
      </c>
      <c r="F148" s="35"/>
      <c r="G148" s="35"/>
      <c r="H148" s="35"/>
      <c r="I148" s="36"/>
      <c r="J148" s="36"/>
      <c r="L148" s="2"/>
      <c r="M148" s="2"/>
    </row>
    <row r="149" spans="3:13" ht="25.8">
      <c r="C149" s="35"/>
      <c r="D149" s="94" t="s">
        <v>18</v>
      </c>
      <c r="E149" s="112" t="s">
        <v>5</v>
      </c>
      <c r="F149" s="35"/>
      <c r="G149" s="35"/>
      <c r="H149" s="35"/>
      <c r="I149" s="36"/>
      <c r="J149" s="36"/>
      <c r="L149" s="2"/>
      <c r="M149" s="2"/>
    </row>
    <row r="150" spans="3:13" ht="25.8">
      <c r="C150" s="35"/>
      <c r="D150" s="94" t="s">
        <v>18</v>
      </c>
      <c r="E150" s="112" t="s">
        <v>5</v>
      </c>
      <c r="F150" s="35"/>
      <c r="G150" s="35"/>
      <c r="H150" s="35"/>
      <c r="I150" s="36"/>
      <c r="J150" s="36"/>
      <c r="L150" s="2"/>
      <c r="M150" s="2"/>
    </row>
    <row r="151" spans="3:13" ht="25.8">
      <c r="C151" s="35"/>
      <c r="D151" s="94" t="s">
        <v>18</v>
      </c>
      <c r="E151" s="112" t="s">
        <v>5</v>
      </c>
      <c r="F151" s="35"/>
      <c r="G151" s="35"/>
      <c r="H151" s="35"/>
      <c r="I151" s="36"/>
      <c r="J151" s="36"/>
      <c r="L151" s="2"/>
      <c r="M151" s="2"/>
    </row>
    <row r="152" spans="3:13" ht="25.8">
      <c r="C152" s="35"/>
      <c r="D152" s="94" t="s">
        <v>18</v>
      </c>
      <c r="E152" s="112" t="s">
        <v>5</v>
      </c>
      <c r="F152" s="35"/>
      <c r="G152" s="35"/>
      <c r="H152" s="35"/>
      <c r="I152" s="36"/>
      <c r="J152" s="36"/>
      <c r="L152" s="2"/>
      <c r="M152" s="2"/>
    </row>
    <row r="153" spans="3:13" ht="25.8">
      <c r="C153" s="35"/>
      <c r="D153" s="94" t="s">
        <v>18</v>
      </c>
      <c r="E153" s="112" t="s">
        <v>5</v>
      </c>
      <c r="F153" s="35"/>
      <c r="G153" s="35"/>
      <c r="H153" s="35"/>
      <c r="I153" s="36"/>
      <c r="J153" s="36"/>
      <c r="L153" s="2"/>
      <c r="M153" s="2"/>
    </row>
    <row r="154" spans="3:13" ht="25.8">
      <c r="C154" s="35"/>
      <c r="D154" s="94" t="s">
        <v>18</v>
      </c>
      <c r="E154" s="112" t="s">
        <v>5</v>
      </c>
      <c r="F154" s="35"/>
      <c r="G154" s="35"/>
      <c r="H154" s="35"/>
      <c r="I154" s="36"/>
      <c r="J154" s="36"/>
      <c r="L154" s="2"/>
      <c r="M154" s="2"/>
    </row>
    <row r="155" spans="3:13" ht="25.8">
      <c r="C155" s="35"/>
      <c r="D155" s="94" t="s">
        <v>18</v>
      </c>
      <c r="E155" s="112" t="s">
        <v>5</v>
      </c>
      <c r="F155" s="35"/>
      <c r="G155" s="35"/>
      <c r="H155" s="35"/>
      <c r="I155" s="36"/>
      <c r="J155" s="36"/>
      <c r="L155" s="2"/>
      <c r="M155" s="2"/>
    </row>
    <row r="156" spans="3:13" ht="25.8">
      <c r="C156" s="35"/>
      <c r="D156" s="94" t="s">
        <v>18</v>
      </c>
      <c r="E156" s="112" t="s">
        <v>5</v>
      </c>
      <c r="F156" s="35"/>
      <c r="G156" s="35"/>
      <c r="H156" s="35"/>
      <c r="I156" s="36"/>
      <c r="J156" s="36"/>
      <c r="L156" s="2"/>
      <c r="M156" s="2"/>
    </row>
    <row r="157" spans="3:13" ht="25.8">
      <c r="C157" s="35"/>
      <c r="D157" s="94" t="s">
        <v>18</v>
      </c>
      <c r="E157" s="112" t="s">
        <v>5</v>
      </c>
      <c r="F157" s="35"/>
      <c r="G157" s="35"/>
      <c r="H157" s="35"/>
      <c r="I157" s="36"/>
      <c r="J157" s="36"/>
      <c r="L157" s="2"/>
      <c r="M157" s="2"/>
    </row>
    <row r="158" spans="3:13" ht="25.8">
      <c r="C158" s="35"/>
      <c r="D158" s="94" t="s">
        <v>18</v>
      </c>
      <c r="E158" s="112" t="s">
        <v>5</v>
      </c>
      <c r="F158" s="35"/>
      <c r="G158" s="35"/>
      <c r="H158" s="35"/>
      <c r="I158" s="36"/>
      <c r="J158" s="36"/>
      <c r="L158" s="2"/>
      <c r="M158" s="2"/>
    </row>
    <row r="159" spans="3:13" ht="25.8">
      <c r="C159" s="35"/>
      <c r="D159" s="94" t="s">
        <v>18</v>
      </c>
      <c r="E159" s="112" t="s">
        <v>5</v>
      </c>
      <c r="F159" s="35"/>
      <c r="G159" s="35"/>
      <c r="H159" s="35"/>
      <c r="I159" s="36"/>
      <c r="J159" s="36"/>
      <c r="L159" s="2"/>
      <c r="M159" s="2"/>
    </row>
    <row r="160" spans="3:13" ht="25.8">
      <c r="C160" s="35"/>
      <c r="D160" s="94" t="s">
        <v>18</v>
      </c>
      <c r="E160" s="112" t="s">
        <v>5</v>
      </c>
      <c r="F160" s="35"/>
      <c r="G160" s="35"/>
      <c r="H160" s="35"/>
      <c r="I160" s="36"/>
      <c r="J160" s="36"/>
      <c r="L160" s="2"/>
      <c r="M160" s="2"/>
    </row>
    <row r="161" spans="3:13" ht="25.8">
      <c r="C161" s="35"/>
      <c r="D161" s="94" t="s">
        <v>18</v>
      </c>
      <c r="E161" s="112" t="s">
        <v>5</v>
      </c>
      <c r="F161" s="35"/>
      <c r="G161" s="35"/>
      <c r="H161" s="35"/>
      <c r="I161" s="36"/>
      <c r="J161" s="36"/>
      <c r="L161" s="2"/>
      <c r="M161" s="2"/>
    </row>
    <row r="162" spans="3:13" ht="25.8">
      <c r="C162" s="35"/>
      <c r="D162" s="94" t="s">
        <v>18</v>
      </c>
      <c r="E162" s="112" t="s">
        <v>5</v>
      </c>
      <c r="F162" s="35"/>
      <c r="G162" s="35"/>
      <c r="H162" s="35"/>
      <c r="I162" s="36"/>
      <c r="J162" s="36"/>
      <c r="L162" s="2"/>
      <c r="M162" s="2"/>
    </row>
    <row r="163" spans="3:13" ht="25.8">
      <c r="C163" s="35"/>
      <c r="D163" s="94" t="s">
        <v>18</v>
      </c>
      <c r="E163" s="112" t="s">
        <v>5</v>
      </c>
      <c r="F163" s="35"/>
      <c r="G163" s="35"/>
      <c r="H163" s="35"/>
      <c r="I163" s="36"/>
      <c r="J163" s="36"/>
      <c r="L163" s="2"/>
      <c r="M163" s="2"/>
    </row>
    <row r="164" spans="3:13" ht="25.8">
      <c r="C164" s="35"/>
      <c r="D164" s="94" t="s">
        <v>18</v>
      </c>
      <c r="E164" s="112" t="s">
        <v>5</v>
      </c>
      <c r="F164" s="35"/>
      <c r="G164" s="35"/>
      <c r="H164" s="35"/>
      <c r="I164" s="36"/>
      <c r="J164" s="36"/>
      <c r="L164" s="2"/>
      <c r="M164" s="2"/>
    </row>
    <row r="165" spans="3:13" ht="25.8">
      <c r="C165" s="35"/>
      <c r="D165" s="94" t="s">
        <v>18</v>
      </c>
      <c r="E165" s="112" t="s">
        <v>5</v>
      </c>
      <c r="F165" s="35"/>
      <c r="G165" s="35"/>
      <c r="H165" s="35"/>
      <c r="I165" s="36"/>
      <c r="J165" s="36"/>
      <c r="L165" s="2"/>
      <c r="M165" s="2"/>
    </row>
    <row r="166" spans="3:13" ht="25.8">
      <c r="C166" s="35"/>
      <c r="D166" s="94" t="s">
        <v>18</v>
      </c>
      <c r="E166" s="112" t="s">
        <v>5</v>
      </c>
      <c r="F166" s="35"/>
      <c r="G166" s="35"/>
      <c r="H166" s="35"/>
      <c r="I166" s="36"/>
      <c r="J166" s="36"/>
      <c r="L166" s="2"/>
      <c r="M166" s="2"/>
    </row>
    <row r="167" spans="3:13" ht="25.8">
      <c r="C167" s="35"/>
      <c r="D167" s="94" t="s">
        <v>18</v>
      </c>
      <c r="E167" s="112" t="s">
        <v>5</v>
      </c>
      <c r="F167" s="35"/>
      <c r="G167" s="35"/>
      <c r="H167" s="35"/>
      <c r="I167" s="36"/>
      <c r="J167" s="36"/>
      <c r="L167" s="2"/>
      <c r="M167" s="2"/>
    </row>
    <row r="168" spans="3:13" ht="25.8">
      <c r="C168" s="35"/>
      <c r="D168" s="94" t="s">
        <v>18</v>
      </c>
      <c r="E168" s="112" t="s">
        <v>5</v>
      </c>
      <c r="F168" s="35"/>
      <c r="G168" s="35"/>
      <c r="H168" s="35"/>
      <c r="I168" s="36"/>
      <c r="J168" s="36"/>
      <c r="L168" s="2"/>
      <c r="M168" s="2"/>
    </row>
    <row r="169" spans="3:13" ht="25.8">
      <c r="C169" s="35"/>
      <c r="D169" s="94" t="s">
        <v>18</v>
      </c>
      <c r="E169" s="112" t="s">
        <v>5</v>
      </c>
      <c r="F169" s="35"/>
      <c r="G169" s="35"/>
      <c r="H169" s="35"/>
      <c r="I169" s="36"/>
      <c r="J169" s="36"/>
      <c r="L169" s="2"/>
      <c r="M169" s="2"/>
    </row>
    <row r="170" spans="3:13" ht="25.8">
      <c r="C170" s="35"/>
      <c r="D170" s="94" t="s">
        <v>18</v>
      </c>
      <c r="E170" s="112" t="s">
        <v>5</v>
      </c>
      <c r="F170" s="35"/>
      <c r="G170" s="35"/>
      <c r="H170" s="35"/>
      <c r="I170" s="36"/>
      <c r="J170" s="36"/>
      <c r="L170" s="2"/>
      <c r="M170" s="2"/>
    </row>
    <row r="171" spans="3:13" ht="25.8">
      <c r="C171" s="35"/>
      <c r="D171" s="94" t="s">
        <v>18</v>
      </c>
      <c r="E171" s="112" t="s">
        <v>5</v>
      </c>
      <c r="F171" s="35"/>
      <c r="G171" s="35"/>
      <c r="H171" s="35"/>
      <c r="I171" s="36"/>
      <c r="J171" s="36"/>
      <c r="L171" s="2"/>
      <c r="M171" s="2"/>
    </row>
    <row r="172" spans="3:13" ht="25.8">
      <c r="C172" s="35"/>
      <c r="D172" s="94" t="s">
        <v>18</v>
      </c>
      <c r="E172" s="112" t="s">
        <v>5</v>
      </c>
      <c r="F172" s="35"/>
      <c r="G172" s="35"/>
      <c r="H172" s="35"/>
      <c r="I172" s="36"/>
      <c r="J172" s="36"/>
      <c r="L172" s="2"/>
      <c r="M172" s="2"/>
    </row>
    <row r="173" spans="3:13" ht="25.8">
      <c r="C173" s="35"/>
      <c r="D173" s="94" t="s">
        <v>18</v>
      </c>
      <c r="E173" s="112" t="s">
        <v>5</v>
      </c>
      <c r="F173" s="35"/>
      <c r="G173" s="35"/>
      <c r="H173" s="35"/>
      <c r="I173" s="36"/>
      <c r="J173" s="36"/>
      <c r="L173" s="2"/>
      <c r="M173" s="2"/>
    </row>
    <row r="174" spans="3:13" ht="25.8">
      <c r="C174" s="35"/>
      <c r="D174" s="94" t="s">
        <v>18</v>
      </c>
      <c r="E174" s="112" t="s">
        <v>5</v>
      </c>
      <c r="F174" s="35"/>
      <c r="G174" s="35"/>
      <c r="H174" s="35"/>
      <c r="I174" s="36"/>
      <c r="J174" s="36"/>
      <c r="L174" s="2"/>
      <c r="M174" s="2"/>
    </row>
    <row r="175" spans="3:13" ht="25.8">
      <c r="C175" s="35"/>
      <c r="D175" s="94" t="s">
        <v>18</v>
      </c>
      <c r="E175" s="112" t="s">
        <v>5</v>
      </c>
      <c r="F175" s="35"/>
      <c r="G175" s="35"/>
      <c r="H175" s="35"/>
      <c r="I175" s="36"/>
      <c r="J175" s="36"/>
      <c r="L175" s="2"/>
      <c r="M175" s="2"/>
    </row>
    <row r="176" spans="3:13" ht="25.8">
      <c r="C176" s="35"/>
      <c r="D176" s="94" t="s">
        <v>18</v>
      </c>
      <c r="E176" s="112" t="s">
        <v>5</v>
      </c>
      <c r="F176" s="35"/>
      <c r="G176" s="35"/>
      <c r="H176" s="35"/>
      <c r="I176" s="36"/>
      <c r="J176" s="36"/>
      <c r="L176" s="2"/>
      <c r="M176" s="2"/>
    </row>
    <row r="177" spans="3:13" ht="25.8">
      <c r="C177" s="35"/>
      <c r="D177" s="94" t="s">
        <v>18</v>
      </c>
      <c r="E177" s="112" t="s">
        <v>5</v>
      </c>
      <c r="F177" s="35"/>
      <c r="G177" s="35"/>
      <c r="H177" s="35"/>
      <c r="I177" s="36"/>
      <c r="J177" s="36"/>
      <c r="L177" s="2"/>
      <c r="M177" s="2"/>
    </row>
    <row r="178" spans="3:13" ht="25.8">
      <c r="C178" s="35"/>
      <c r="D178" s="94" t="s">
        <v>18</v>
      </c>
      <c r="E178" s="112" t="s">
        <v>5</v>
      </c>
      <c r="F178" s="35"/>
      <c r="G178" s="35"/>
      <c r="H178" s="35"/>
      <c r="I178" s="36"/>
      <c r="J178" s="36"/>
      <c r="L178" s="2"/>
      <c r="M178" s="2"/>
    </row>
    <row r="179" spans="3:13" ht="25.8">
      <c r="C179" s="35"/>
      <c r="D179" s="94" t="s">
        <v>18</v>
      </c>
      <c r="E179" s="112" t="s">
        <v>5</v>
      </c>
      <c r="F179" s="35"/>
      <c r="G179" s="35"/>
      <c r="H179" s="35"/>
      <c r="I179" s="36"/>
      <c r="J179" s="36"/>
      <c r="L179" s="2"/>
      <c r="M179" s="2"/>
    </row>
    <row r="180" spans="3:13" ht="25.8">
      <c r="C180" s="35"/>
      <c r="D180" s="94" t="s">
        <v>18</v>
      </c>
      <c r="E180" s="112" t="s">
        <v>5</v>
      </c>
      <c r="F180" s="35"/>
      <c r="G180" s="35"/>
      <c r="H180" s="35"/>
      <c r="I180" s="36"/>
      <c r="J180" s="36"/>
      <c r="L180" s="2"/>
      <c r="M180" s="2"/>
    </row>
    <row r="181" spans="3:13" ht="25.8">
      <c r="C181" s="35"/>
      <c r="D181" s="94" t="s">
        <v>18</v>
      </c>
      <c r="E181" s="112" t="s">
        <v>5</v>
      </c>
      <c r="F181" s="35"/>
      <c r="G181" s="35"/>
      <c r="H181" s="35"/>
      <c r="I181" s="36"/>
      <c r="J181" s="36"/>
      <c r="L181" s="2"/>
      <c r="M181" s="2"/>
    </row>
    <row r="182" spans="3:13" ht="25.8">
      <c r="C182" s="35"/>
      <c r="D182" s="94" t="s">
        <v>18</v>
      </c>
      <c r="E182" s="112" t="s">
        <v>5</v>
      </c>
      <c r="F182" s="35"/>
      <c r="G182" s="35"/>
      <c r="H182" s="35"/>
      <c r="I182" s="36"/>
      <c r="J182" s="36"/>
      <c r="L182" s="2"/>
      <c r="M182" s="2"/>
    </row>
    <row r="183" spans="3:13" ht="25.8">
      <c r="C183" s="35"/>
      <c r="D183" s="94" t="s">
        <v>18</v>
      </c>
      <c r="E183" s="112" t="s">
        <v>5</v>
      </c>
      <c r="F183" s="35"/>
      <c r="G183" s="35"/>
      <c r="H183" s="35"/>
      <c r="I183" s="36"/>
      <c r="J183" s="36"/>
      <c r="L183" s="2"/>
      <c r="M183" s="2"/>
    </row>
    <row r="184" spans="3:13" ht="25.8">
      <c r="C184" s="35"/>
      <c r="D184" s="94" t="s">
        <v>18</v>
      </c>
      <c r="E184" s="112" t="s">
        <v>5</v>
      </c>
      <c r="F184" s="35"/>
      <c r="G184" s="35"/>
      <c r="H184" s="35"/>
      <c r="I184" s="36"/>
      <c r="J184" s="36"/>
      <c r="L184" s="2"/>
      <c r="M184" s="2"/>
    </row>
    <row r="185" spans="3:13" ht="25.8">
      <c r="C185" s="35"/>
      <c r="D185" s="94" t="s">
        <v>18</v>
      </c>
      <c r="E185" s="112" t="s">
        <v>5</v>
      </c>
      <c r="F185" s="35"/>
      <c r="G185" s="35"/>
      <c r="H185" s="35"/>
      <c r="I185" s="36"/>
      <c r="J185" s="36"/>
      <c r="L185" s="2"/>
      <c r="M185" s="2"/>
    </row>
    <row r="186" spans="3:13" ht="25.8">
      <c r="C186" s="35"/>
      <c r="D186" s="94" t="s">
        <v>18</v>
      </c>
      <c r="E186" s="112" t="s">
        <v>5</v>
      </c>
      <c r="F186" s="35"/>
      <c r="G186" s="35"/>
      <c r="H186" s="35"/>
      <c r="I186" s="36"/>
      <c r="J186" s="36"/>
      <c r="L186" s="2"/>
      <c r="M186" s="2"/>
    </row>
    <row r="187" spans="3:13" ht="25.8">
      <c r="C187" s="35"/>
      <c r="D187" s="94" t="s">
        <v>18</v>
      </c>
      <c r="E187" s="112" t="s">
        <v>5</v>
      </c>
      <c r="F187" s="35"/>
      <c r="G187" s="35"/>
      <c r="H187" s="35"/>
      <c r="I187" s="36"/>
      <c r="J187" s="36"/>
      <c r="L187" s="2"/>
      <c r="M187" s="2"/>
    </row>
    <row r="188" spans="3:13" ht="25.8">
      <c r="C188" s="35"/>
      <c r="D188" s="94" t="s">
        <v>18</v>
      </c>
      <c r="E188" s="112" t="s">
        <v>5</v>
      </c>
      <c r="F188" s="35"/>
      <c r="G188" s="35"/>
      <c r="H188" s="35"/>
      <c r="I188" s="36"/>
      <c r="J188" s="36"/>
      <c r="L188" s="2"/>
      <c r="M188" s="2"/>
    </row>
    <row r="189" spans="3:13" ht="25.8">
      <c r="C189" s="35"/>
      <c r="D189" s="94" t="s">
        <v>18</v>
      </c>
      <c r="E189" s="112" t="s">
        <v>5</v>
      </c>
      <c r="F189" s="35"/>
      <c r="G189" s="35"/>
      <c r="H189" s="35"/>
      <c r="I189" s="36"/>
      <c r="J189" s="36"/>
      <c r="L189" s="2"/>
      <c r="M189" s="2"/>
    </row>
    <row r="190" spans="3:13" ht="25.8">
      <c r="C190" s="35"/>
      <c r="D190" s="94" t="s">
        <v>18</v>
      </c>
      <c r="E190" s="112" t="s">
        <v>5</v>
      </c>
      <c r="F190" s="35"/>
      <c r="G190" s="35"/>
      <c r="H190" s="35"/>
      <c r="I190" s="36"/>
      <c r="J190" s="36"/>
      <c r="L190" s="2"/>
      <c r="M190" s="2"/>
    </row>
    <row r="191" spans="3:13" ht="25.8">
      <c r="C191" s="35"/>
      <c r="D191" s="94" t="s">
        <v>18</v>
      </c>
      <c r="E191" s="112" t="s">
        <v>5</v>
      </c>
      <c r="F191" s="35"/>
      <c r="G191" s="35"/>
      <c r="H191" s="35"/>
      <c r="I191" s="36"/>
      <c r="J191" s="36"/>
      <c r="L191" s="2"/>
      <c r="M191" s="2"/>
    </row>
    <row r="192" spans="3:13" ht="25.8">
      <c r="C192" s="35"/>
      <c r="D192" s="94" t="s">
        <v>18</v>
      </c>
      <c r="E192" s="112" t="s">
        <v>5</v>
      </c>
      <c r="F192" s="35"/>
      <c r="G192" s="35"/>
      <c r="H192" s="35"/>
      <c r="I192" s="36"/>
      <c r="J192" s="36"/>
      <c r="L192" s="2"/>
      <c r="M192" s="2"/>
    </row>
    <row r="193" spans="3:13" ht="25.8">
      <c r="C193" s="35"/>
      <c r="D193" s="94" t="s">
        <v>18</v>
      </c>
      <c r="E193" s="112" t="s">
        <v>5</v>
      </c>
      <c r="F193" s="35"/>
      <c r="G193" s="35"/>
      <c r="H193" s="35"/>
      <c r="I193" s="36"/>
      <c r="J193" s="36"/>
      <c r="L193" s="2"/>
      <c r="M193" s="2"/>
    </row>
    <row r="194" spans="3:13" ht="25.8">
      <c r="C194" s="35"/>
      <c r="D194" s="94" t="s">
        <v>18</v>
      </c>
      <c r="E194" s="112" t="s">
        <v>5</v>
      </c>
      <c r="F194" s="35"/>
      <c r="G194" s="35"/>
      <c r="H194" s="35"/>
      <c r="I194" s="36"/>
      <c r="J194" s="36"/>
      <c r="L194" s="2"/>
      <c r="M194" s="2"/>
    </row>
    <row r="195" spans="3:13" ht="25.8">
      <c r="C195" s="35"/>
      <c r="D195" s="94" t="s">
        <v>18</v>
      </c>
      <c r="E195" s="112" t="s">
        <v>5</v>
      </c>
      <c r="F195" s="35"/>
      <c r="G195" s="35"/>
      <c r="H195" s="35"/>
      <c r="I195" s="36"/>
      <c r="J195" s="36"/>
      <c r="L195" s="2"/>
      <c r="M195" s="2"/>
    </row>
    <row r="196" spans="3:13" ht="25.8">
      <c r="C196" s="35"/>
      <c r="D196" s="94" t="s">
        <v>18</v>
      </c>
      <c r="E196" s="112" t="s">
        <v>5</v>
      </c>
      <c r="F196" s="35"/>
      <c r="G196" s="35"/>
      <c r="H196" s="35"/>
      <c r="I196" s="36"/>
      <c r="J196" s="36"/>
      <c r="L196" s="2"/>
      <c r="M196" s="2"/>
    </row>
    <row r="197" spans="3:13" ht="25.8">
      <c r="C197" s="35"/>
      <c r="D197" s="94" t="s">
        <v>18</v>
      </c>
      <c r="E197" s="112" t="s">
        <v>5</v>
      </c>
      <c r="F197" s="35"/>
      <c r="G197" s="35"/>
      <c r="H197" s="35"/>
      <c r="I197" s="36"/>
      <c r="J197" s="36"/>
      <c r="L197" s="2"/>
      <c r="M197" s="2"/>
    </row>
    <row r="198" spans="3:13" ht="25.8">
      <c r="C198" s="35"/>
      <c r="D198" s="94" t="s">
        <v>18</v>
      </c>
      <c r="E198" s="112" t="s">
        <v>5</v>
      </c>
      <c r="F198" s="35"/>
      <c r="G198" s="35"/>
      <c r="H198" s="35"/>
      <c r="I198" s="36"/>
      <c r="J198" s="36"/>
      <c r="L198" s="2"/>
      <c r="M198" s="2"/>
    </row>
    <row r="199" spans="3:13" ht="25.8">
      <c r="C199" s="35"/>
      <c r="D199" s="94" t="s">
        <v>18</v>
      </c>
      <c r="E199" s="112" t="s">
        <v>5</v>
      </c>
      <c r="F199" s="35"/>
      <c r="G199" s="35"/>
      <c r="H199" s="35"/>
      <c r="I199" s="36"/>
      <c r="J199" s="36"/>
      <c r="L199" s="2"/>
      <c r="M199" s="2"/>
    </row>
    <row r="200" spans="3:13" ht="25.8">
      <c r="C200" s="35"/>
      <c r="D200" s="94" t="s">
        <v>18</v>
      </c>
      <c r="E200" s="112" t="s">
        <v>5</v>
      </c>
      <c r="F200" s="35"/>
      <c r="G200" s="35"/>
      <c r="H200" s="35"/>
      <c r="I200" s="36"/>
      <c r="J200" s="36"/>
      <c r="L200" s="2"/>
      <c r="M200" s="2"/>
    </row>
    <row r="201" spans="3:13" ht="25.8">
      <c r="C201" s="35"/>
      <c r="D201" s="94" t="s">
        <v>18</v>
      </c>
      <c r="E201" s="112" t="s">
        <v>5</v>
      </c>
      <c r="F201" s="35"/>
      <c r="G201" s="35"/>
      <c r="H201" s="35"/>
      <c r="I201" s="36"/>
      <c r="J201" s="36"/>
      <c r="L201" s="2"/>
      <c r="M201" s="2"/>
    </row>
    <row r="202" spans="3:13" ht="25.8">
      <c r="C202" s="35"/>
      <c r="D202" s="94" t="s">
        <v>18</v>
      </c>
      <c r="E202" s="112" t="s">
        <v>5</v>
      </c>
      <c r="F202" s="35"/>
      <c r="G202" s="35"/>
      <c r="H202" s="35"/>
      <c r="I202" s="36"/>
      <c r="J202" s="36"/>
      <c r="L202" s="2"/>
      <c r="M202" s="2"/>
    </row>
    <row r="203" spans="3:13" ht="25.8">
      <c r="C203" s="35"/>
      <c r="D203" s="94" t="s">
        <v>18</v>
      </c>
      <c r="E203" s="112" t="s">
        <v>5</v>
      </c>
      <c r="F203" s="35"/>
      <c r="G203" s="35"/>
      <c r="H203" s="35"/>
      <c r="I203" s="36"/>
      <c r="J203" s="36"/>
      <c r="L203" s="2"/>
      <c r="M203" s="2"/>
    </row>
    <row r="204" spans="3:13" ht="25.8">
      <c r="C204" s="35"/>
      <c r="D204" s="94" t="s">
        <v>18</v>
      </c>
      <c r="E204" s="112" t="s">
        <v>5</v>
      </c>
      <c r="F204" s="35"/>
      <c r="G204" s="35"/>
      <c r="H204" s="35"/>
      <c r="I204" s="36"/>
      <c r="J204" s="36"/>
      <c r="L204" s="2"/>
      <c r="M204" s="2"/>
    </row>
    <row r="205" spans="3:13" ht="25.8">
      <c r="C205" s="35"/>
      <c r="D205" s="94" t="s">
        <v>18</v>
      </c>
      <c r="E205" s="112" t="s">
        <v>5</v>
      </c>
      <c r="F205" s="35"/>
      <c r="G205" s="35"/>
      <c r="H205" s="35"/>
      <c r="I205" s="36"/>
      <c r="J205" s="36"/>
      <c r="L205" s="2"/>
      <c r="M205" s="2"/>
    </row>
    <row r="206" spans="3:13" ht="25.8">
      <c r="C206" s="35"/>
      <c r="D206" s="94" t="s">
        <v>18</v>
      </c>
      <c r="E206" s="112" t="s">
        <v>5</v>
      </c>
      <c r="F206" s="35"/>
      <c r="G206" s="35"/>
      <c r="H206" s="35"/>
      <c r="I206" s="36"/>
      <c r="J206" s="36"/>
      <c r="L206" s="2"/>
      <c r="M206" s="2"/>
    </row>
    <row r="207" spans="3:13" ht="25.8">
      <c r="C207" s="35"/>
      <c r="D207" s="94" t="s">
        <v>18</v>
      </c>
      <c r="E207" s="112" t="s">
        <v>5</v>
      </c>
      <c r="F207" s="35"/>
      <c r="G207" s="35"/>
      <c r="H207" s="35"/>
      <c r="I207" s="36"/>
      <c r="J207" s="36"/>
      <c r="L207" s="2"/>
      <c r="M207" s="2"/>
    </row>
    <row r="208" spans="3:13" ht="25.8">
      <c r="C208" s="35"/>
      <c r="D208" s="94" t="s">
        <v>18</v>
      </c>
      <c r="E208" s="112" t="s">
        <v>5</v>
      </c>
      <c r="F208" s="35"/>
      <c r="G208" s="35"/>
      <c r="H208" s="35"/>
      <c r="I208" s="36"/>
      <c r="J208" s="36"/>
      <c r="L208" s="2"/>
      <c r="M208" s="2"/>
    </row>
    <row r="209" spans="3:13" ht="25.8">
      <c r="C209" s="35"/>
      <c r="D209" s="94" t="s">
        <v>18</v>
      </c>
      <c r="E209" s="112" t="s">
        <v>5</v>
      </c>
      <c r="F209" s="35"/>
      <c r="G209" s="35"/>
      <c r="H209" s="35"/>
      <c r="I209" s="36"/>
      <c r="J209" s="36"/>
      <c r="L209" s="2"/>
      <c r="M209" s="2"/>
    </row>
    <row r="210" spans="3:13" ht="25.8">
      <c r="C210" s="35"/>
      <c r="D210" s="94" t="s">
        <v>18</v>
      </c>
      <c r="E210" s="112" t="s">
        <v>5</v>
      </c>
      <c r="F210" s="35"/>
      <c r="G210" s="35"/>
      <c r="H210" s="35"/>
      <c r="I210" s="36"/>
      <c r="J210" s="36"/>
      <c r="L210" s="2"/>
      <c r="M210" s="2"/>
    </row>
    <row r="211" spans="3:13" ht="25.8">
      <c r="C211" s="35"/>
      <c r="D211" s="94" t="s">
        <v>18</v>
      </c>
      <c r="E211" s="112" t="s">
        <v>5</v>
      </c>
      <c r="F211" s="35"/>
      <c r="G211" s="35"/>
      <c r="H211" s="35"/>
      <c r="I211" s="36"/>
      <c r="J211" s="36"/>
      <c r="L211" s="2"/>
      <c r="M211" s="2"/>
    </row>
    <row r="212" spans="3:13" ht="25.8">
      <c r="C212" s="35"/>
      <c r="D212" s="94" t="s">
        <v>18</v>
      </c>
      <c r="E212" s="112" t="s">
        <v>5</v>
      </c>
      <c r="F212" s="35"/>
      <c r="G212" s="35"/>
      <c r="H212" s="35"/>
      <c r="I212" s="36"/>
      <c r="J212" s="36"/>
      <c r="L212" s="2"/>
      <c r="M212" s="2"/>
    </row>
    <row r="213" spans="3:13" ht="25.8">
      <c r="C213" s="35"/>
      <c r="D213" s="94" t="s">
        <v>18</v>
      </c>
      <c r="E213" s="112" t="s">
        <v>5</v>
      </c>
      <c r="F213" s="35"/>
      <c r="G213" s="35"/>
      <c r="H213" s="35"/>
      <c r="I213" s="36"/>
      <c r="J213" s="36"/>
      <c r="L213" s="2"/>
      <c r="M213" s="2"/>
    </row>
    <row r="214" spans="3:13" ht="25.8">
      <c r="C214" s="35"/>
      <c r="D214" s="94" t="s">
        <v>18</v>
      </c>
      <c r="E214" s="112" t="s">
        <v>5</v>
      </c>
      <c r="F214" s="35"/>
      <c r="G214" s="35"/>
      <c r="H214" s="35"/>
      <c r="I214" s="36"/>
      <c r="J214" s="36"/>
      <c r="L214" s="2"/>
      <c r="M214" s="2"/>
    </row>
    <row r="215" spans="3:13" ht="25.8">
      <c r="C215" s="35"/>
      <c r="D215" s="94" t="s">
        <v>18</v>
      </c>
      <c r="E215" s="112" t="s">
        <v>5</v>
      </c>
      <c r="F215" s="35"/>
      <c r="G215" s="35"/>
      <c r="H215" s="35"/>
      <c r="I215" s="36"/>
      <c r="J215" s="36"/>
      <c r="L215" s="2"/>
      <c r="M215" s="2"/>
    </row>
    <row r="216" spans="3:13" ht="25.8">
      <c r="C216" s="35"/>
      <c r="D216" s="94" t="s">
        <v>18</v>
      </c>
      <c r="E216" s="112" t="s">
        <v>5</v>
      </c>
      <c r="F216" s="35"/>
      <c r="G216" s="35"/>
      <c r="H216" s="35"/>
      <c r="I216" s="36"/>
      <c r="J216" s="36"/>
      <c r="L216" s="2"/>
      <c r="M216" s="2"/>
    </row>
    <row r="217" spans="3:13" ht="25.8">
      <c r="C217" s="35"/>
      <c r="D217" s="94" t="s">
        <v>18</v>
      </c>
      <c r="E217" s="112" t="s">
        <v>5</v>
      </c>
      <c r="F217" s="35"/>
      <c r="G217" s="35"/>
      <c r="H217" s="35"/>
      <c r="I217" s="36"/>
      <c r="J217" s="36"/>
      <c r="L217" s="2"/>
      <c r="M217" s="2"/>
    </row>
    <row r="218" spans="3:13" ht="25.8">
      <c r="C218" s="35"/>
      <c r="D218" s="94" t="s">
        <v>18</v>
      </c>
      <c r="E218" s="112" t="s">
        <v>5</v>
      </c>
      <c r="F218" s="35"/>
      <c r="G218" s="35"/>
      <c r="H218" s="35"/>
      <c r="I218" s="36"/>
      <c r="J218" s="36"/>
      <c r="L218" s="2"/>
      <c r="M218" s="2"/>
    </row>
    <row r="219" spans="3:13" ht="25.8">
      <c r="C219" s="35"/>
      <c r="D219" s="94" t="s">
        <v>18</v>
      </c>
      <c r="E219" s="112" t="s">
        <v>5</v>
      </c>
      <c r="F219" s="35"/>
      <c r="G219" s="35"/>
      <c r="H219" s="35"/>
      <c r="I219" s="36"/>
      <c r="J219" s="36"/>
      <c r="L219" s="2"/>
      <c r="M219" s="2"/>
    </row>
    <row r="220" spans="3:13" ht="25.8">
      <c r="C220" s="35"/>
      <c r="D220" s="94" t="s">
        <v>18</v>
      </c>
      <c r="E220" s="112" t="s">
        <v>5</v>
      </c>
      <c r="F220" s="35"/>
      <c r="G220" s="35"/>
      <c r="H220" s="35"/>
      <c r="I220" s="36"/>
      <c r="J220" s="36"/>
      <c r="L220" s="2"/>
      <c r="M220" s="2"/>
    </row>
    <row r="221" spans="3:13" ht="25.8">
      <c r="C221" s="35"/>
      <c r="D221" s="94" t="s">
        <v>18</v>
      </c>
      <c r="E221" s="112" t="s">
        <v>5</v>
      </c>
      <c r="F221" s="35"/>
      <c r="G221" s="35"/>
      <c r="H221" s="35"/>
      <c r="I221" s="36"/>
      <c r="J221" s="36"/>
      <c r="L221" s="2"/>
      <c r="M221" s="2"/>
    </row>
    <row r="222" spans="3:13" ht="25.8">
      <c r="C222" s="35"/>
      <c r="D222" s="94" t="s">
        <v>18</v>
      </c>
      <c r="E222" s="112" t="s">
        <v>5</v>
      </c>
      <c r="F222" s="35"/>
      <c r="G222" s="35"/>
      <c r="H222" s="35"/>
      <c r="I222" s="36"/>
      <c r="J222" s="36"/>
      <c r="L222" s="2"/>
      <c r="M222" s="2"/>
    </row>
    <row r="223" spans="3:13" ht="25.8">
      <c r="C223" s="35"/>
      <c r="D223" s="94" t="s">
        <v>18</v>
      </c>
      <c r="E223" s="112" t="s">
        <v>5</v>
      </c>
      <c r="F223" s="35"/>
      <c r="G223" s="35"/>
      <c r="H223" s="35"/>
      <c r="I223" s="36"/>
      <c r="J223" s="36"/>
      <c r="L223" s="2"/>
      <c r="M223" s="2"/>
    </row>
    <row r="224" spans="3:13" ht="25.8">
      <c r="C224" s="35"/>
      <c r="D224" s="94" t="s">
        <v>18</v>
      </c>
      <c r="E224" s="112" t="s">
        <v>5</v>
      </c>
      <c r="F224" s="35"/>
      <c r="G224" s="35"/>
      <c r="H224" s="35"/>
      <c r="I224" s="36"/>
      <c r="J224" s="36"/>
      <c r="L224" s="2"/>
      <c r="M224" s="2"/>
    </row>
    <row r="225" spans="3:13" ht="25.8">
      <c r="C225" s="35"/>
      <c r="D225" s="94" t="s">
        <v>18</v>
      </c>
      <c r="E225" s="112" t="s">
        <v>5</v>
      </c>
      <c r="F225" s="35"/>
      <c r="G225" s="35"/>
      <c r="H225" s="35"/>
      <c r="I225" s="36"/>
      <c r="J225" s="36"/>
      <c r="L225" s="2"/>
      <c r="M225" s="2"/>
    </row>
    <row r="226" spans="3:13" ht="25.8">
      <c r="C226" s="35"/>
      <c r="D226" s="94" t="s">
        <v>18</v>
      </c>
      <c r="E226" s="112" t="s">
        <v>5</v>
      </c>
      <c r="F226" s="35"/>
      <c r="G226" s="35"/>
      <c r="H226" s="35"/>
      <c r="I226" s="36"/>
      <c r="J226" s="36"/>
      <c r="L226" s="2"/>
      <c r="M226" s="2"/>
    </row>
    <row r="227" spans="3:13" ht="25.8">
      <c r="C227" s="35"/>
      <c r="D227" s="94" t="s">
        <v>18</v>
      </c>
      <c r="E227" s="112" t="s">
        <v>5</v>
      </c>
      <c r="F227" s="35"/>
      <c r="G227" s="35"/>
      <c r="H227" s="35"/>
      <c r="I227" s="36"/>
      <c r="J227" s="36"/>
      <c r="L227" s="2"/>
      <c r="M227" s="2"/>
    </row>
    <row r="228" spans="3:13" ht="25.8">
      <c r="C228" s="35"/>
      <c r="D228" s="94" t="s">
        <v>18</v>
      </c>
      <c r="E228" s="112" t="s">
        <v>5</v>
      </c>
      <c r="F228" s="35"/>
      <c r="G228" s="35"/>
      <c r="H228" s="35"/>
      <c r="I228" s="36"/>
      <c r="J228" s="36"/>
      <c r="L228" s="2"/>
      <c r="M228" s="2"/>
    </row>
    <row r="229" spans="3:13" ht="25.8">
      <c r="C229" s="35"/>
      <c r="D229" s="94" t="s">
        <v>18</v>
      </c>
      <c r="E229" s="112" t="s">
        <v>5</v>
      </c>
      <c r="F229" s="35"/>
      <c r="G229" s="35"/>
      <c r="H229" s="35"/>
      <c r="I229" s="36"/>
      <c r="J229" s="36"/>
      <c r="L229" s="2"/>
      <c r="M229" s="2"/>
    </row>
    <row r="230" spans="3:13" ht="25.8">
      <c r="C230" s="35"/>
      <c r="D230" s="94" t="s">
        <v>18</v>
      </c>
      <c r="E230" s="112" t="s">
        <v>5</v>
      </c>
      <c r="F230" s="35"/>
      <c r="G230" s="35"/>
      <c r="H230" s="35"/>
      <c r="I230" s="36"/>
      <c r="J230" s="36"/>
      <c r="L230" s="2"/>
      <c r="M230" s="2"/>
    </row>
    <row r="231" spans="3:13" ht="25.8">
      <c r="C231" s="35"/>
      <c r="D231" s="94" t="s">
        <v>18</v>
      </c>
      <c r="E231" s="112" t="s">
        <v>5</v>
      </c>
      <c r="F231" s="35"/>
      <c r="G231" s="35"/>
      <c r="H231" s="35"/>
      <c r="I231" s="36"/>
      <c r="J231" s="36"/>
      <c r="L231" s="2"/>
      <c r="M231" s="2"/>
    </row>
    <row r="232" spans="3:13" ht="25.8">
      <c r="C232" s="35"/>
      <c r="D232" s="94" t="s">
        <v>18</v>
      </c>
      <c r="E232" s="112" t="s">
        <v>5</v>
      </c>
      <c r="F232" s="35"/>
      <c r="G232" s="35"/>
      <c r="H232" s="35"/>
      <c r="I232" s="36"/>
      <c r="J232" s="36"/>
      <c r="L232" s="2"/>
      <c r="M232" s="2"/>
    </row>
    <row r="233" spans="3:13" ht="25.8">
      <c r="C233" s="35"/>
      <c r="D233" s="94" t="s">
        <v>18</v>
      </c>
      <c r="E233" s="112" t="s">
        <v>5</v>
      </c>
      <c r="F233" s="35"/>
      <c r="G233" s="35"/>
      <c r="H233" s="35"/>
      <c r="I233" s="36"/>
      <c r="J233" s="36"/>
      <c r="L233" s="2"/>
      <c r="M233" s="2"/>
    </row>
    <row r="234" spans="3:13" ht="25.8">
      <c r="C234" s="35"/>
      <c r="D234" s="94" t="s">
        <v>18</v>
      </c>
      <c r="E234" s="112" t="s">
        <v>5</v>
      </c>
      <c r="F234" s="35"/>
      <c r="G234" s="35"/>
      <c r="H234" s="35"/>
      <c r="I234" s="36"/>
      <c r="J234" s="36"/>
      <c r="L234" s="2"/>
      <c r="M234" s="2"/>
    </row>
    <row r="235" spans="3:13" ht="25.8">
      <c r="C235" s="35"/>
      <c r="D235" s="94" t="s">
        <v>18</v>
      </c>
      <c r="E235" s="112" t="s">
        <v>5</v>
      </c>
      <c r="F235" s="35"/>
      <c r="G235" s="35"/>
      <c r="H235" s="35"/>
      <c r="I235" s="36"/>
      <c r="J235" s="36"/>
      <c r="L235" s="2"/>
      <c r="M235" s="2"/>
    </row>
    <row r="236" spans="3:13" ht="25.8">
      <c r="C236" s="35"/>
      <c r="D236" s="94" t="s">
        <v>18</v>
      </c>
      <c r="E236" s="112" t="s">
        <v>5</v>
      </c>
      <c r="F236" s="35"/>
      <c r="G236" s="35"/>
      <c r="H236" s="35"/>
      <c r="I236" s="36"/>
      <c r="J236" s="36"/>
      <c r="L236" s="2"/>
      <c r="M236" s="2"/>
    </row>
    <row r="237" spans="3:13" ht="25.8">
      <c r="C237" s="35"/>
      <c r="D237" s="94" t="s">
        <v>18</v>
      </c>
      <c r="E237" s="112" t="s">
        <v>5</v>
      </c>
      <c r="F237" s="35"/>
      <c r="G237" s="35"/>
      <c r="H237" s="35"/>
      <c r="I237" s="36"/>
      <c r="J237" s="36"/>
      <c r="L237" s="2"/>
      <c r="M237" s="2"/>
    </row>
    <row r="238" spans="3:13" ht="25.8">
      <c r="C238" s="35"/>
      <c r="D238" s="94" t="s">
        <v>18</v>
      </c>
      <c r="E238" s="112" t="s">
        <v>5</v>
      </c>
      <c r="F238" s="35"/>
      <c r="G238" s="35"/>
      <c r="H238" s="35"/>
      <c r="I238" s="36"/>
      <c r="J238" s="36"/>
      <c r="L238" s="2"/>
      <c r="M238" s="2"/>
    </row>
    <row r="239" spans="3:13" ht="25.8">
      <c r="C239" s="35"/>
      <c r="D239" s="94" t="s">
        <v>18</v>
      </c>
      <c r="E239" s="112" t="s">
        <v>5</v>
      </c>
      <c r="F239" s="35"/>
      <c r="G239" s="35"/>
      <c r="H239" s="35"/>
      <c r="I239" s="36"/>
      <c r="J239" s="36"/>
      <c r="L239" s="2"/>
      <c r="M239" s="2"/>
    </row>
    <row r="240" spans="3:13" ht="25.8">
      <c r="C240" s="35"/>
      <c r="D240" s="94" t="s">
        <v>18</v>
      </c>
      <c r="E240" s="112" t="s">
        <v>5</v>
      </c>
      <c r="F240" s="35"/>
      <c r="G240" s="35"/>
      <c r="H240" s="35"/>
      <c r="I240" s="36"/>
      <c r="J240" s="36"/>
      <c r="L240" s="2"/>
      <c r="M240" s="2"/>
    </row>
    <row r="241" spans="3:13" ht="25.8">
      <c r="C241" s="35"/>
      <c r="D241" s="94" t="s">
        <v>18</v>
      </c>
      <c r="E241" s="112" t="s">
        <v>5</v>
      </c>
      <c r="F241" s="35"/>
      <c r="G241" s="35"/>
      <c r="H241" s="35"/>
      <c r="I241" s="36"/>
      <c r="J241" s="36"/>
      <c r="L241" s="2"/>
      <c r="M241" s="2"/>
    </row>
    <row r="242" spans="3:13" ht="25.8">
      <c r="C242" s="35"/>
      <c r="D242" s="94" t="s">
        <v>18</v>
      </c>
      <c r="E242" s="112" t="s">
        <v>5</v>
      </c>
      <c r="F242" s="35"/>
      <c r="G242" s="35"/>
      <c r="H242" s="35"/>
      <c r="I242" s="36"/>
      <c r="J242" s="36"/>
      <c r="L242" s="2"/>
      <c r="M242" s="2"/>
    </row>
    <row r="243" spans="3:13" ht="25.8">
      <c r="C243" s="35"/>
      <c r="D243" s="94" t="s">
        <v>18</v>
      </c>
      <c r="E243" s="112" t="s">
        <v>5</v>
      </c>
      <c r="F243" s="35"/>
      <c r="G243" s="35"/>
      <c r="H243" s="35"/>
      <c r="I243" s="36"/>
      <c r="J243" s="36"/>
      <c r="L243" s="2"/>
      <c r="M243" s="2"/>
    </row>
    <row r="244" spans="3:13" ht="25.8">
      <c r="C244" s="35"/>
      <c r="D244" s="94" t="s">
        <v>18</v>
      </c>
      <c r="E244" s="112" t="s">
        <v>5</v>
      </c>
      <c r="F244" s="35"/>
      <c r="G244" s="35"/>
      <c r="H244" s="35"/>
      <c r="I244" s="36"/>
      <c r="J244" s="36"/>
      <c r="L244" s="2"/>
      <c r="M244" s="2"/>
    </row>
    <row r="245" spans="3:13" ht="25.8">
      <c r="C245" s="35"/>
      <c r="D245" s="94" t="s">
        <v>18</v>
      </c>
      <c r="E245" s="112" t="s">
        <v>5</v>
      </c>
      <c r="F245" s="35"/>
      <c r="G245" s="35"/>
      <c r="H245" s="35"/>
      <c r="I245" s="36"/>
      <c r="J245" s="36"/>
      <c r="L245" s="2"/>
      <c r="M245" s="2"/>
    </row>
    <row r="246" spans="3:13" ht="25.8">
      <c r="C246" s="35"/>
      <c r="D246" s="94" t="s">
        <v>18</v>
      </c>
      <c r="E246" s="112" t="s">
        <v>5</v>
      </c>
      <c r="F246" s="35"/>
      <c r="G246" s="35"/>
      <c r="H246" s="35"/>
      <c r="I246" s="36"/>
      <c r="J246" s="36"/>
      <c r="L246" s="2"/>
      <c r="M246" s="2"/>
    </row>
    <row r="247" spans="3:13" ht="25.8">
      <c r="C247" s="35"/>
      <c r="D247" s="94" t="s">
        <v>18</v>
      </c>
      <c r="E247" s="112" t="s">
        <v>5</v>
      </c>
      <c r="F247" s="35"/>
      <c r="G247" s="35"/>
      <c r="H247" s="35"/>
      <c r="I247" s="36"/>
      <c r="J247" s="36"/>
      <c r="L247" s="2"/>
      <c r="M247" s="2"/>
    </row>
    <row r="248" spans="3:13" ht="25.8">
      <c r="C248" s="35"/>
      <c r="D248" s="94" t="s">
        <v>18</v>
      </c>
      <c r="E248" s="112" t="s">
        <v>5</v>
      </c>
      <c r="F248" s="35"/>
      <c r="G248" s="35"/>
      <c r="H248" s="35"/>
      <c r="I248" s="36"/>
      <c r="J248" s="36"/>
      <c r="L248" s="2"/>
      <c r="M248" s="2"/>
    </row>
    <row r="249" spans="3:13" ht="25.8">
      <c r="C249" s="35"/>
      <c r="D249" s="94" t="s">
        <v>18</v>
      </c>
      <c r="E249" s="112" t="s">
        <v>5</v>
      </c>
      <c r="F249" s="35"/>
      <c r="G249" s="35"/>
      <c r="H249" s="35"/>
      <c r="I249" s="36"/>
      <c r="J249" s="36"/>
      <c r="L249" s="2"/>
      <c r="M249" s="2"/>
    </row>
    <row r="250" spans="3:13" ht="25.8">
      <c r="C250" s="35"/>
      <c r="D250" s="94" t="s">
        <v>18</v>
      </c>
      <c r="E250" s="112" t="s">
        <v>5</v>
      </c>
      <c r="F250" s="35"/>
      <c r="G250" s="35"/>
      <c r="H250" s="35"/>
      <c r="I250" s="36"/>
      <c r="J250" s="36"/>
      <c r="L250" s="2"/>
      <c r="M250" s="2"/>
    </row>
    <row r="251" spans="3:13" ht="25.8">
      <c r="C251" s="35"/>
      <c r="D251" s="94" t="s">
        <v>18</v>
      </c>
      <c r="E251" s="112" t="s">
        <v>5</v>
      </c>
      <c r="F251" s="35"/>
      <c r="G251" s="35"/>
      <c r="H251" s="35"/>
      <c r="I251" s="36"/>
      <c r="J251" s="36"/>
      <c r="L251" s="2"/>
      <c r="M251" s="2"/>
    </row>
    <row r="252" spans="3:13" ht="25.8">
      <c r="C252" s="35"/>
      <c r="D252" s="94" t="s">
        <v>18</v>
      </c>
      <c r="E252" s="112" t="s">
        <v>5</v>
      </c>
      <c r="F252" s="35"/>
      <c r="G252" s="35"/>
      <c r="H252" s="35"/>
      <c r="I252" s="36"/>
      <c r="J252" s="36"/>
      <c r="L252" s="2"/>
      <c r="M252" s="2"/>
    </row>
    <row r="253" spans="3:13" ht="25.8">
      <c r="C253" s="35"/>
      <c r="D253" s="94" t="s">
        <v>18</v>
      </c>
      <c r="E253" s="112" t="s">
        <v>5</v>
      </c>
      <c r="F253" s="35"/>
      <c r="G253" s="35"/>
      <c r="H253" s="35"/>
      <c r="I253" s="36"/>
      <c r="J253" s="36"/>
      <c r="L253" s="2"/>
      <c r="M253" s="2"/>
    </row>
    <row r="254" spans="3:13" ht="25.8">
      <c r="C254" s="35"/>
      <c r="D254" s="94" t="s">
        <v>18</v>
      </c>
      <c r="E254" s="112" t="s">
        <v>5</v>
      </c>
      <c r="F254" s="35"/>
      <c r="G254" s="35"/>
      <c r="H254" s="35"/>
      <c r="I254" s="36"/>
      <c r="J254" s="36"/>
      <c r="L254" s="2"/>
      <c r="M254" s="2"/>
    </row>
    <row r="255" spans="3:13" ht="25.8">
      <c r="C255" s="35"/>
      <c r="D255" s="94" t="s">
        <v>18</v>
      </c>
      <c r="E255" s="112" t="s">
        <v>5</v>
      </c>
      <c r="F255" s="35"/>
      <c r="G255" s="35"/>
      <c r="H255" s="35"/>
      <c r="I255" s="36"/>
      <c r="J255" s="36"/>
      <c r="L255" s="2"/>
      <c r="M255" s="2"/>
    </row>
    <row r="256" spans="3:13" ht="25.8">
      <c r="C256" s="35"/>
      <c r="D256" s="94" t="s">
        <v>18</v>
      </c>
      <c r="E256" s="112" t="s">
        <v>5</v>
      </c>
      <c r="F256" s="35"/>
      <c r="G256" s="35"/>
      <c r="H256" s="35"/>
      <c r="I256" s="36"/>
      <c r="J256" s="36"/>
      <c r="L256" s="2"/>
      <c r="M256" s="2"/>
    </row>
    <row r="257" spans="3:13" ht="25.8">
      <c r="C257" s="35"/>
      <c r="D257" s="94" t="s">
        <v>18</v>
      </c>
      <c r="E257" s="112" t="s">
        <v>5</v>
      </c>
      <c r="F257" s="35"/>
      <c r="G257" s="35"/>
      <c r="H257" s="35"/>
      <c r="I257" s="36"/>
      <c r="J257" s="36"/>
      <c r="L257" s="2"/>
      <c r="M257" s="2"/>
    </row>
    <row r="258" spans="3:13" ht="25.8">
      <c r="C258" s="35"/>
      <c r="D258" s="94" t="s">
        <v>18</v>
      </c>
      <c r="E258" s="112" t="s">
        <v>5</v>
      </c>
      <c r="F258" s="35"/>
      <c r="G258" s="35"/>
      <c r="H258" s="35"/>
      <c r="I258" s="36"/>
      <c r="J258" s="36"/>
      <c r="L258" s="2"/>
      <c r="M258" s="2"/>
    </row>
    <row r="259" spans="3:13" ht="25.8">
      <c r="C259" s="35"/>
      <c r="D259" s="94" t="s">
        <v>18</v>
      </c>
      <c r="E259" s="112" t="s">
        <v>5</v>
      </c>
      <c r="F259" s="35"/>
      <c r="G259" s="35"/>
      <c r="H259" s="35"/>
      <c r="I259" s="36"/>
      <c r="J259" s="36"/>
      <c r="L259" s="2"/>
      <c r="M259" s="2"/>
    </row>
    <row r="260" spans="3:13" ht="25.8">
      <c r="C260" s="35"/>
      <c r="D260" s="94" t="s">
        <v>18</v>
      </c>
      <c r="E260" s="112" t="s">
        <v>5</v>
      </c>
      <c r="F260" s="35"/>
      <c r="G260" s="35"/>
      <c r="H260" s="35"/>
      <c r="I260" s="36"/>
      <c r="J260" s="36"/>
      <c r="L260" s="2"/>
      <c r="M260" s="2"/>
    </row>
    <row r="261" spans="3:13" ht="25.8">
      <c r="C261" s="35"/>
      <c r="D261" s="94" t="s">
        <v>18</v>
      </c>
      <c r="E261" s="112" t="s">
        <v>5</v>
      </c>
      <c r="F261" s="35"/>
      <c r="G261" s="35"/>
      <c r="H261" s="35"/>
      <c r="I261" s="36"/>
      <c r="J261" s="36"/>
      <c r="L261" s="2"/>
      <c r="M261" s="2"/>
    </row>
    <row r="262" spans="3:13" ht="25.8">
      <c r="C262" s="35"/>
      <c r="D262" s="94" t="s">
        <v>18</v>
      </c>
      <c r="E262" s="112" t="s">
        <v>5</v>
      </c>
      <c r="F262" s="35"/>
      <c r="G262" s="35"/>
      <c r="H262" s="35"/>
      <c r="I262" s="36"/>
      <c r="J262" s="36"/>
      <c r="L262" s="2"/>
      <c r="M262" s="2"/>
    </row>
    <row r="263" spans="3:13" ht="25.8">
      <c r="C263" s="35"/>
      <c r="D263" s="94" t="s">
        <v>18</v>
      </c>
      <c r="E263" s="112" t="s">
        <v>5</v>
      </c>
      <c r="F263" s="35"/>
      <c r="G263" s="35"/>
      <c r="H263" s="35"/>
      <c r="I263" s="36"/>
      <c r="J263" s="36"/>
      <c r="L263" s="2"/>
      <c r="M263" s="2"/>
    </row>
    <row r="264" spans="3:13" ht="25.8">
      <c r="C264" s="35"/>
      <c r="D264" s="94" t="s">
        <v>18</v>
      </c>
      <c r="E264" s="112" t="s">
        <v>5</v>
      </c>
      <c r="F264" s="35"/>
      <c r="G264" s="35"/>
      <c r="H264" s="35"/>
      <c r="I264" s="36"/>
      <c r="J264" s="36"/>
      <c r="L264" s="2"/>
      <c r="M264" s="2"/>
    </row>
    <row r="265" spans="3:13" ht="25.8">
      <c r="C265" s="35"/>
      <c r="D265" s="94" t="s">
        <v>18</v>
      </c>
      <c r="E265" s="112" t="s">
        <v>5</v>
      </c>
      <c r="F265" s="35"/>
      <c r="G265" s="35"/>
      <c r="H265" s="35"/>
      <c r="I265" s="36"/>
      <c r="J265" s="36"/>
      <c r="L265" s="2"/>
      <c r="M265" s="2"/>
    </row>
    <row r="266" spans="3:13" ht="25.8">
      <c r="C266" s="35"/>
      <c r="D266" s="94" t="s">
        <v>18</v>
      </c>
      <c r="E266" s="112" t="s">
        <v>5</v>
      </c>
      <c r="F266" s="35"/>
      <c r="G266" s="35"/>
      <c r="H266" s="35"/>
      <c r="I266" s="36"/>
      <c r="J266" s="36"/>
      <c r="L266" s="2"/>
      <c r="M266" s="2"/>
    </row>
    <row r="267" spans="3:13" ht="25.8">
      <c r="C267" s="35"/>
      <c r="D267" s="94" t="s">
        <v>18</v>
      </c>
      <c r="E267" s="112" t="s">
        <v>5</v>
      </c>
      <c r="F267" s="35"/>
      <c r="G267" s="35"/>
      <c r="H267" s="35"/>
      <c r="I267" s="36"/>
      <c r="J267" s="36"/>
      <c r="L267" s="2"/>
      <c r="M267" s="2"/>
    </row>
    <row r="268" spans="3:13" ht="25.8">
      <c r="C268" s="35"/>
      <c r="D268" s="94" t="s">
        <v>18</v>
      </c>
      <c r="E268" s="112" t="s">
        <v>5</v>
      </c>
      <c r="F268" s="35"/>
      <c r="G268" s="35"/>
      <c r="H268" s="35"/>
      <c r="I268" s="36"/>
      <c r="J268" s="36"/>
      <c r="L268" s="2"/>
      <c r="M268" s="2"/>
    </row>
    <row r="269" spans="3:13" ht="25.8">
      <c r="C269" s="35"/>
      <c r="D269" s="94" t="s">
        <v>18</v>
      </c>
      <c r="E269" s="112" t="s">
        <v>5</v>
      </c>
      <c r="F269" s="35"/>
      <c r="G269" s="35"/>
      <c r="H269" s="35"/>
      <c r="I269" s="36"/>
      <c r="J269" s="36"/>
      <c r="L269" s="2"/>
      <c r="M269" s="2"/>
    </row>
    <row r="270" spans="3:13" ht="25.8">
      <c r="C270" s="35"/>
      <c r="D270" s="94" t="s">
        <v>18</v>
      </c>
      <c r="E270" s="112" t="s">
        <v>5</v>
      </c>
      <c r="F270" s="35"/>
      <c r="G270" s="35"/>
      <c r="H270" s="35"/>
      <c r="I270" s="36"/>
      <c r="J270" s="36"/>
      <c r="L270" s="2"/>
      <c r="M270" s="2"/>
    </row>
    <row r="271" spans="3:13" ht="25.8">
      <c r="C271" s="35"/>
      <c r="D271" s="94" t="s">
        <v>18</v>
      </c>
      <c r="E271" s="112" t="s">
        <v>5</v>
      </c>
      <c r="F271" s="35"/>
      <c r="G271" s="35"/>
      <c r="H271" s="35"/>
      <c r="I271" s="36"/>
      <c r="J271" s="36"/>
      <c r="L271" s="2"/>
      <c r="M271" s="2"/>
    </row>
    <row r="272" spans="3:13" ht="25.8">
      <c r="C272" s="35"/>
      <c r="D272" s="94" t="s">
        <v>18</v>
      </c>
      <c r="E272" s="112" t="s">
        <v>5</v>
      </c>
      <c r="F272" s="35"/>
      <c r="G272" s="35"/>
      <c r="H272" s="35"/>
      <c r="I272" s="36"/>
      <c r="J272" s="36"/>
      <c r="L272" s="2"/>
      <c r="M272" s="2"/>
    </row>
    <row r="273" spans="3:13" ht="25.8">
      <c r="C273" s="35"/>
      <c r="D273" s="94" t="s">
        <v>18</v>
      </c>
      <c r="E273" s="112" t="s">
        <v>5</v>
      </c>
      <c r="F273" s="35"/>
      <c r="G273" s="35"/>
      <c r="H273" s="35"/>
      <c r="I273" s="36"/>
      <c r="J273" s="36"/>
      <c r="L273" s="2"/>
      <c r="M273" s="2"/>
    </row>
    <row r="274" spans="3:13" ht="25.8">
      <c r="C274" s="35"/>
      <c r="D274" s="94" t="s">
        <v>18</v>
      </c>
      <c r="E274" s="112" t="s">
        <v>5</v>
      </c>
      <c r="F274" s="35"/>
      <c r="G274" s="35"/>
      <c r="H274" s="35"/>
      <c r="I274" s="36"/>
      <c r="J274" s="36"/>
      <c r="L274" s="2"/>
      <c r="M274" s="2"/>
    </row>
    <row r="275" spans="3:13" ht="25.8">
      <c r="C275" s="35"/>
      <c r="D275" s="94" t="s">
        <v>18</v>
      </c>
      <c r="E275" s="112" t="s">
        <v>5</v>
      </c>
      <c r="F275" s="35"/>
      <c r="G275" s="35"/>
      <c r="H275" s="35"/>
      <c r="I275" s="36"/>
      <c r="J275" s="36"/>
      <c r="L275" s="2"/>
      <c r="M275" s="2"/>
    </row>
    <row r="276" spans="3:13" ht="25.8">
      <c r="C276" s="35"/>
      <c r="D276" s="94" t="s">
        <v>18</v>
      </c>
      <c r="E276" s="112" t="s">
        <v>5</v>
      </c>
      <c r="F276" s="35"/>
      <c r="G276" s="35"/>
      <c r="H276" s="35"/>
      <c r="I276" s="36"/>
      <c r="J276" s="36"/>
      <c r="L276" s="2"/>
      <c r="M276" s="2"/>
    </row>
    <row r="277" spans="3:13" ht="25.8">
      <c r="C277" s="35"/>
      <c r="D277" s="94" t="s">
        <v>18</v>
      </c>
      <c r="E277" s="112" t="s">
        <v>5</v>
      </c>
      <c r="F277" s="35"/>
      <c r="G277" s="35"/>
      <c r="H277" s="35"/>
      <c r="I277" s="36"/>
      <c r="J277" s="36"/>
      <c r="L277" s="2"/>
      <c r="M277" s="2"/>
    </row>
    <row r="278" spans="3:13" ht="25.8">
      <c r="C278" s="35"/>
      <c r="D278" s="94" t="s">
        <v>18</v>
      </c>
      <c r="E278" s="112" t="s">
        <v>5</v>
      </c>
      <c r="F278" s="35"/>
      <c r="G278" s="35"/>
      <c r="H278" s="35"/>
      <c r="I278" s="36"/>
      <c r="J278" s="36"/>
      <c r="L278" s="2"/>
      <c r="M278" s="2"/>
    </row>
    <row r="279" spans="3:13" ht="25.8">
      <c r="C279" s="35"/>
      <c r="D279" s="94" t="s">
        <v>18</v>
      </c>
      <c r="E279" s="112" t="s">
        <v>5</v>
      </c>
      <c r="F279" s="35"/>
      <c r="G279" s="35"/>
      <c r="H279" s="35"/>
      <c r="I279" s="36"/>
      <c r="J279" s="36"/>
      <c r="L279" s="2"/>
      <c r="M279" s="2"/>
    </row>
    <row r="280" spans="3:13" ht="25.8">
      <c r="C280" s="35"/>
      <c r="D280" s="94" t="s">
        <v>18</v>
      </c>
      <c r="E280" s="112" t="s">
        <v>5</v>
      </c>
      <c r="F280" s="35"/>
      <c r="G280" s="35"/>
      <c r="H280" s="35"/>
      <c r="I280" s="36"/>
      <c r="J280" s="36"/>
      <c r="L280" s="2"/>
      <c r="M280" s="2"/>
    </row>
    <row r="281" spans="3:13" ht="25.8">
      <c r="C281" s="35"/>
      <c r="D281" s="94" t="s">
        <v>18</v>
      </c>
      <c r="E281" s="112" t="s">
        <v>5</v>
      </c>
      <c r="F281" s="35"/>
      <c r="G281" s="35"/>
      <c r="H281" s="35"/>
      <c r="I281" s="36"/>
      <c r="J281" s="36"/>
      <c r="L281" s="2"/>
      <c r="M281" s="2"/>
    </row>
    <row r="282" spans="3:13" ht="25.8">
      <c r="C282" s="35"/>
      <c r="D282" s="94" t="s">
        <v>18</v>
      </c>
      <c r="E282" s="112" t="s">
        <v>5</v>
      </c>
      <c r="F282" s="35"/>
      <c r="G282" s="35"/>
      <c r="H282" s="35"/>
      <c r="I282" s="36"/>
      <c r="J282" s="36"/>
      <c r="L282" s="2"/>
      <c r="M282" s="2"/>
    </row>
    <row r="283" spans="3:13" ht="25.8">
      <c r="C283" s="35"/>
      <c r="D283" s="94" t="s">
        <v>18</v>
      </c>
      <c r="E283" s="112" t="s">
        <v>5</v>
      </c>
      <c r="F283" s="35"/>
      <c r="G283" s="35"/>
      <c r="H283" s="35"/>
      <c r="I283" s="36"/>
      <c r="J283" s="36"/>
      <c r="L283" s="2"/>
      <c r="M283" s="2"/>
    </row>
    <row r="284" spans="3:13" ht="25.8">
      <c r="C284" s="35"/>
      <c r="D284" s="94" t="s">
        <v>18</v>
      </c>
      <c r="E284" s="112" t="s">
        <v>5</v>
      </c>
      <c r="F284" s="35"/>
      <c r="G284" s="35"/>
      <c r="H284" s="35"/>
      <c r="I284" s="36"/>
      <c r="J284" s="36"/>
      <c r="L284" s="2"/>
      <c r="M284" s="2"/>
    </row>
    <row r="285" spans="3:13" ht="25.8">
      <c r="C285" s="35"/>
      <c r="D285" s="94" t="s">
        <v>18</v>
      </c>
      <c r="E285" s="112" t="s">
        <v>5</v>
      </c>
      <c r="F285" s="35"/>
      <c r="G285" s="35"/>
      <c r="H285" s="35"/>
      <c r="I285" s="36"/>
      <c r="J285" s="36"/>
      <c r="L285" s="2"/>
      <c r="M285" s="2"/>
    </row>
    <row r="286" spans="3:13" ht="25.8">
      <c r="C286" s="35"/>
      <c r="D286" s="94" t="s">
        <v>18</v>
      </c>
      <c r="E286" s="112" t="s">
        <v>5</v>
      </c>
      <c r="F286" s="35"/>
      <c r="G286" s="35"/>
      <c r="H286" s="35"/>
      <c r="I286" s="36"/>
      <c r="J286" s="36"/>
      <c r="L286" s="2"/>
      <c r="M286" s="2"/>
    </row>
    <row r="287" spans="3:13" ht="25.8">
      <c r="C287" s="35"/>
      <c r="D287" s="94" t="s">
        <v>18</v>
      </c>
      <c r="E287" s="112" t="s">
        <v>5</v>
      </c>
      <c r="F287" s="35"/>
      <c r="G287" s="35"/>
      <c r="H287" s="35"/>
      <c r="I287" s="36"/>
      <c r="J287" s="36"/>
      <c r="L287" s="2"/>
      <c r="M287" s="2"/>
    </row>
    <row r="288" spans="3:13" ht="25.8">
      <c r="C288" s="35"/>
      <c r="D288" s="94" t="s">
        <v>18</v>
      </c>
      <c r="E288" s="112" t="s">
        <v>5</v>
      </c>
      <c r="F288" s="35"/>
      <c r="G288" s="35"/>
      <c r="H288" s="35"/>
      <c r="I288" s="36"/>
      <c r="J288" s="36"/>
      <c r="L288" s="2"/>
      <c r="M288" s="2"/>
    </row>
    <row r="289" spans="3:13" ht="25.8">
      <c r="C289" s="35"/>
      <c r="D289" s="94" t="s">
        <v>18</v>
      </c>
      <c r="E289" s="112" t="s">
        <v>5</v>
      </c>
      <c r="F289" s="35"/>
      <c r="G289" s="35"/>
      <c r="H289" s="35"/>
      <c r="I289" s="36"/>
      <c r="J289" s="36"/>
      <c r="L289" s="2"/>
      <c r="M289" s="2"/>
    </row>
    <row r="290" spans="3:13" ht="25.8">
      <c r="C290" s="35"/>
      <c r="D290" s="94" t="s">
        <v>18</v>
      </c>
      <c r="E290" s="112" t="s">
        <v>5</v>
      </c>
      <c r="F290" s="35"/>
      <c r="G290" s="35"/>
      <c r="H290" s="35"/>
      <c r="I290" s="36"/>
      <c r="J290" s="36"/>
      <c r="L290" s="2"/>
      <c r="M290" s="2"/>
    </row>
    <row r="291" spans="3:13" ht="25.8">
      <c r="C291" s="35"/>
      <c r="D291" s="94" t="s">
        <v>18</v>
      </c>
      <c r="E291" s="112" t="s">
        <v>5</v>
      </c>
      <c r="F291" s="35"/>
      <c r="G291" s="35"/>
      <c r="H291" s="35"/>
      <c r="I291" s="36"/>
      <c r="J291" s="36"/>
      <c r="L291" s="2"/>
      <c r="M291" s="2"/>
    </row>
    <row r="292" spans="3:13" ht="25.8">
      <c r="C292" s="35"/>
      <c r="D292" s="94" t="s">
        <v>18</v>
      </c>
      <c r="E292" s="112" t="s">
        <v>5</v>
      </c>
      <c r="F292" s="35"/>
      <c r="G292" s="35"/>
      <c r="H292" s="35"/>
      <c r="I292" s="36"/>
      <c r="J292" s="36"/>
      <c r="L292" s="2"/>
      <c r="M292" s="2"/>
    </row>
    <row r="293" spans="3:13" ht="25.8">
      <c r="C293" s="35"/>
      <c r="D293" s="94" t="s">
        <v>18</v>
      </c>
      <c r="E293" s="112" t="s">
        <v>5</v>
      </c>
      <c r="F293" s="35"/>
      <c r="G293" s="35"/>
      <c r="H293" s="35"/>
      <c r="I293" s="36"/>
      <c r="J293" s="36"/>
      <c r="L293" s="2"/>
      <c r="M293" s="2"/>
    </row>
    <row r="294" spans="3:13" ht="25.8">
      <c r="C294" s="35"/>
      <c r="D294" s="94" t="s">
        <v>18</v>
      </c>
      <c r="E294" s="112" t="s">
        <v>5</v>
      </c>
      <c r="F294" s="35"/>
      <c r="G294" s="35"/>
      <c r="H294" s="35"/>
      <c r="I294" s="36"/>
      <c r="J294" s="36"/>
      <c r="L294" s="2"/>
      <c r="M294" s="2"/>
    </row>
    <row r="295" spans="3:13" ht="25.8">
      <c r="C295" s="35"/>
      <c r="D295" s="94" t="s">
        <v>18</v>
      </c>
      <c r="E295" s="112" t="s">
        <v>5</v>
      </c>
      <c r="F295" s="35"/>
      <c r="G295" s="35"/>
      <c r="H295" s="35"/>
      <c r="I295" s="36"/>
      <c r="J295" s="36"/>
      <c r="L295" s="2"/>
      <c r="M295" s="2"/>
    </row>
    <row r="296" spans="3:13" ht="25.8">
      <c r="C296" s="35"/>
      <c r="D296" s="94" t="s">
        <v>18</v>
      </c>
      <c r="E296" s="112" t="s">
        <v>5</v>
      </c>
      <c r="F296" s="35"/>
      <c r="G296" s="35"/>
      <c r="H296" s="35"/>
      <c r="I296" s="36"/>
      <c r="J296" s="36"/>
      <c r="L296" s="2"/>
      <c r="M296" s="2"/>
    </row>
    <row r="297" spans="3:13" ht="25.8">
      <c r="C297" s="35"/>
      <c r="D297" s="94" t="s">
        <v>18</v>
      </c>
      <c r="E297" s="112" t="s">
        <v>5</v>
      </c>
      <c r="F297" s="35"/>
      <c r="G297" s="35"/>
      <c r="H297" s="35"/>
      <c r="I297" s="36"/>
      <c r="J297" s="36"/>
      <c r="L297" s="2"/>
      <c r="M297" s="2"/>
    </row>
    <row r="298" spans="3:13" ht="25.8">
      <c r="C298" s="35"/>
      <c r="D298" s="94" t="s">
        <v>18</v>
      </c>
      <c r="E298" s="112" t="s">
        <v>5</v>
      </c>
      <c r="F298" s="35"/>
      <c r="G298" s="35"/>
      <c r="H298" s="35"/>
      <c r="I298" s="36"/>
      <c r="J298" s="36"/>
      <c r="L298" s="2"/>
      <c r="M298" s="2"/>
    </row>
    <row r="299" spans="3:13" ht="25.8">
      <c r="C299" s="35"/>
      <c r="D299" s="94" t="s">
        <v>18</v>
      </c>
      <c r="E299" s="112" t="s">
        <v>5</v>
      </c>
      <c r="F299" s="35"/>
      <c r="G299" s="35"/>
      <c r="H299" s="35"/>
      <c r="I299" s="36"/>
      <c r="J299" s="36"/>
      <c r="L299" s="2"/>
      <c r="M299" s="2"/>
    </row>
    <row r="300" spans="3:13" ht="25.8">
      <c r="C300" s="35"/>
      <c r="D300" s="94" t="s">
        <v>18</v>
      </c>
      <c r="E300" s="112" t="s">
        <v>5</v>
      </c>
      <c r="F300" s="35"/>
      <c r="G300" s="35"/>
      <c r="H300" s="35"/>
      <c r="I300" s="36"/>
      <c r="J300" s="36"/>
      <c r="L300" s="2"/>
      <c r="M300" s="2"/>
    </row>
    <row r="301" spans="3:13" ht="25.8">
      <c r="C301" s="90"/>
      <c r="D301" s="90"/>
      <c r="E301" s="91"/>
      <c r="F301" s="90"/>
      <c r="G301" s="90"/>
      <c r="H301" s="90"/>
      <c r="I301" s="92"/>
      <c r="J301" s="92"/>
    </row>
    <row r="302" spans="3:13" ht="25.8">
      <c r="C302" s="90"/>
      <c r="D302" s="90"/>
      <c r="E302" s="91"/>
      <c r="F302" s="90"/>
      <c r="G302" s="90"/>
      <c r="H302" s="90"/>
      <c r="I302" s="92"/>
      <c r="J302" s="92"/>
    </row>
    <row r="303" spans="3:13" ht="25.8">
      <c r="C303" s="90"/>
      <c r="D303" s="90"/>
      <c r="E303" s="91"/>
      <c r="F303" s="90"/>
      <c r="G303" s="90"/>
      <c r="H303" s="90"/>
      <c r="I303" s="92"/>
      <c r="J303" s="92"/>
    </row>
    <row r="304" spans="3:13" ht="25.8">
      <c r="C304" s="90"/>
      <c r="D304" s="90"/>
      <c r="E304" s="91"/>
      <c r="F304" s="90"/>
      <c r="G304" s="90"/>
      <c r="H304" s="90"/>
      <c r="I304" s="92"/>
      <c r="J304" s="92"/>
    </row>
    <row r="305" spans="3:10" ht="25.8">
      <c r="C305" s="90"/>
      <c r="D305" s="90"/>
      <c r="E305" s="91"/>
      <c r="F305" s="90"/>
      <c r="G305" s="90"/>
      <c r="H305" s="90"/>
      <c r="I305" s="92"/>
      <c r="J305" s="92"/>
    </row>
    <row r="306" spans="3:10" ht="25.8">
      <c r="C306" s="90"/>
      <c r="D306" s="90"/>
      <c r="E306" s="91"/>
      <c r="F306" s="90"/>
      <c r="G306" s="90"/>
      <c r="H306" s="90"/>
      <c r="I306" s="92"/>
      <c r="J306" s="92"/>
    </row>
    <row r="307" spans="3:10" ht="25.8">
      <c r="C307" s="90"/>
      <c r="D307" s="90"/>
      <c r="E307" s="91"/>
      <c r="F307" s="90"/>
      <c r="G307" s="90"/>
      <c r="H307" s="90"/>
      <c r="I307" s="92"/>
      <c r="J307" s="92"/>
    </row>
    <row r="308" spans="3:10" ht="25.8">
      <c r="C308" s="90"/>
      <c r="D308" s="90"/>
      <c r="E308" s="91"/>
      <c r="F308" s="90"/>
      <c r="G308" s="90"/>
      <c r="H308" s="90"/>
      <c r="I308" s="92"/>
      <c r="J308" s="92"/>
    </row>
    <row r="309" spans="3:10" ht="25.8">
      <c r="C309" s="90"/>
      <c r="D309" s="90"/>
      <c r="E309" s="91"/>
      <c r="F309" s="90"/>
      <c r="G309" s="90"/>
      <c r="H309" s="90"/>
      <c r="I309" s="92"/>
      <c r="J309" s="92"/>
    </row>
    <row r="310" spans="3:10" ht="25.8">
      <c r="C310" s="90"/>
      <c r="D310" s="90"/>
      <c r="E310" s="91"/>
      <c r="F310" s="90"/>
      <c r="G310" s="90"/>
      <c r="H310" s="90"/>
      <c r="I310" s="92"/>
      <c r="J310" s="92"/>
    </row>
    <row r="311" spans="3:10" ht="25.8">
      <c r="C311" s="90"/>
      <c r="D311" s="90"/>
      <c r="E311" s="91"/>
      <c r="F311" s="90"/>
      <c r="G311" s="90"/>
      <c r="H311" s="90"/>
      <c r="I311" s="92"/>
      <c r="J311" s="92"/>
    </row>
    <row r="312" spans="3:10" ht="25.8">
      <c r="C312" s="90"/>
      <c r="D312" s="90"/>
      <c r="E312" s="91"/>
      <c r="F312" s="90"/>
      <c r="G312" s="90"/>
      <c r="H312" s="90"/>
      <c r="I312" s="92"/>
      <c r="J312" s="92"/>
    </row>
    <row r="313" spans="3:10" ht="25.8">
      <c r="C313" s="90"/>
      <c r="D313" s="90"/>
      <c r="E313" s="91"/>
      <c r="F313" s="90"/>
      <c r="G313" s="90"/>
      <c r="H313" s="90"/>
      <c r="I313" s="92"/>
      <c r="J313" s="92"/>
    </row>
    <row r="314" spans="3:10" ht="25.8">
      <c r="C314" s="90"/>
      <c r="D314" s="90"/>
      <c r="E314" s="91"/>
      <c r="F314" s="90"/>
      <c r="G314" s="90"/>
      <c r="H314" s="90"/>
      <c r="I314" s="92"/>
      <c r="J314" s="92"/>
    </row>
    <row r="315" spans="3:10" ht="25.8">
      <c r="C315" s="90"/>
      <c r="D315" s="90"/>
      <c r="E315" s="91"/>
      <c r="F315" s="90"/>
      <c r="G315" s="90"/>
      <c r="H315" s="90"/>
      <c r="I315" s="92"/>
      <c r="J315" s="92"/>
    </row>
    <row r="316" spans="3:10" ht="25.8">
      <c r="C316" s="90"/>
      <c r="D316" s="90"/>
      <c r="E316" s="91"/>
      <c r="F316" s="90"/>
      <c r="G316" s="90"/>
      <c r="H316" s="90"/>
      <c r="I316" s="92"/>
      <c r="J316" s="92"/>
    </row>
    <row r="317" spans="3:10" ht="25.8">
      <c r="C317" s="90"/>
      <c r="D317" s="90"/>
      <c r="E317" s="91"/>
      <c r="F317" s="90"/>
      <c r="G317" s="90"/>
      <c r="H317" s="90"/>
      <c r="I317" s="92"/>
      <c r="J317" s="92"/>
    </row>
    <row r="318" spans="3:10" ht="25.8">
      <c r="C318" s="90"/>
      <c r="D318" s="90"/>
      <c r="E318" s="91"/>
      <c r="F318" s="90"/>
      <c r="G318" s="90"/>
      <c r="H318" s="90"/>
      <c r="I318" s="92"/>
      <c r="J318" s="92"/>
    </row>
    <row r="319" spans="3:10" ht="25.8">
      <c r="C319" s="90"/>
      <c r="D319" s="90"/>
      <c r="E319" s="91"/>
      <c r="F319" s="90"/>
      <c r="G319" s="90"/>
      <c r="H319" s="90"/>
      <c r="I319" s="92"/>
      <c r="J319" s="92"/>
    </row>
    <row r="320" spans="3:10" ht="25.8">
      <c r="C320" s="90"/>
      <c r="D320" s="90"/>
      <c r="E320" s="91"/>
      <c r="F320" s="90"/>
      <c r="G320" s="90"/>
      <c r="H320" s="90"/>
      <c r="I320" s="92"/>
      <c r="J320" s="92"/>
    </row>
    <row r="321" spans="3:10" ht="25.8">
      <c r="C321" s="90"/>
      <c r="D321" s="90"/>
      <c r="E321" s="91"/>
      <c r="F321" s="90"/>
      <c r="G321" s="90"/>
      <c r="H321" s="90"/>
      <c r="I321" s="92"/>
      <c r="J321" s="92"/>
    </row>
    <row r="322" spans="3:10" ht="25.8">
      <c r="C322" s="90"/>
      <c r="D322" s="90"/>
      <c r="E322" s="91"/>
      <c r="F322" s="90"/>
      <c r="G322" s="90"/>
      <c r="H322" s="90"/>
      <c r="I322" s="92"/>
      <c r="J322" s="92"/>
    </row>
    <row r="323" spans="3:10" ht="25.8">
      <c r="C323" s="90"/>
      <c r="D323" s="90"/>
      <c r="E323" s="91"/>
      <c r="F323" s="90"/>
      <c r="G323" s="90"/>
      <c r="H323" s="90"/>
      <c r="I323" s="92"/>
      <c r="J323" s="92"/>
    </row>
    <row r="324" spans="3:10" ht="25.8">
      <c r="C324" s="90"/>
      <c r="D324" s="90"/>
      <c r="E324" s="91"/>
      <c r="F324" s="90"/>
      <c r="G324" s="90"/>
      <c r="H324" s="90"/>
      <c r="I324" s="92"/>
      <c r="J324" s="92"/>
    </row>
    <row r="325" spans="3:10" ht="25.8">
      <c r="C325" s="90"/>
      <c r="D325" s="90"/>
      <c r="E325" s="91"/>
      <c r="F325" s="90"/>
      <c r="G325" s="90"/>
      <c r="H325" s="90"/>
      <c r="I325" s="92"/>
      <c r="J325" s="92"/>
    </row>
    <row r="326" spans="3:10" ht="25.8">
      <c r="C326" s="90"/>
      <c r="D326" s="90"/>
      <c r="E326" s="91"/>
      <c r="F326" s="90"/>
      <c r="G326" s="90"/>
      <c r="H326" s="90"/>
      <c r="I326" s="92"/>
      <c r="J326" s="92"/>
    </row>
    <row r="327" spans="3:10" ht="25.8">
      <c r="C327" s="90"/>
      <c r="D327" s="90"/>
      <c r="E327" s="91"/>
      <c r="F327" s="90"/>
      <c r="G327" s="90"/>
      <c r="H327" s="90"/>
      <c r="I327" s="92"/>
      <c r="J327" s="92"/>
    </row>
    <row r="328" spans="3:10" ht="25.8">
      <c r="C328" s="90"/>
      <c r="D328" s="90"/>
      <c r="E328" s="91"/>
      <c r="F328" s="90"/>
      <c r="G328" s="90"/>
      <c r="H328" s="90"/>
      <c r="I328" s="92"/>
      <c r="J328" s="92"/>
    </row>
    <row r="329" spans="3:10" ht="25.8">
      <c r="C329" s="90"/>
      <c r="D329" s="90"/>
      <c r="E329" s="91"/>
      <c r="F329" s="90"/>
      <c r="G329" s="90"/>
      <c r="H329" s="90"/>
      <c r="I329" s="92"/>
      <c r="J329" s="92"/>
    </row>
    <row r="330" spans="3:10" ht="25.8">
      <c r="C330" s="90"/>
      <c r="D330" s="90"/>
      <c r="E330" s="91"/>
      <c r="F330" s="90"/>
      <c r="G330" s="90"/>
      <c r="H330" s="90"/>
      <c r="I330" s="92"/>
      <c r="J330" s="92"/>
    </row>
  </sheetData>
  <mergeCells count="3">
    <mergeCell ref="C2:J4"/>
    <mergeCell ref="L3:M4"/>
    <mergeCell ref="C5:J5"/>
  </mergeCells>
  <conditionalFormatting sqref="F1:F1048576">
    <cfRule type="containsText" dxfId="122" priority="3" operator="containsText" text="White">
      <formula>NOT(ISERROR(SEARCH("White",F1)))</formula>
    </cfRule>
    <cfRule type="containsText" dxfId="121" priority="4" operator="containsText" text="Brown">
      <formula>NOT(ISERROR(SEARCH("Brown",F1)))</formula>
    </cfRule>
    <cfRule type="containsText" dxfId="120" priority="5" operator="containsText" text="Red">
      <formula>NOT(ISERROR(SEARCH("Red",F1)))</formula>
    </cfRule>
    <cfRule type="containsText" dxfId="119" priority="6" operator="containsText" text="Green">
      <formula>NOT(ISERROR(SEARCH("Green",F1)))</formula>
    </cfRule>
    <cfRule type="containsText" dxfId="118" priority="7" operator="containsText" text="Orange (10)">
      <formula>NOT(ISERROR(SEARCH("Orange (10)",F1)))</formula>
    </cfRule>
    <cfRule type="containsText" dxfId="117" priority="8" operator="containsText" text="Blue">
      <formula>NOT(ISERROR(SEARCH("Blue",F1)))</formula>
    </cfRule>
    <cfRule type="containsText" dxfId="116" priority="9" operator="containsText" text="Purple (10)">
      <formula>NOT(ISERROR(SEARCH("Purple (10)",F1)))</formula>
    </cfRule>
  </conditionalFormatting>
  <conditionalFormatting sqref="J1:J1048576">
    <cfRule type="beginsWith" dxfId="115" priority="2" operator="beginsWith" text="0">
      <formula>LEFT(J1,LEN("0"))="0"</formula>
    </cfRule>
  </conditionalFormatting>
  <conditionalFormatting sqref="I1:I1048576">
    <cfRule type="beginsWith" dxfId="114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N300"/>
  <sheetViews>
    <sheetView zoomScale="70" zoomScaleNormal="70" workbookViewId="0">
      <selection activeCell="L16" sqref="L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4">
      <c r="F1" t="s">
        <v>52</v>
      </c>
    </row>
    <row r="2" spans="3:14" ht="25.8">
      <c r="C2" s="142" t="s">
        <v>7</v>
      </c>
      <c r="D2" s="142"/>
      <c r="E2" s="142"/>
      <c r="F2" s="142"/>
      <c r="G2" s="142"/>
      <c r="H2" s="142"/>
      <c r="I2" s="142"/>
      <c r="J2" s="142"/>
      <c r="K2" s="1"/>
    </row>
    <row r="3" spans="3:14" ht="27.75" customHeight="1">
      <c r="C3" s="142"/>
      <c r="D3" s="142"/>
      <c r="E3" s="142"/>
      <c r="F3" s="142"/>
      <c r="G3" s="142"/>
      <c r="H3" s="142"/>
      <c r="I3" s="142"/>
      <c r="J3" s="142"/>
      <c r="K3" s="1"/>
      <c r="L3" s="135" t="s">
        <v>16</v>
      </c>
      <c r="M3" s="135"/>
    </row>
    <row r="4" spans="3:14" ht="27.75" customHeight="1">
      <c r="C4" s="142"/>
      <c r="D4" s="142"/>
      <c r="E4" s="142"/>
      <c r="F4" s="142"/>
      <c r="G4" s="142"/>
      <c r="H4" s="142"/>
      <c r="I4" s="142"/>
      <c r="J4" s="142"/>
      <c r="K4" s="1"/>
      <c r="L4" s="136"/>
      <c r="M4" s="136"/>
    </row>
    <row r="5" spans="3:14" ht="25.8">
      <c r="C5" s="134"/>
      <c r="D5" s="134"/>
      <c r="E5" s="134"/>
      <c r="F5" s="134"/>
      <c r="G5" s="134"/>
      <c r="H5" s="134"/>
      <c r="I5" s="134"/>
      <c r="J5" s="134"/>
      <c r="K5" s="1"/>
      <c r="L5" s="90"/>
      <c r="M5" s="90"/>
    </row>
    <row r="6" spans="3:14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137" t="s">
        <v>15</v>
      </c>
      <c r="K6" s="1"/>
      <c r="L6" s="122" t="s">
        <v>1</v>
      </c>
      <c r="M6" s="123" t="s">
        <v>0</v>
      </c>
    </row>
    <row r="7" spans="3:14" ht="25.8">
      <c r="C7" s="37">
        <v>46174</v>
      </c>
      <c r="D7" s="94" t="s">
        <v>18</v>
      </c>
      <c r="E7" s="94" t="s">
        <v>4</v>
      </c>
      <c r="F7" s="116" t="s">
        <v>53</v>
      </c>
      <c r="G7" s="94" t="s">
        <v>29</v>
      </c>
      <c r="H7" s="94" t="s">
        <v>89</v>
      </c>
      <c r="I7" s="130">
        <v>7194</v>
      </c>
      <c r="J7" s="130">
        <v>7194</v>
      </c>
      <c r="K7" s="1"/>
      <c r="L7" s="35"/>
      <c r="M7" s="35"/>
    </row>
    <row r="8" spans="3:14" ht="25.8">
      <c r="C8" s="37">
        <v>46174</v>
      </c>
      <c r="D8" s="94" t="s">
        <v>18</v>
      </c>
      <c r="E8" s="94" t="s">
        <v>4</v>
      </c>
      <c r="F8" s="116" t="s">
        <v>45</v>
      </c>
      <c r="G8" s="94" t="s">
        <v>29</v>
      </c>
      <c r="H8" s="94" t="s">
        <v>89</v>
      </c>
      <c r="I8" s="130">
        <v>27016</v>
      </c>
      <c r="J8" s="130">
        <v>27016</v>
      </c>
      <c r="K8" s="1"/>
      <c r="L8" s="35"/>
      <c r="M8" s="35"/>
    </row>
    <row r="9" spans="3:14" ht="25.8">
      <c r="C9" s="37">
        <v>46174</v>
      </c>
      <c r="D9" s="94" t="s">
        <v>18</v>
      </c>
      <c r="E9" s="94" t="s">
        <v>4</v>
      </c>
      <c r="F9" s="116" t="s">
        <v>46</v>
      </c>
      <c r="G9" s="94" t="s">
        <v>29</v>
      </c>
      <c r="H9" s="94" t="s">
        <v>89</v>
      </c>
      <c r="I9" s="130">
        <v>25695</v>
      </c>
      <c r="J9" s="130">
        <v>25695</v>
      </c>
      <c r="K9" s="1"/>
      <c r="L9" s="35"/>
      <c r="M9" s="35"/>
    </row>
    <row r="10" spans="3:14" ht="25.8">
      <c r="C10" s="37">
        <v>46174</v>
      </c>
      <c r="D10" s="94" t="s">
        <v>18</v>
      </c>
      <c r="E10" s="94" t="s">
        <v>4</v>
      </c>
      <c r="F10" s="116" t="s">
        <v>47</v>
      </c>
      <c r="G10" s="94" t="s">
        <v>29</v>
      </c>
      <c r="H10" s="94" t="s">
        <v>89</v>
      </c>
      <c r="I10" s="130">
        <v>9176</v>
      </c>
      <c r="J10" s="130">
        <v>9176</v>
      </c>
      <c r="K10" s="1"/>
      <c r="L10" s="35"/>
      <c r="M10" s="35"/>
    </row>
    <row r="11" spans="3:14" ht="25.8">
      <c r="C11" s="37">
        <v>46174</v>
      </c>
      <c r="D11" s="94" t="s">
        <v>18</v>
      </c>
      <c r="E11" s="94" t="s">
        <v>4</v>
      </c>
      <c r="F11" s="116" t="s">
        <v>49</v>
      </c>
      <c r="G11" s="94" t="s">
        <v>29</v>
      </c>
      <c r="H11" s="94" t="s">
        <v>89</v>
      </c>
      <c r="I11" s="130">
        <v>41655</v>
      </c>
      <c r="J11" s="130">
        <v>41655</v>
      </c>
      <c r="K11" s="1"/>
      <c r="L11" s="35"/>
      <c r="M11" s="35"/>
    </row>
    <row r="12" spans="3:14" ht="25.8">
      <c r="C12" s="37">
        <v>46174</v>
      </c>
      <c r="D12" s="94" t="s">
        <v>18</v>
      </c>
      <c r="E12" s="94" t="s">
        <v>4</v>
      </c>
      <c r="F12" s="116" t="s">
        <v>48</v>
      </c>
      <c r="G12" s="94" t="s">
        <v>29</v>
      </c>
      <c r="H12" s="94" t="s">
        <v>89</v>
      </c>
      <c r="I12" s="130">
        <v>8004</v>
      </c>
      <c r="J12" s="130">
        <v>8004</v>
      </c>
      <c r="K12" s="1"/>
      <c r="L12" s="35"/>
      <c r="M12" s="35"/>
    </row>
    <row r="13" spans="3:14" ht="25.8">
      <c r="C13" s="37">
        <v>46174</v>
      </c>
      <c r="D13" s="94" t="s">
        <v>18</v>
      </c>
      <c r="E13" s="94" t="s">
        <v>4</v>
      </c>
      <c r="F13" s="116" t="s">
        <v>50</v>
      </c>
      <c r="G13" s="94" t="s">
        <v>29</v>
      </c>
      <c r="H13" s="94" t="s">
        <v>89</v>
      </c>
      <c r="I13" s="130">
        <v>10090</v>
      </c>
      <c r="J13" s="130">
        <v>10090</v>
      </c>
      <c r="K13" s="1"/>
      <c r="L13" s="35"/>
      <c r="M13" s="35"/>
    </row>
    <row r="14" spans="3:14" ht="25.8">
      <c r="C14" s="37">
        <v>46174</v>
      </c>
      <c r="D14" s="94" t="s">
        <v>18</v>
      </c>
      <c r="E14" s="94" t="s">
        <v>4</v>
      </c>
      <c r="F14" s="116" t="s">
        <v>51</v>
      </c>
      <c r="G14" s="94" t="s">
        <v>29</v>
      </c>
      <c r="H14" s="94" t="s">
        <v>89</v>
      </c>
      <c r="I14" s="130">
        <v>21187</v>
      </c>
      <c r="J14" s="130">
        <v>21187</v>
      </c>
      <c r="K14" s="1"/>
      <c r="L14" s="35"/>
      <c r="M14" s="35"/>
    </row>
    <row r="15" spans="3:14" ht="25.8">
      <c r="C15" s="37">
        <v>46174</v>
      </c>
      <c r="D15" s="94" t="s">
        <v>18</v>
      </c>
      <c r="E15" s="94" t="s">
        <v>4</v>
      </c>
      <c r="F15" s="116" t="s">
        <v>54</v>
      </c>
      <c r="G15" s="94" t="s">
        <v>29</v>
      </c>
      <c r="H15" s="94" t="s">
        <v>89</v>
      </c>
      <c r="I15" s="130">
        <v>2918</v>
      </c>
      <c r="J15" s="130">
        <v>2918</v>
      </c>
      <c r="K15" s="1"/>
      <c r="L15" s="94"/>
      <c r="M15" s="94"/>
      <c r="N15" s="126"/>
    </row>
    <row r="16" spans="3:14" ht="25.8">
      <c r="C16" s="37">
        <v>46174</v>
      </c>
      <c r="D16" s="94" t="s">
        <v>18</v>
      </c>
      <c r="E16" s="94" t="s">
        <v>4</v>
      </c>
      <c r="F16" s="116" t="s">
        <v>60</v>
      </c>
      <c r="G16" s="112" t="s">
        <v>29</v>
      </c>
      <c r="H16" s="94" t="s">
        <v>89</v>
      </c>
      <c r="I16" s="110">
        <v>0</v>
      </c>
      <c r="J16" s="110">
        <v>0</v>
      </c>
      <c r="K16" s="1"/>
      <c r="L16" s="94"/>
      <c r="M16" s="94"/>
      <c r="N16" s="126"/>
    </row>
    <row r="17" spans="3:14" ht="25.8">
      <c r="C17" s="37">
        <v>46174</v>
      </c>
      <c r="D17" s="94" t="s">
        <v>18</v>
      </c>
      <c r="E17" s="94" t="s">
        <v>4</v>
      </c>
      <c r="F17" s="116" t="s">
        <v>90</v>
      </c>
      <c r="G17" s="94" t="s">
        <v>29</v>
      </c>
      <c r="H17" s="94" t="s">
        <v>89</v>
      </c>
      <c r="I17" s="130">
        <v>0</v>
      </c>
      <c r="J17" s="130">
        <v>0</v>
      </c>
      <c r="K17" s="1"/>
      <c r="L17" s="94"/>
      <c r="M17" s="94"/>
      <c r="N17" s="126"/>
    </row>
    <row r="18" spans="3:14" ht="25.8">
      <c r="C18" s="111"/>
      <c r="D18" s="94" t="s">
        <v>18</v>
      </c>
      <c r="E18" s="94" t="s">
        <v>4</v>
      </c>
      <c r="F18" s="112"/>
      <c r="G18" s="94"/>
      <c r="H18" s="94"/>
      <c r="I18" s="130"/>
      <c r="J18" s="130"/>
      <c r="K18" s="1"/>
      <c r="L18" s="94"/>
      <c r="M18" s="94"/>
      <c r="N18" s="126"/>
    </row>
    <row r="19" spans="3:14" ht="25.8">
      <c r="C19" s="106"/>
      <c r="D19" s="94" t="s">
        <v>18</v>
      </c>
      <c r="E19" s="94" t="s">
        <v>4</v>
      </c>
      <c r="F19" s="112"/>
      <c r="G19" s="94"/>
      <c r="H19" s="94"/>
      <c r="I19" s="130"/>
      <c r="J19" s="130"/>
      <c r="K19" s="1"/>
      <c r="L19" s="94"/>
      <c r="M19" s="94"/>
      <c r="N19" s="126"/>
    </row>
    <row r="20" spans="3:14" ht="25.8">
      <c r="C20" s="111"/>
      <c r="D20" s="94" t="s">
        <v>18</v>
      </c>
      <c r="E20" s="94" t="s">
        <v>4</v>
      </c>
      <c r="F20" s="112"/>
      <c r="G20" s="94"/>
      <c r="H20" s="94"/>
      <c r="I20" s="130"/>
      <c r="J20" s="130"/>
      <c r="K20" s="1"/>
      <c r="L20" s="94"/>
      <c r="M20" s="94"/>
      <c r="N20" s="126"/>
    </row>
    <row r="21" spans="3:14" ht="26.25" customHeight="1">
      <c r="C21" s="111"/>
      <c r="D21" s="94" t="s">
        <v>18</v>
      </c>
      <c r="E21" s="94" t="s">
        <v>4</v>
      </c>
      <c r="F21" s="116"/>
      <c r="G21" s="94"/>
      <c r="H21" s="94"/>
      <c r="I21" s="130"/>
      <c r="J21" s="130"/>
      <c r="K21" s="1"/>
      <c r="L21" s="94"/>
      <c r="M21" s="94"/>
      <c r="N21" s="126"/>
    </row>
    <row r="22" spans="3:14" ht="26.25" customHeight="1">
      <c r="C22" s="111"/>
      <c r="D22" s="94" t="s">
        <v>18</v>
      </c>
      <c r="E22" s="94" t="s">
        <v>4</v>
      </c>
      <c r="F22" s="116"/>
      <c r="G22" s="94"/>
      <c r="H22" s="94"/>
      <c r="I22" s="130"/>
      <c r="J22" s="130"/>
      <c r="K22" s="1"/>
      <c r="L22" s="94"/>
      <c r="M22" s="94"/>
      <c r="N22" s="126"/>
    </row>
    <row r="23" spans="3:14" ht="26.25" customHeight="1">
      <c r="C23" s="111"/>
      <c r="D23" s="94" t="s">
        <v>18</v>
      </c>
      <c r="E23" s="94" t="s">
        <v>4</v>
      </c>
      <c r="F23" s="116"/>
      <c r="G23" s="94"/>
      <c r="H23" s="94"/>
      <c r="I23" s="130"/>
      <c r="J23" s="130"/>
      <c r="K23" s="1"/>
      <c r="L23" s="94"/>
      <c r="M23" s="94"/>
      <c r="N23" s="126"/>
    </row>
    <row r="24" spans="3:14" ht="26.25" customHeight="1">
      <c r="C24" s="111"/>
      <c r="D24" s="94" t="s">
        <v>18</v>
      </c>
      <c r="E24" s="94" t="s">
        <v>4</v>
      </c>
      <c r="F24" s="116"/>
      <c r="G24" s="94"/>
      <c r="H24" s="94"/>
      <c r="I24" s="130"/>
      <c r="J24" s="130"/>
      <c r="K24" s="1"/>
      <c r="L24" s="94"/>
      <c r="M24" s="94"/>
      <c r="N24" s="126"/>
    </row>
    <row r="25" spans="3:14" ht="26.25" customHeight="1">
      <c r="C25" s="111"/>
      <c r="D25" s="94" t="s">
        <v>18</v>
      </c>
      <c r="E25" s="94" t="s">
        <v>4</v>
      </c>
      <c r="F25" s="116"/>
      <c r="G25" s="94"/>
      <c r="H25" s="94"/>
      <c r="I25" s="130"/>
      <c r="J25" s="130"/>
      <c r="K25" s="1"/>
      <c r="L25" s="94"/>
      <c r="M25" s="94"/>
      <c r="N25" s="126"/>
    </row>
    <row r="26" spans="3:14" ht="26.25" customHeight="1">
      <c r="C26" s="111"/>
      <c r="D26" s="94" t="s">
        <v>18</v>
      </c>
      <c r="E26" s="94" t="s">
        <v>4</v>
      </c>
      <c r="F26" s="116"/>
      <c r="G26" s="94"/>
      <c r="H26" s="94"/>
      <c r="I26" s="130"/>
      <c r="J26" s="130"/>
      <c r="K26" s="1"/>
      <c r="L26" s="94"/>
      <c r="M26" s="94"/>
      <c r="N26" s="126"/>
    </row>
    <row r="27" spans="3:14" ht="26.25" customHeight="1">
      <c r="C27" s="111"/>
      <c r="D27" s="94" t="s">
        <v>18</v>
      </c>
      <c r="E27" s="94" t="s">
        <v>4</v>
      </c>
      <c r="F27" s="116"/>
      <c r="G27" s="94"/>
      <c r="H27" s="94"/>
      <c r="I27" s="130"/>
      <c r="J27" s="130"/>
      <c r="K27" s="1"/>
      <c r="L27" s="94"/>
      <c r="M27" s="94"/>
      <c r="N27" s="126"/>
    </row>
    <row r="28" spans="3:14" ht="26.25" customHeight="1">
      <c r="C28" s="111"/>
      <c r="D28" s="94" t="s">
        <v>18</v>
      </c>
      <c r="E28" s="94" t="s">
        <v>4</v>
      </c>
      <c r="F28" s="116"/>
      <c r="G28" s="94"/>
      <c r="H28" s="94"/>
      <c r="I28" s="130"/>
      <c r="J28" s="130"/>
      <c r="K28" s="1"/>
      <c r="L28" s="94"/>
      <c r="M28" s="94"/>
      <c r="N28" s="126"/>
    </row>
    <row r="29" spans="3:14" ht="26.25" customHeight="1">
      <c r="C29" s="111"/>
      <c r="D29" s="94" t="s">
        <v>18</v>
      </c>
      <c r="E29" s="94" t="s">
        <v>4</v>
      </c>
      <c r="F29" s="116"/>
      <c r="G29" s="94"/>
      <c r="H29" s="94"/>
      <c r="I29" s="130"/>
      <c r="J29" s="130"/>
      <c r="K29" s="1"/>
      <c r="L29" s="94"/>
      <c r="M29" s="94"/>
      <c r="N29" s="126"/>
    </row>
    <row r="30" spans="3:14" ht="26.25" customHeight="1">
      <c r="C30" s="111"/>
      <c r="D30" s="94" t="s">
        <v>18</v>
      </c>
      <c r="E30" s="94" t="s">
        <v>4</v>
      </c>
      <c r="F30" s="116"/>
      <c r="G30" s="94"/>
      <c r="H30" s="94"/>
      <c r="I30" s="130"/>
      <c r="J30" s="130"/>
      <c r="K30" s="1"/>
      <c r="L30" s="94"/>
      <c r="M30" s="94"/>
      <c r="N30" s="126"/>
    </row>
    <row r="31" spans="3:14" ht="26.25" customHeight="1">
      <c r="C31" s="111"/>
      <c r="D31" s="94" t="s">
        <v>18</v>
      </c>
      <c r="E31" s="94" t="s">
        <v>4</v>
      </c>
      <c r="F31" s="116"/>
      <c r="G31" s="94"/>
      <c r="H31" s="94"/>
      <c r="I31" s="130"/>
      <c r="J31" s="130"/>
      <c r="K31" s="1"/>
      <c r="L31" s="94"/>
      <c r="M31" s="94"/>
      <c r="N31" s="126"/>
    </row>
    <row r="32" spans="3:14" ht="26.25" customHeight="1">
      <c r="C32" s="111"/>
      <c r="D32" s="94" t="s">
        <v>18</v>
      </c>
      <c r="E32" s="94" t="s">
        <v>4</v>
      </c>
      <c r="F32" s="112"/>
      <c r="G32" s="94"/>
      <c r="H32" s="94"/>
      <c r="I32" s="130"/>
      <c r="J32" s="130"/>
      <c r="K32" s="1"/>
      <c r="L32" s="94"/>
      <c r="M32" s="94"/>
      <c r="N32" s="126"/>
    </row>
    <row r="33" spans="3:14" ht="26.25" customHeight="1">
      <c r="C33" s="111"/>
      <c r="D33" s="94" t="s">
        <v>18</v>
      </c>
      <c r="E33" s="94" t="s">
        <v>4</v>
      </c>
      <c r="F33" s="116"/>
      <c r="G33" s="94"/>
      <c r="H33" s="94"/>
      <c r="I33" s="130"/>
      <c r="J33" s="130"/>
      <c r="K33" s="1"/>
      <c r="L33" s="94"/>
      <c r="M33" s="94"/>
      <c r="N33" s="126"/>
    </row>
    <row r="34" spans="3:14" ht="26.25" customHeight="1">
      <c r="C34" s="111"/>
      <c r="D34" s="94" t="s">
        <v>18</v>
      </c>
      <c r="E34" s="94" t="s">
        <v>4</v>
      </c>
      <c r="F34" s="116"/>
      <c r="G34" s="94"/>
      <c r="H34" s="94"/>
      <c r="I34" s="130"/>
      <c r="J34" s="130"/>
      <c r="K34" s="1"/>
      <c r="L34" s="94"/>
      <c r="M34" s="94"/>
      <c r="N34" s="126"/>
    </row>
    <row r="35" spans="3:14" ht="26.25" customHeight="1">
      <c r="C35" s="111"/>
      <c r="D35" s="94" t="s">
        <v>18</v>
      </c>
      <c r="E35" s="94" t="s">
        <v>4</v>
      </c>
      <c r="F35" s="112"/>
      <c r="G35" s="94"/>
      <c r="H35" s="94"/>
      <c r="I35" s="130"/>
      <c r="J35" s="130"/>
      <c r="K35" s="1"/>
      <c r="L35" s="112"/>
      <c r="M35" s="112"/>
      <c r="N35" s="126"/>
    </row>
    <row r="36" spans="3:14" ht="26.25" customHeight="1">
      <c r="C36" s="111"/>
      <c r="D36" s="94" t="s">
        <v>18</v>
      </c>
      <c r="E36" s="94" t="s">
        <v>4</v>
      </c>
      <c r="F36" s="116"/>
      <c r="G36" s="94"/>
      <c r="H36" s="94"/>
      <c r="I36" s="130"/>
      <c r="J36" s="130"/>
      <c r="K36" s="1"/>
      <c r="L36" s="94"/>
      <c r="M36" s="94"/>
      <c r="N36" s="126"/>
    </row>
    <row r="37" spans="3:14" ht="26.25" customHeight="1">
      <c r="C37" s="111"/>
      <c r="D37" s="94" t="s">
        <v>18</v>
      </c>
      <c r="E37" s="94" t="s">
        <v>4</v>
      </c>
      <c r="F37" s="116"/>
      <c r="G37" s="94"/>
      <c r="H37" s="94"/>
      <c r="I37" s="130"/>
      <c r="J37" s="130"/>
      <c r="K37" s="1"/>
      <c r="L37" s="94"/>
      <c r="M37" s="94"/>
      <c r="N37" s="126"/>
    </row>
    <row r="38" spans="3:14" ht="26.25" customHeight="1">
      <c r="C38" s="111"/>
      <c r="D38" s="94" t="s">
        <v>18</v>
      </c>
      <c r="E38" s="94" t="s">
        <v>4</v>
      </c>
      <c r="F38" s="116"/>
      <c r="G38" s="94"/>
      <c r="H38" s="94"/>
      <c r="I38" s="94"/>
      <c r="J38" s="130"/>
      <c r="L38" s="94"/>
      <c r="M38" s="94"/>
      <c r="N38" s="126"/>
    </row>
    <row r="39" spans="3:14" ht="26.25" customHeight="1">
      <c r="C39" s="111"/>
      <c r="D39" s="94" t="s">
        <v>18</v>
      </c>
      <c r="E39" s="94" t="s">
        <v>4</v>
      </c>
      <c r="F39" s="116"/>
      <c r="G39" s="94"/>
      <c r="H39" s="94"/>
      <c r="I39" s="94"/>
      <c r="J39" s="130"/>
      <c r="L39" s="94"/>
      <c r="M39" s="94"/>
      <c r="N39" s="126"/>
    </row>
    <row r="40" spans="3:14" ht="26.25" customHeight="1">
      <c r="C40" s="111"/>
      <c r="D40" s="94" t="s">
        <v>18</v>
      </c>
      <c r="E40" s="94" t="s">
        <v>4</v>
      </c>
      <c r="F40" s="116"/>
      <c r="G40" s="94"/>
      <c r="H40" s="94"/>
      <c r="I40" s="94"/>
      <c r="J40" s="130"/>
      <c r="L40" s="94"/>
      <c r="M40" s="94"/>
      <c r="N40" s="126"/>
    </row>
    <row r="41" spans="3:14" ht="26.25" customHeight="1">
      <c r="C41" s="111"/>
      <c r="D41" s="94" t="s">
        <v>18</v>
      </c>
      <c r="E41" s="94" t="s">
        <v>4</v>
      </c>
      <c r="F41" s="116"/>
      <c r="G41" s="94"/>
      <c r="H41" s="94"/>
      <c r="I41" s="94"/>
      <c r="J41" s="130"/>
      <c r="L41" s="94"/>
      <c r="M41" s="94"/>
      <c r="N41" s="126"/>
    </row>
    <row r="42" spans="3:14" ht="26.25" customHeight="1">
      <c r="C42" s="111"/>
      <c r="D42" s="94" t="s">
        <v>18</v>
      </c>
      <c r="E42" s="94" t="s">
        <v>4</v>
      </c>
      <c r="F42" s="116"/>
      <c r="G42" s="94"/>
      <c r="H42" s="94"/>
      <c r="I42" s="94"/>
      <c r="J42" s="130"/>
      <c r="L42" s="94"/>
      <c r="M42" s="94"/>
      <c r="N42" s="126"/>
    </row>
    <row r="43" spans="3:14" ht="26.25" customHeight="1">
      <c r="C43" s="106"/>
      <c r="D43" s="94" t="s">
        <v>18</v>
      </c>
      <c r="E43" s="94" t="s">
        <v>4</v>
      </c>
      <c r="F43" s="94"/>
      <c r="G43" s="94"/>
      <c r="H43" s="94"/>
      <c r="I43" s="94"/>
      <c r="J43" s="130"/>
      <c r="L43" s="94"/>
      <c r="M43" s="94"/>
      <c r="N43" s="126"/>
    </row>
    <row r="44" spans="3:14" ht="26.25" customHeight="1">
      <c r="C44" s="106"/>
      <c r="D44" s="94" t="s">
        <v>18</v>
      </c>
      <c r="E44" s="94" t="s">
        <v>4</v>
      </c>
      <c r="F44" s="94"/>
      <c r="G44" s="94"/>
      <c r="H44" s="94"/>
      <c r="I44" s="94"/>
      <c r="J44" s="130"/>
      <c r="L44" s="94"/>
      <c r="M44" s="94"/>
      <c r="N44" s="126"/>
    </row>
    <row r="45" spans="3:14" ht="26.25" customHeight="1">
      <c r="C45" s="106"/>
      <c r="D45" s="94" t="s">
        <v>18</v>
      </c>
      <c r="E45" s="94" t="s">
        <v>4</v>
      </c>
      <c r="F45" s="94"/>
      <c r="G45" s="94"/>
      <c r="H45" s="94"/>
      <c r="I45" s="94"/>
      <c r="J45" s="130"/>
      <c r="L45" s="94"/>
      <c r="M45" s="94"/>
      <c r="N45" s="126"/>
    </row>
    <row r="46" spans="3:14" ht="26.25" customHeight="1">
      <c r="C46" s="106"/>
      <c r="D46" s="94" t="s">
        <v>18</v>
      </c>
      <c r="E46" s="94" t="s">
        <v>4</v>
      </c>
      <c r="F46" s="95"/>
      <c r="G46" s="95"/>
      <c r="H46" s="95"/>
      <c r="I46" s="95"/>
      <c r="J46" s="133"/>
      <c r="L46" s="95"/>
      <c r="M46" s="95"/>
      <c r="N46" s="126"/>
    </row>
    <row r="47" spans="3:14" ht="26.25" customHeight="1">
      <c r="C47" s="106"/>
      <c r="D47" s="94" t="s">
        <v>18</v>
      </c>
      <c r="E47" s="94" t="s">
        <v>4</v>
      </c>
      <c r="F47" s="95"/>
      <c r="G47" s="95"/>
      <c r="H47" s="95"/>
      <c r="I47" s="95"/>
      <c r="J47" s="133"/>
      <c r="L47" s="95"/>
      <c r="M47" s="95"/>
      <c r="N47" s="126"/>
    </row>
    <row r="48" spans="3:14" ht="26.25" customHeight="1">
      <c r="C48" s="106"/>
      <c r="D48" s="94" t="s">
        <v>18</v>
      </c>
      <c r="E48" s="94" t="s">
        <v>4</v>
      </c>
      <c r="F48" s="95"/>
      <c r="G48" s="95"/>
      <c r="H48" s="95"/>
      <c r="I48" s="95"/>
      <c r="J48" s="133"/>
      <c r="L48" s="95"/>
      <c r="M48" s="95"/>
      <c r="N48" s="126"/>
    </row>
    <row r="49" spans="3:13" ht="26.25" customHeight="1">
      <c r="C49" s="94"/>
      <c r="D49" s="94" t="s">
        <v>18</v>
      </c>
      <c r="E49" s="94" t="s">
        <v>4</v>
      </c>
      <c r="F49" s="94"/>
      <c r="G49" s="94"/>
      <c r="H49" s="94"/>
      <c r="I49" s="94"/>
      <c r="J49" s="130"/>
      <c r="L49" s="35"/>
      <c r="M49" s="35"/>
    </row>
    <row r="50" spans="3:13" ht="26.25" customHeight="1">
      <c r="C50" s="94"/>
      <c r="D50" s="94" t="s">
        <v>18</v>
      </c>
      <c r="E50" s="94" t="s">
        <v>4</v>
      </c>
      <c r="F50" s="94"/>
      <c r="G50" s="94"/>
      <c r="H50" s="94"/>
      <c r="I50" s="94"/>
      <c r="J50" s="130"/>
      <c r="L50" s="35"/>
      <c r="M50" s="35"/>
    </row>
    <row r="51" spans="3:13" ht="26.25" customHeight="1">
      <c r="C51" s="94"/>
      <c r="D51" s="94" t="s">
        <v>18</v>
      </c>
      <c r="E51" s="94" t="s">
        <v>4</v>
      </c>
      <c r="F51" s="94"/>
      <c r="G51" s="94"/>
      <c r="H51" s="94"/>
      <c r="I51" s="94"/>
      <c r="J51" s="130"/>
      <c r="L51" s="35"/>
      <c r="M51" s="35"/>
    </row>
    <row r="52" spans="3:13" ht="26.25" customHeight="1">
      <c r="C52" s="94"/>
      <c r="D52" s="94" t="s">
        <v>18</v>
      </c>
      <c r="E52" s="94" t="s">
        <v>4</v>
      </c>
      <c r="F52" s="94"/>
      <c r="G52" s="94"/>
      <c r="H52" s="94"/>
      <c r="I52" s="94"/>
      <c r="J52" s="130"/>
      <c r="L52" s="35"/>
      <c r="M52" s="35"/>
    </row>
    <row r="53" spans="3:13" ht="26.25" customHeight="1">
      <c r="C53" s="94"/>
      <c r="D53" s="94" t="s">
        <v>18</v>
      </c>
      <c r="E53" s="94" t="s">
        <v>4</v>
      </c>
      <c r="F53" s="94"/>
      <c r="G53" s="94"/>
      <c r="H53" s="94"/>
      <c r="I53" s="94"/>
      <c r="J53" s="130"/>
      <c r="L53" s="35"/>
      <c r="M53" s="35"/>
    </row>
    <row r="54" spans="3:13" ht="26.25" customHeight="1">
      <c r="C54" s="94"/>
      <c r="D54" s="94" t="s">
        <v>18</v>
      </c>
      <c r="E54" s="94" t="s">
        <v>4</v>
      </c>
      <c r="F54" s="94"/>
      <c r="G54" s="94"/>
      <c r="H54" s="94"/>
      <c r="I54" s="94"/>
      <c r="J54" s="130"/>
      <c r="L54" s="35"/>
      <c r="M54" s="35"/>
    </row>
    <row r="55" spans="3:13" ht="26.25" customHeight="1">
      <c r="C55" s="94"/>
      <c r="D55" s="94" t="s">
        <v>18</v>
      </c>
      <c r="E55" s="94" t="s">
        <v>4</v>
      </c>
      <c r="F55" s="94"/>
      <c r="G55" s="94"/>
      <c r="H55" s="94"/>
      <c r="I55" s="94"/>
      <c r="J55" s="130"/>
      <c r="L55" s="35"/>
      <c r="M55" s="35"/>
    </row>
    <row r="56" spans="3:13" ht="26.25" customHeight="1">
      <c r="C56" s="94"/>
      <c r="D56" s="94" t="s">
        <v>18</v>
      </c>
      <c r="E56" s="94" t="s">
        <v>4</v>
      </c>
      <c r="F56" s="94"/>
      <c r="G56" s="94"/>
      <c r="H56" s="94"/>
      <c r="I56" s="94"/>
      <c r="J56" s="130"/>
      <c r="L56" s="35"/>
      <c r="M56" s="35"/>
    </row>
    <row r="57" spans="3:13" ht="26.25" customHeight="1">
      <c r="C57" s="94"/>
      <c r="D57" s="94" t="s">
        <v>18</v>
      </c>
      <c r="E57" s="94" t="s">
        <v>4</v>
      </c>
      <c r="F57" s="94"/>
      <c r="G57" s="94"/>
      <c r="H57" s="94"/>
      <c r="I57" s="94"/>
      <c r="J57" s="130"/>
      <c r="L57" s="35"/>
      <c r="M57" s="35"/>
    </row>
    <row r="58" spans="3:13" ht="26.25" customHeight="1">
      <c r="C58" s="94"/>
      <c r="D58" s="94" t="s">
        <v>18</v>
      </c>
      <c r="E58" s="94" t="s">
        <v>4</v>
      </c>
      <c r="F58" s="94"/>
      <c r="G58" s="94"/>
      <c r="H58" s="94"/>
      <c r="I58" s="94"/>
      <c r="J58" s="130"/>
      <c r="L58" s="35"/>
      <c r="M58" s="35"/>
    </row>
    <row r="59" spans="3:13" ht="25.8">
      <c r="C59" s="35"/>
      <c r="D59" s="94" t="s">
        <v>18</v>
      </c>
      <c r="E59" s="94" t="s">
        <v>4</v>
      </c>
      <c r="F59" s="35"/>
      <c r="G59" s="35"/>
      <c r="H59" s="35"/>
      <c r="I59" s="35"/>
      <c r="J59" s="36"/>
      <c r="L59" s="35"/>
      <c r="M59" s="35"/>
    </row>
    <row r="60" spans="3:13" ht="25.8">
      <c r="C60" s="35"/>
      <c r="D60" s="94" t="s">
        <v>18</v>
      </c>
      <c r="E60" s="94" t="s">
        <v>4</v>
      </c>
      <c r="F60" s="35"/>
      <c r="G60" s="35"/>
      <c r="H60" s="35"/>
      <c r="I60" s="35"/>
      <c r="J60" s="36"/>
      <c r="L60" s="35"/>
      <c r="M60" s="35"/>
    </row>
    <row r="61" spans="3:13" ht="25.8">
      <c r="C61" s="35"/>
      <c r="D61" s="94" t="s">
        <v>18</v>
      </c>
      <c r="E61" s="94" t="s">
        <v>4</v>
      </c>
      <c r="F61" s="35"/>
      <c r="G61" s="35"/>
      <c r="H61" s="35"/>
      <c r="I61" s="35"/>
      <c r="J61" s="36"/>
      <c r="L61" s="35"/>
      <c r="M61" s="35"/>
    </row>
    <row r="62" spans="3:13" ht="25.8">
      <c r="C62" s="35"/>
      <c r="D62" s="94" t="s">
        <v>18</v>
      </c>
      <c r="E62" s="94" t="s">
        <v>4</v>
      </c>
      <c r="F62" s="35"/>
      <c r="G62" s="35"/>
      <c r="H62" s="35"/>
      <c r="I62" s="35"/>
      <c r="J62" s="36"/>
      <c r="L62" s="35"/>
      <c r="M62" s="35"/>
    </row>
    <row r="63" spans="3:13" ht="25.8">
      <c r="C63" s="35"/>
      <c r="D63" s="94" t="s">
        <v>18</v>
      </c>
      <c r="E63" s="94" t="s">
        <v>4</v>
      </c>
      <c r="F63" s="35"/>
      <c r="G63" s="35"/>
      <c r="H63" s="35"/>
      <c r="I63" s="35"/>
      <c r="J63" s="36"/>
      <c r="L63" s="35"/>
      <c r="M63" s="35"/>
    </row>
    <row r="64" spans="3:13" ht="25.8">
      <c r="C64" s="35"/>
      <c r="D64" s="94" t="s">
        <v>18</v>
      </c>
      <c r="E64" s="94" t="s">
        <v>4</v>
      </c>
      <c r="F64" s="35"/>
      <c r="G64" s="35"/>
      <c r="H64" s="35"/>
      <c r="I64" s="35"/>
      <c r="J64" s="36"/>
      <c r="L64" s="35"/>
      <c r="M64" s="35"/>
    </row>
    <row r="65" spans="3:13" ht="25.8">
      <c r="C65" s="35"/>
      <c r="D65" s="94" t="s">
        <v>18</v>
      </c>
      <c r="E65" s="94" t="s">
        <v>4</v>
      </c>
      <c r="F65" s="35"/>
      <c r="G65" s="35"/>
      <c r="H65" s="35"/>
      <c r="I65" s="35"/>
      <c r="J65" s="36"/>
      <c r="L65" s="35"/>
      <c r="M65" s="35"/>
    </row>
    <row r="66" spans="3:13" ht="25.8">
      <c r="C66" s="35"/>
      <c r="D66" s="94" t="s">
        <v>18</v>
      </c>
      <c r="E66" s="94" t="s">
        <v>4</v>
      </c>
      <c r="F66" s="35"/>
      <c r="G66" s="35"/>
      <c r="H66" s="35"/>
      <c r="I66" s="35"/>
      <c r="J66" s="36"/>
      <c r="L66" s="35"/>
      <c r="M66" s="35"/>
    </row>
    <row r="67" spans="3:13" ht="25.8">
      <c r="C67" s="35"/>
      <c r="D67" s="94" t="s">
        <v>18</v>
      </c>
      <c r="E67" s="94" t="s">
        <v>4</v>
      </c>
      <c r="F67" s="35"/>
      <c r="G67" s="35"/>
      <c r="H67" s="35"/>
      <c r="I67" s="35"/>
      <c r="J67" s="36"/>
      <c r="L67" s="35"/>
      <c r="M67" s="35"/>
    </row>
    <row r="68" spans="3:13" ht="25.8">
      <c r="C68" s="35"/>
      <c r="D68" s="94" t="s">
        <v>18</v>
      </c>
      <c r="E68" s="94" t="s">
        <v>4</v>
      </c>
      <c r="F68" s="35"/>
      <c r="G68" s="35"/>
      <c r="H68" s="35"/>
      <c r="I68" s="35"/>
      <c r="J68" s="36"/>
      <c r="L68" s="35"/>
      <c r="M68" s="35"/>
    </row>
    <row r="69" spans="3:13" ht="25.8">
      <c r="C69" s="35"/>
      <c r="D69" s="94" t="s">
        <v>18</v>
      </c>
      <c r="E69" s="94" t="s">
        <v>4</v>
      </c>
      <c r="F69" s="35"/>
      <c r="G69" s="35"/>
      <c r="H69" s="35"/>
      <c r="I69" s="35"/>
      <c r="J69" s="36"/>
      <c r="L69" s="35"/>
      <c r="M69" s="35"/>
    </row>
    <row r="70" spans="3:13" ht="25.8">
      <c r="C70" s="35"/>
      <c r="D70" s="94" t="s">
        <v>18</v>
      </c>
      <c r="E70" s="94" t="s">
        <v>4</v>
      </c>
      <c r="F70" s="35"/>
      <c r="G70" s="35"/>
      <c r="H70" s="35"/>
      <c r="I70" s="35"/>
      <c r="J70" s="36"/>
      <c r="L70" s="35"/>
      <c r="M70" s="35"/>
    </row>
    <row r="71" spans="3:13" ht="25.8">
      <c r="C71" s="35"/>
      <c r="D71" s="94" t="s">
        <v>18</v>
      </c>
      <c r="E71" s="94" t="s">
        <v>4</v>
      </c>
      <c r="F71" s="35"/>
      <c r="G71" s="35"/>
      <c r="H71" s="35"/>
      <c r="I71" s="35"/>
      <c r="J71" s="36"/>
      <c r="L71" s="35"/>
      <c r="M71" s="35"/>
    </row>
    <row r="72" spans="3:13" ht="25.8">
      <c r="C72" s="35"/>
      <c r="D72" s="94" t="s">
        <v>18</v>
      </c>
      <c r="E72" s="94" t="s">
        <v>4</v>
      </c>
      <c r="F72" s="35"/>
      <c r="G72" s="35"/>
      <c r="H72" s="35"/>
      <c r="I72" s="35"/>
      <c r="J72" s="36"/>
      <c r="L72" s="35"/>
      <c r="M72" s="35"/>
    </row>
    <row r="73" spans="3:13" ht="25.8">
      <c r="C73" s="35"/>
      <c r="D73" s="94" t="s">
        <v>18</v>
      </c>
      <c r="E73" s="94" t="s">
        <v>4</v>
      </c>
      <c r="F73" s="35"/>
      <c r="G73" s="35"/>
      <c r="H73" s="35"/>
      <c r="I73" s="35"/>
      <c r="J73" s="36"/>
      <c r="L73" s="35"/>
      <c r="M73" s="35"/>
    </row>
    <row r="74" spans="3:13" ht="25.8">
      <c r="C74" s="35"/>
      <c r="D74" s="94" t="s">
        <v>18</v>
      </c>
      <c r="E74" s="94" t="s">
        <v>4</v>
      </c>
      <c r="F74" s="35"/>
      <c r="G74" s="35"/>
      <c r="H74" s="35"/>
      <c r="I74" s="35"/>
      <c r="J74" s="36"/>
      <c r="L74" s="35"/>
      <c r="M74" s="35"/>
    </row>
    <row r="75" spans="3:13" ht="25.8">
      <c r="C75" s="35"/>
      <c r="D75" s="94" t="s">
        <v>18</v>
      </c>
      <c r="E75" s="94" t="s">
        <v>4</v>
      </c>
      <c r="F75" s="35"/>
      <c r="G75" s="35"/>
      <c r="H75" s="35"/>
      <c r="I75" s="35"/>
      <c r="J75" s="36"/>
      <c r="L75" s="35"/>
      <c r="M75" s="35"/>
    </row>
    <row r="76" spans="3:13" ht="25.8">
      <c r="C76" s="35"/>
      <c r="D76" s="94" t="s">
        <v>18</v>
      </c>
      <c r="E76" s="94" t="s">
        <v>4</v>
      </c>
      <c r="F76" s="35"/>
      <c r="G76" s="35"/>
      <c r="H76" s="35"/>
      <c r="I76" s="35"/>
      <c r="J76" s="36"/>
      <c r="L76" s="35"/>
      <c r="M76" s="35"/>
    </row>
    <row r="77" spans="3:13" ht="25.8">
      <c r="C77" s="35"/>
      <c r="D77" s="94" t="s">
        <v>18</v>
      </c>
      <c r="E77" s="94" t="s">
        <v>4</v>
      </c>
      <c r="F77" s="35"/>
      <c r="G77" s="35"/>
      <c r="H77" s="35"/>
      <c r="I77" s="35"/>
      <c r="J77" s="36"/>
      <c r="L77" s="35"/>
      <c r="M77" s="35"/>
    </row>
    <row r="78" spans="3:13" ht="25.8">
      <c r="C78" s="35"/>
      <c r="D78" s="94" t="s">
        <v>18</v>
      </c>
      <c r="E78" s="94" t="s">
        <v>4</v>
      </c>
      <c r="F78" s="35"/>
      <c r="G78" s="35"/>
      <c r="H78" s="35"/>
      <c r="I78" s="35"/>
      <c r="J78" s="36"/>
      <c r="L78" s="35"/>
      <c r="M78" s="35"/>
    </row>
    <row r="79" spans="3:13" ht="25.8">
      <c r="C79" s="35"/>
      <c r="D79" s="94" t="s">
        <v>18</v>
      </c>
      <c r="E79" s="94" t="s">
        <v>4</v>
      </c>
      <c r="F79" s="35"/>
      <c r="G79" s="35"/>
      <c r="H79" s="35"/>
      <c r="I79" s="35"/>
      <c r="J79" s="36"/>
      <c r="L79" s="35"/>
      <c r="M79" s="35"/>
    </row>
    <row r="80" spans="3:13" ht="25.8">
      <c r="C80" s="35"/>
      <c r="D80" s="94" t="s">
        <v>18</v>
      </c>
      <c r="E80" s="94" t="s">
        <v>4</v>
      </c>
      <c r="F80" s="35"/>
      <c r="G80" s="35"/>
      <c r="H80" s="35"/>
      <c r="I80" s="35"/>
      <c r="J80" s="36"/>
      <c r="L80" s="35"/>
      <c r="M80" s="35"/>
    </row>
    <row r="81" spans="3:13" ht="25.8">
      <c r="C81" s="35"/>
      <c r="D81" s="94" t="s">
        <v>18</v>
      </c>
      <c r="E81" s="94" t="s">
        <v>4</v>
      </c>
      <c r="F81" s="35"/>
      <c r="G81" s="35"/>
      <c r="H81" s="35"/>
      <c r="I81" s="35"/>
      <c r="J81" s="36"/>
      <c r="L81" s="35"/>
      <c r="M81" s="35"/>
    </row>
    <row r="82" spans="3:13" ht="25.8">
      <c r="C82" s="35"/>
      <c r="D82" s="94" t="s">
        <v>18</v>
      </c>
      <c r="E82" s="94" t="s">
        <v>4</v>
      </c>
      <c r="F82" s="35"/>
      <c r="G82" s="35"/>
      <c r="H82" s="35"/>
      <c r="I82" s="35"/>
      <c r="J82" s="36"/>
      <c r="L82" s="35"/>
      <c r="M82" s="35"/>
    </row>
    <row r="83" spans="3:13" ht="25.8">
      <c r="C83" s="35"/>
      <c r="D83" s="94" t="s">
        <v>18</v>
      </c>
      <c r="E83" s="94" t="s">
        <v>4</v>
      </c>
      <c r="F83" s="35"/>
      <c r="G83" s="35"/>
      <c r="H83" s="35"/>
      <c r="I83" s="35"/>
      <c r="J83" s="36"/>
      <c r="L83" s="35"/>
      <c r="M83" s="35"/>
    </row>
    <row r="84" spans="3:13" ht="25.8">
      <c r="C84" s="35"/>
      <c r="D84" s="94" t="s">
        <v>18</v>
      </c>
      <c r="E84" s="94" t="s">
        <v>4</v>
      </c>
      <c r="F84" s="35"/>
      <c r="G84" s="35"/>
      <c r="H84" s="35"/>
      <c r="I84" s="35"/>
      <c r="J84" s="36"/>
      <c r="L84" s="35"/>
      <c r="M84" s="35"/>
    </row>
    <row r="85" spans="3:13" ht="25.8">
      <c r="C85" s="35"/>
      <c r="D85" s="94" t="s">
        <v>18</v>
      </c>
      <c r="E85" s="94" t="s">
        <v>4</v>
      </c>
      <c r="F85" s="35"/>
      <c r="G85" s="35"/>
      <c r="H85" s="35"/>
      <c r="I85" s="35"/>
      <c r="J85" s="36"/>
      <c r="L85" s="35"/>
      <c r="M85" s="35"/>
    </row>
    <row r="86" spans="3:13" ht="25.8">
      <c r="C86" s="35"/>
      <c r="D86" s="94" t="s">
        <v>18</v>
      </c>
      <c r="E86" s="94" t="s">
        <v>4</v>
      </c>
      <c r="F86" s="35"/>
      <c r="G86" s="35"/>
      <c r="H86" s="35"/>
      <c r="I86" s="35"/>
      <c r="J86" s="36"/>
      <c r="L86" s="35"/>
      <c r="M86" s="35"/>
    </row>
    <row r="87" spans="3:13" ht="25.8">
      <c r="C87" s="35"/>
      <c r="D87" s="94" t="s">
        <v>18</v>
      </c>
      <c r="E87" s="94" t="s">
        <v>4</v>
      </c>
      <c r="F87" s="35"/>
      <c r="G87" s="35"/>
      <c r="H87" s="35"/>
      <c r="I87" s="35"/>
      <c r="J87" s="36"/>
      <c r="L87" s="35"/>
      <c r="M87" s="35"/>
    </row>
    <row r="88" spans="3:13" ht="25.8">
      <c r="C88" s="35"/>
      <c r="D88" s="94" t="s">
        <v>18</v>
      </c>
      <c r="E88" s="94" t="s">
        <v>4</v>
      </c>
      <c r="F88" s="35"/>
      <c r="G88" s="35"/>
      <c r="H88" s="35"/>
      <c r="I88" s="35"/>
      <c r="J88" s="36"/>
      <c r="L88" s="35"/>
      <c r="M88" s="35"/>
    </row>
    <row r="89" spans="3:13" ht="25.8">
      <c r="C89" s="35"/>
      <c r="D89" s="94" t="s">
        <v>18</v>
      </c>
      <c r="E89" s="94" t="s">
        <v>4</v>
      </c>
      <c r="F89" s="35"/>
      <c r="G89" s="35"/>
      <c r="H89" s="35"/>
      <c r="I89" s="35"/>
      <c r="J89" s="36"/>
      <c r="L89" s="35"/>
      <c r="M89" s="35"/>
    </row>
    <row r="90" spans="3:13" ht="25.8">
      <c r="C90" s="35"/>
      <c r="D90" s="94" t="s">
        <v>18</v>
      </c>
      <c r="E90" s="94" t="s">
        <v>4</v>
      </c>
      <c r="F90" s="35"/>
      <c r="G90" s="35"/>
      <c r="H90" s="35"/>
      <c r="I90" s="35"/>
      <c r="J90" s="36"/>
      <c r="L90" s="35"/>
      <c r="M90" s="35"/>
    </row>
    <row r="91" spans="3:13" ht="25.8">
      <c r="C91" s="35"/>
      <c r="D91" s="94" t="s">
        <v>18</v>
      </c>
      <c r="E91" s="94" t="s">
        <v>4</v>
      </c>
      <c r="F91" s="35"/>
      <c r="G91" s="35"/>
      <c r="H91" s="35"/>
      <c r="I91" s="35"/>
      <c r="J91" s="36"/>
      <c r="L91" s="35"/>
      <c r="M91" s="35"/>
    </row>
    <row r="92" spans="3:13" ht="25.8">
      <c r="C92" s="35"/>
      <c r="D92" s="94" t="s">
        <v>18</v>
      </c>
      <c r="E92" s="94" t="s">
        <v>4</v>
      </c>
      <c r="F92" s="35"/>
      <c r="G92" s="35"/>
      <c r="H92" s="35"/>
      <c r="I92" s="35"/>
      <c r="J92" s="36"/>
      <c r="L92" s="35"/>
      <c r="M92" s="35"/>
    </row>
    <row r="93" spans="3:13" ht="25.8">
      <c r="C93" s="35"/>
      <c r="D93" s="94" t="s">
        <v>18</v>
      </c>
      <c r="E93" s="94" t="s">
        <v>4</v>
      </c>
      <c r="F93" s="35"/>
      <c r="G93" s="35"/>
      <c r="H93" s="35"/>
      <c r="I93" s="35"/>
      <c r="J93" s="36"/>
      <c r="L93" s="35"/>
      <c r="M93" s="35"/>
    </row>
    <row r="94" spans="3:13" ht="25.8">
      <c r="C94" s="35"/>
      <c r="D94" s="94" t="s">
        <v>18</v>
      </c>
      <c r="E94" s="94" t="s">
        <v>4</v>
      </c>
      <c r="F94" s="35"/>
      <c r="G94" s="35"/>
      <c r="H94" s="35"/>
      <c r="I94" s="35"/>
      <c r="J94" s="36"/>
      <c r="L94" s="35"/>
      <c r="M94" s="35"/>
    </row>
    <row r="95" spans="3:13" ht="25.8">
      <c r="C95" s="35"/>
      <c r="D95" s="94" t="s">
        <v>18</v>
      </c>
      <c r="E95" s="94" t="s">
        <v>4</v>
      </c>
      <c r="F95" s="35"/>
      <c r="G95" s="35"/>
      <c r="H95" s="35"/>
      <c r="I95" s="35"/>
      <c r="J95" s="36"/>
      <c r="L95" s="35"/>
      <c r="M95" s="35"/>
    </row>
    <row r="96" spans="3:13" ht="25.8">
      <c r="C96" s="35"/>
      <c r="D96" s="94" t="s">
        <v>18</v>
      </c>
      <c r="E96" s="94" t="s">
        <v>4</v>
      </c>
      <c r="F96" s="35"/>
      <c r="G96" s="35"/>
      <c r="H96" s="35"/>
      <c r="I96" s="35"/>
      <c r="J96" s="36"/>
      <c r="L96" s="35"/>
      <c r="M96" s="35"/>
    </row>
    <row r="97" spans="3:13" ht="25.8">
      <c r="C97" s="35"/>
      <c r="D97" s="94" t="s">
        <v>18</v>
      </c>
      <c r="E97" s="94" t="s">
        <v>4</v>
      </c>
      <c r="F97" s="35"/>
      <c r="G97" s="35"/>
      <c r="H97" s="35"/>
      <c r="I97" s="35"/>
      <c r="J97" s="36"/>
      <c r="L97" s="35"/>
      <c r="M97" s="35"/>
    </row>
    <row r="98" spans="3:13" ht="25.8">
      <c r="C98" s="35"/>
      <c r="D98" s="94" t="s">
        <v>18</v>
      </c>
      <c r="E98" s="94" t="s">
        <v>4</v>
      </c>
      <c r="F98" s="35"/>
      <c r="G98" s="35"/>
      <c r="H98" s="35"/>
      <c r="I98" s="35"/>
      <c r="J98" s="36"/>
      <c r="L98" s="35"/>
      <c r="M98" s="35"/>
    </row>
    <row r="99" spans="3:13" ht="25.8">
      <c r="C99" s="35"/>
      <c r="D99" s="94" t="s">
        <v>18</v>
      </c>
      <c r="E99" s="94" t="s">
        <v>4</v>
      </c>
      <c r="F99" s="35"/>
      <c r="G99" s="35"/>
      <c r="H99" s="35"/>
      <c r="I99" s="35"/>
      <c r="J99" s="36"/>
      <c r="L99" s="35"/>
      <c r="M99" s="35"/>
    </row>
    <row r="100" spans="3:13" ht="25.8">
      <c r="C100" s="35"/>
      <c r="D100" s="94" t="s">
        <v>18</v>
      </c>
      <c r="E100" s="94" t="s">
        <v>4</v>
      </c>
      <c r="F100" s="35"/>
      <c r="G100" s="35"/>
      <c r="H100" s="35"/>
      <c r="I100" s="35"/>
      <c r="J100" s="36"/>
      <c r="L100" s="35"/>
      <c r="M100" s="35"/>
    </row>
    <row r="101" spans="3:13" ht="25.8">
      <c r="C101" s="35"/>
      <c r="D101" s="94" t="s">
        <v>18</v>
      </c>
      <c r="E101" s="94" t="s">
        <v>4</v>
      </c>
      <c r="F101" s="35"/>
      <c r="G101" s="35"/>
      <c r="H101" s="35"/>
      <c r="I101" s="35"/>
      <c r="J101" s="36"/>
      <c r="L101" s="35"/>
      <c r="M101" s="35"/>
    </row>
    <row r="102" spans="3:13" ht="25.8">
      <c r="C102" s="35"/>
      <c r="D102" s="94" t="s">
        <v>18</v>
      </c>
      <c r="E102" s="94" t="s">
        <v>4</v>
      </c>
      <c r="F102" s="35"/>
      <c r="G102" s="35"/>
      <c r="H102" s="35"/>
      <c r="I102" s="35"/>
      <c r="J102" s="36"/>
      <c r="L102" s="35"/>
      <c r="M102" s="35"/>
    </row>
    <row r="103" spans="3:13" ht="25.8">
      <c r="C103" s="35"/>
      <c r="D103" s="94" t="s">
        <v>18</v>
      </c>
      <c r="E103" s="94" t="s">
        <v>4</v>
      </c>
      <c r="F103" s="35"/>
      <c r="G103" s="35"/>
      <c r="H103" s="35"/>
      <c r="I103" s="35"/>
      <c r="J103" s="36"/>
      <c r="L103" s="35"/>
      <c r="M103" s="35"/>
    </row>
    <row r="104" spans="3:13" ht="25.8">
      <c r="C104" s="35"/>
      <c r="D104" s="94" t="s">
        <v>18</v>
      </c>
      <c r="E104" s="94" t="s">
        <v>4</v>
      </c>
      <c r="F104" s="35"/>
      <c r="G104" s="35"/>
      <c r="H104" s="35"/>
      <c r="I104" s="35"/>
      <c r="J104" s="36"/>
      <c r="L104" s="35"/>
      <c r="M104" s="35"/>
    </row>
    <row r="105" spans="3:13" ht="25.8">
      <c r="C105" s="35"/>
      <c r="D105" s="94" t="s">
        <v>18</v>
      </c>
      <c r="E105" s="94" t="s">
        <v>4</v>
      </c>
      <c r="F105" s="35"/>
      <c r="G105" s="35"/>
      <c r="H105" s="35"/>
      <c r="I105" s="35"/>
      <c r="J105" s="36"/>
      <c r="L105" s="35"/>
      <c r="M105" s="35"/>
    </row>
    <row r="106" spans="3:13" ht="25.8">
      <c r="C106" s="35"/>
      <c r="D106" s="94" t="s">
        <v>18</v>
      </c>
      <c r="E106" s="94" t="s">
        <v>4</v>
      </c>
      <c r="F106" s="35"/>
      <c r="G106" s="35"/>
      <c r="H106" s="35"/>
      <c r="I106" s="35"/>
      <c r="J106" s="36"/>
      <c r="L106" s="35"/>
      <c r="M106" s="35"/>
    </row>
    <row r="107" spans="3:13" ht="25.8">
      <c r="C107" s="35"/>
      <c r="D107" s="94" t="s">
        <v>18</v>
      </c>
      <c r="E107" s="94" t="s">
        <v>4</v>
      </c>
      <c r="F107" s="35"/>
      <c r="G107" s="35"/>
      <c r="H107" s="35"/>
      <c r="I107" s="35"/>
      <c r="J107" s="36"/>
      <c r="L107" s="35"/>
      <c r="M107" s="35"/>
    </row>
    <row r="108" spans="3:13" ht="25.8">
      <c r="C108" s="35"/>
      <c r="D108" s="94" t="s">
        <v>18</v>
      </c>
      <c r="E108" s="94" t="s">
        <v>4</v>
      </c>
      <c r="F108" s="35"/>
      <c r="G108" s="35"/>
      <c r="H108" s="35"/>
      <c r="I108" s="35"/>
      <c r="J108" s="36"/>
      <c r="L108" s="35"/>
      <c r="M108" s="35"/>
    </row>
    <row r="109" spans="3:13" ht="25.8">
      <c r="C109" s="35"/>
      <c r="D109" s="94" t="s">
        <v>18</v>
      </c>
      <c r="E109" s="94" t="s">
        <v>4</v>
      </c>
      <c r="F109" s="35"/>
      <c r="G109" s="35"/>
      <c r="H109" s="35"/>
      <c r="I109" s="35"/>
      <c r="J109" s="36"/>
      <c r="L109" s="35"/>
      <c r="M109" s="35"/>
    </row>
    <row r="110" spans="3:13" ht="25.8">
      <c r="C110" s="35"/>
      <c r="D110" s="94" t="s">
        <v>18</v>
      </c>
      <c r="E110" s="94" t="s">
        <v>4</v>
      </c>
      <c r="F110" s="35"/>
      <c r="G110" s="35"/>
      <c r="H110" s="35"/>
      <c r="I110" s="35"/>
      <c r="J110" s="36"/>
      <c r="L110" s="35"/>
      <c r="M110" s="35"/>
    </row>
    <row r="111" spans="3:13" ht="25.8">
      <c r="C111" s="35"/>
      <c r="D111" s="94" t="s">
        <v>18</v>
      </c>
      <c r="E111" s="94" t="s">
        <v>4</v>
      </c>
      <c r="F111" s="35"/>
      <c r="G111" s="35"/>
      <c r="H111" s="35"/>
      <c r="I111" s="35"/>
      <c r="J111" s="36"/>
      <c r="L111" s="35"/>
      <c r="M111" s="35"/>
    </row>
    <row r="112" spans="3:13" ht="25.8">
      <c r="C112" s="35"/>
      <c r="D112" s="94" t="s">
        <v>18</v>
      </c>
      <c r="E112" s="94" t="s">
        <v>4</v>
      </c>
      <c r="F112" s="35"/>
      <c r="G112" s="35"/>
      <c r="H112" s="35"/>
      <c r="I112" s="35"/>
      <c r="J112" s="36"/>
      <c r="L112" s="35"/>
      <c r="M112" s="35"/>
    </row>
    <row r="113" spans="3:13" ht="25.8">
      <c r="C113" s="35"/>
      <c r="D113" s="94" t="s">
        <v>18</v>
      </c>
      <c r="E113" s="94" t="s">
        <v>4</v>
      </c>
      <c r="F113" s="35"/>
      <c r="G113" s="35"/>
      <c r="H113" s="35"/>
      <c r="I113" s="35"/>
      <c r="J113" s="36"/>
      <c r="L113" s="35"/>
      <c r="M113" s="35"/>
    </row>
    <row r="114" spans="3:13" ht="25.8">
      <c r="C114" s="35"/>
      <c r="D114" s="94" t="s">
        <v>18</v>
      </c>
      <c r="E114" s="94" t="s">
        <v>4</v>
      </c>
      <c r="F114" s="35"/>
      <c r="G114" s="35"/>
      <c r="H114" s="35"/>
      <c r="I114" s="35"/>
      <c r="J114" s="36"/>
      <c r="L114" s="35"/>
      <c r="M114" s="35"/>
    </row>
    <row r="115" spans="3:13" ht="25.8">
      <c r="C115" s="35"/>
      <c r="D115" s="94" t="s">
        <v>18</v>
      </c>
      <c r="E115" s="94" t="s">
        <v>4</v>
      </c>
      <c r="F115" s="35"/>
      <c r="G115" s="35"/>
      <c r="H115" s="35"/>
      <c r="I115" s="35"/>
      <c r="J115" s="36"/>
      <c r="L115" s="35"/>
      <c r="M115" s="35"/>
    </row>
    <row r="116" spans="3:13" ht="25.8">
      <c r="C116" s="35"/>
      <c r="D116" s="94" t="s">
        <v>18</v>
      </c>
      <c r="E116" s="94" t="s">
        <v>4</v>
      </c>
      <c r="F116" s="35"/>
      <c r="G116" s="35"/>
      <c r="H116" s="35"/>
      <c r="I116" s="35"/>
      <c r="J116" s="36"/>
      <c r="L116" s="35"/>
      <c r="M116" s="35"/>
    </row>
    <row r="117" spans="3:13" ht="25.8">
      <c r="C117" s="35"/>
      <c r="D117" s="94" t="s">
        <v>18</v>
      </c>
      <c r="E117" s="94" t="s">
        <v>4</v>
      </c>
      <c r="F117" s="35"/>
      <c r="G117" s="35"/>
      <c r="H117" s="35"/>
      <c r="I117" s="35"/>
      <c r="J117" s="36"/>
      <c r="L117" s="35"/>
      <c r="M117" s="35"/>
    </row>
    <row r="118" spans="3:13" ht="25.8">
      <c r="C118" s="35"/>
      <c r="D118" s="94" t="s">
        <v>18</v>
      </c>
      <c r="E118" s="94" t="s">
        <v>4</v>
      </c>
      <c r="F118" s="35"/>
      <c r="G118" s="35"/>
      <c r="H118" s="35"/>
      <c r="I118" s="35"/>
      <c r="J118" s="36"/>
      <c r="L118" s="35"/>
      <c r="M118" s="35"/>
    </row>
    <row r="119" spans="3:13" ht="25.8">
      <c r="C119" s="35"/>
      <c r="D119" s="94" t="s">
        <v>18</v>
      </c>
      <c r="E119" s="94" t="s">
        <v>4</v>
      </c>
      <c r="F119" s="35"/>
      <c r="G119" s="35"/>
      <c r="H119" s="35"/>
      <c r="I119" s="35"/>
      <c r="J119" s="36"/>
      <c r="L119" s="35"/>
      <c r="M119" s="35"/>
    </row>
    <row r="120" spans="3:13" ht="25.8">
      <c r="C120" s="35"/>
      <c r="D120" s="94" t="s">
        <v>18</v>
      </c>
      <c r="E120" s="94" t="s">
        <v>4</v>
      </c>
      <c r="F120" s="35"/>
      <c r="G120" s="35"/>
      <c r="H120" s="35"/>
      <c r="I120" s="35"/>
      <c r="J120" s="36"/>
      <c r="L120" s="35"/>
      <c r="M120" s="35"/>
    </row>
    <row r="121" spans="3:13" ht="25.8">
      <c r="C121" s="35"/>
      <c r="D121" s="94" t="s">
        <v>18</v>
      </c>
      <c r="E121" s="94" t="s">
        <v>4</v>
      </c>
      <c r="F121" s="35"/>
      <c r="G121" s="35"/>
      <c r="H121" s="35"/>
      <c r="I121" s="35"/>
      <c r="J121" s="36"/>
      <c r="L121" s="35"/>
      <c r="M121" s="35"/>
    </row>
    <row r="122" spans="3:13" ht="25.8">
      <c r="C122" s="35"/>
      <c r="D122" s="94" t="s">
        <v>18</v>
      </c>
      <c r="E122" s="94" t="s">
        <v>4</v>
      </c>
      <c r="F122" s="35"/>
      <c r="G122" s="35"/>
      <c r="H122" s="35"/>
      <c r="I122" s="35"/>
      <c r="J122" s="36"/>
      <c r="L122" s="35"/>
      <c r="M122" s="35"/>
    </row>
    <row r="123" spans="3:13" ht="25.8">
      <c r="C123" s="35"/>
      <c r="D123" s="94" t="s">
        <v>18</v>
      </c>
      <c r="E123" s="94" t="s">
        <v>4</v>
      </c>
      <c r="F123" s="35"/>
      <c r="G123" s="35"/>
      <c r="H123" s="35"/>
      <c r="I123" s="35"/>
      <c r="J123" s="36"/>
      <c r="L123" s="35"/>
      <c r="M123" s="35"/>
    </row>
    <row r="124" spans="3:13" ht="25.8">
      <c r="C124" s="35"/>
      <c r="D124" s="94" t="s">
        <v>18</v>
      </c>
      <c r="E124" s="94" t="s">
        <v>4</v>
      </c>
      <c r="F124" s="35"/>
      <c r="G124" s="35"/>
      <c r="H124" s="35"/>
      <c r="I124" s="35"/>
      <c r="J124" s="36"/>
      <c r="L124" s="35"/>
      <c r="M124" s="35"/>
    </row>
    <row r="125" spans="3:13" ht="25.8">
      <c r="C125" s="35"/>
      <c r="D125" s="94" t="s">
        <v>18</v>
      </c>
      <c r="E125" s="94" t="s">
        <v>4</v>
      </c>
      <c r="F125" s="35"/>
      <c r="G125" s="35"/>
      <c r="H125" s="35"/>
      <c r="I125" s="35"/>
      <c r="J125" s="36"/>
      <c r="L125" s="35"/>
      <c r="M125" s="35"/>
    </row>
    <row r="126" spans="3:13" ht="25.8">
      <c r="C126" s="35"/>
      <c r="D126" s="94" t="s">
        <v>18</v>
      </c>
      <c r="E126" s="94" t="s">
        <v>4</v>
      </c>
      <c r="F126" s="35"/>
      <c r="G126" s="35"/>
      <c r="H126" s="35"/>
      <c r="I126" s="35"/>
      <c r="J126" s="36"/>
      <c r="L126" s="35"/>
      <c r="M126" s="35"/>
    </row>
    <row r="127" spans="3:13" ht="25.8">
      <c r="C127" s="35"/>
      <c r="D127" s="94" t="s">
        <v>18</v>
      </c>
      <c r="E127" s="94" t="s">
        <v>4</v>
      </c>
      <c r="F127" s="35"/>
      <c r="G127" s="35"/>
      <c r="H127" s="35"/>
      <c r="I127" s="35"/>
      <c r="J127" s="36"/>
      <c r="L127" s="35"/>
      <c r="M127" s="35"/>
    </row>
    <row r="128" spans="3:13" ht="25.8">
      <c r="C128" s="35"/>
      <c r="D128" s="94" t="s">
        <v>18</v>
      </c>
      <c r="E128" s="94" t="s">
        <v>4</v>
      </c>
      <c r="F128" s="35"/>
      <c r="G128" s="35"/>
      <c r="H128" s="35"/>
      <c r="I128" s="35"/>
      <c r="J128" s="36"/>
      <c r="L128" s="35"/>
      <c r="M128" s="35"/>
    </row>
    <row r="129" spans="3:13" ht="25.8">
      <c r="C129" s="35"/>
      <c r="D129" s="94" t="s">
        <v>18</v>
      </c>
      <c r="E129" s="94" t="s">
        <v>4</v>
      </c>
      <c r="F129" s="35"/>
      <c r="G129" s="35"/>
      <c r="H129" s="35"/>
      <c r="I129" s="35"/>
      <c r="J129" s="36"/>
      <c r="L129" s="35"/>
      <c r="M129" s="35"/>
    </row>
    <row r="130" spans="3:13" ht="25.8">
      <c r="C130" s="35"/>
      <c r="D130" s="94" t="s">
        <v>18</v>
      </c>
      <c r="E130" s="94" t="s">
        <v>4</v>
      </c>
      <c r="F130" s="35"/>
      <c r="G130" s="35"/>
      <c r="H130" s="35"/>
      <c r="I130" s="35"/>
      <c r="J130" s="36"/>
      <c r="L130" s="35"/>
      <c r="M130" s="35"/>
    </row>
    <row r="131" spans="3:13" ht="25.8">
      <c r="C131" s="35"/>
      <c r="D131" s="94" t="s">
        <v>18</v>
      </c>
      <c r="E131" s="94" t="s">
        <v>4</v>
      </c>
      <c r="F131" s="35"/>
      <c r="G131" s="35"/>
      <c r="H131" s="35"/>
      <c r="I131" s="35"/>
      <c r="J131" s="36"/>
      <c r="L131" s="35"/>
      <c r="M131" s="35"/>
    </row>
    <row r="132" spans="3:13" ht="25.8">
      <c r="C132" s="35"/>
      <c r="D132" s="94" t="s">
        <v>18</v>
      </c>
      <c r="E132" s="94" t="s">
        <v>4</v>
      </c>
      <c r="F132" s="35"/>
      <c r="G132" s="35"/>
      <c r="H132" s="35"/>
      <c r="I132" s="35"/>
      <c r="J132" s="36"/>
      <c r="L132" s="35"/>
      <c r="M132" s="35"/>
    </row>
    <row r="133" spans="3:13" ht="25.8">
      <c r="C133" s="35"/>
      <c r="D133" s="94" t="s">
        <v>18</v>
      </c>
      <c r="E133" s="94" t="s">
        <v>4</v>
      </c>
      <c r="F133" s="35"/>
      <c r="G133" s="35"/>
      <c r="H133" s="35"/>
      <c r="I133" s="35"/>
      <c r="J133" s="36"/>
      <c r="L133" s="35"/>
      <c r="M133" s="35"/>
    </row>
    <row r="134" spans="3:13" ht="25.8">
      <c r="C134" s="35"/>
      <c r="D134" s="94" t="s">
        <v>18</v>
      </c>
      <c r="E134" s="94" t="s">
        <v>4</v>
      </c>
      <c r="F134" s="35"/>
      <c r="G134" s="35"/>
      <c r="H134" s="35"/>
      <c r="I134" s="35"/>
      <c r="J134" s="36"/>
      <c r="L134" s="35"/>
      <c r="M134" s="35"/>
    </row>
    <row r="135" spans="3:13" ht="25.8">
      <c r="C135" s="35"/>
      <c r="D135" s="94" t="s">
        <v>18</v>
      </c>
      <c r="E135" s="94" t="s">
        <v>4</v>
      </c>
      <c r="F135" s="35"/>
      <c r="G135" s="35"/>
      <c r="H135" s="35"/>
      <c r="I135" s="35"/>
      <c r="J135" s="36"/>
      <c r="L135" s="35"/>
      <c r="M135" s="35"/>
    </row>
    <row r="136" spans="3:13" ht="25.8">
      <c r="C136" s="35"/>
      <c r="D136" s="94" t="s">
        <v>18</v>
      </c>
      <c r="E136" s="94" t="s">
        <v>4</v>
      </c>
      <c r="F136" s="35"/>
      <c r="G136" s="35"/>
      <c r="H136" s="35"/>
      <c r="I136" s="35"/>
      <c r="J136" s="36"/>
      <c r="L136" s="35"/>
      <c r="M136" s="35"/>
    </row>
    <row r="137" spans="3:13" ht="25.8">
      <c r="C137" s="35"/>
      <c r="D137" s="94" t="s">
        <v>18</v>
      </c>
      <c r="E137" s="94" t="s">
        <v>4</v>
      </c>
      <c r="F137" s="35"/>
      <c r="G137" s="35"/>
      <c r="H137" s="35"/>
      <c r="I137" s="35"/>
      <c r="J137" s="36"/>
      <c r="L137" s="35"/>
      <c r="M137" s="35"/>
    </row>
    <row r="138" spans="3:13" ht="25.8">
      <c r="C138" s="35"/>
      <c r="D138" s="94" t="s">
        <v>18</v>
      </c>
      <c r="E138" s="94" t="s">
        <v>4</v>
      </c>
      <c r="F138" s="35"/>
      <c r="G138" s="35"/>
      <c r="H138" s="35"/>
      <c r="I138" s="35"/>
      <c r="J138" s="36"/>
      <c r="L138" s="35"/>
      <c r="M138" s="35"/>
    </row>
    <row r="139" spans="3:13" ht="25.8">
      <c r="C139" s="35"/>
      <c r="D139" s="94" t="s">
        <v>18</v>
      </c>
      <c r="E139" s="94" t="s">
        <v>4</v>
      </c>
      <c r="F139" s="35"/>
      <c r="G139" s="35"/>
      <c r="H139" s="35"/>
      <c r="I139" s="35"/>
      <c r="J139" s="36"/>
      <c r="L139" s="35"/>
      <c r="M139" s="35"/>
    </row>
    <row r="140" spans="3:13" ht="25.8">
      <c r="C140" s="35"/>
      <c r="D140" s="94" t="s">
        <v>18</v>
      </c>
      <c r="E140" s="94" t="s">
        <v>4</v>
      </c>
      <c r="F140" s="35"/>
      <c r="G140" s="35"/>
      <c r="H140" s="35"/>
      <c r="I140" s="35"/>
      <c r="J140" s="36"/>
      <c r="L140" s="35"/>
      <c r="M140" s="35"/>
    </row>
    <row r="141" spans="3:13" ht="25.8">
      <c r="C141" s="35"/>
      <c r="D141" s="94" t="s">
        <v>18</v>
      </c>
      <c r="E141" s="94" t="s">
        <v>4</v>
      </c>
      <c r="F141" s="35"/>
      <c r="G141" s="35"/>
      <c r="H141" s="35"/>
      <c r="I141" s="35"/>
      <c r="J141" s="36"/>
      <c r="L141" s="35"/>
      <c r="M141" s="35"/>
    </row>
    <row r="142" spans="3:13" ht="25.8">
      <c r="C142" s="35"/>
      <c r="D142" s="94" t="s">
        <v>18</v>
      </c>
      <c r="E142" s="94" t="s">
        <v>4</v>
      </c>
      <c r="F142" s="35"/>
      <c r="G142" s="35"/>
      <c r="H142" s="35"/>
      <c r="I142" s="35"/>
      <c r="J142" s="36"/>
      <c r="L142" s="35"/>
      <c r="M142" s="35"/>
    </row>
    <row r="143" spans="3:13" ht="25.8">
      <c r="C143" s="35"/>
      <c r="D143" s="94" t="s">
        <v>18</v>
      </c>
      <c r="E143" s="94" t="s">
        <v>4</v>
      </c>
      <c r="F143" s="35"/>
      <c r="G143" s="35"/>
      <c r="H143" s="35"/>
      <c r="I143" s="35"/>
      <c r="J143" s="36"/>
      <c r="L143" s="35"/>
      <c r="M143" s="35"/>
    </row>
    <row r="144" spans="3:13" ht="25.8">
      <c r="C144" s="35"/>
      <c r="D144" s="94" t="s">
        <v>18</v>
      </c>
      <c r="E144" s="94" t="s">
        <v>4</v>
      </c>
      <c r="F144" s="35"/>
      <c r="G144" s="35"/>
      <c r="H144" s="35"/>
      <c r="I144" s="35"/>
      <c r="J144" s="36"/>
      <c r="L144" s="35"/>
      <c r="M144" s="35"/>
    </row>
    <row r="145" spans="3:13" ht="25.8">
      <c r="C145" s="35"/>
      <c r="D145" s="94" t="s">
        <v>18</v>
      </c>
      <c r="E145" s="94" t="s">
        <v>4</v>
      </c>
      <c r="F145" s="35"/>
      <c r="G145" s="35"/>
      <c r="H145" s="35"/>
      <c r="I145" s="35"/>
      <c r="J145" s="36"/>
      <c r="L145" s="35"/>
      <c r="M145" s="35"/>
    </row>
    <row r="146" spans="3:13" ht="25.8">
      <c r="C146" s="35"/>
      <c r="D146" s="94" t="s">
        <v>18</v>
      </c>
      <c r="E146" s="94" t="s">
        <v>4</v>
      </c>
      <c r="F146" s="35"/>
      <c r="G146" s="35"/>
      <c r="H146" s="35"/>
      <c r="I146" s="35"/>
      <c r="J146" s="36"/>
      <c r="L146" s="35"/>
      <c r="M146" s="35"/>
    </row>
    <row r="147" spans="3:13" ht="25.8">
      <c r="C147" s="35"/>
      <c r="D147" s="94" t="s">
        <v>18</v>
      </c>
      <c r="E147" s="94" t="s">
        <v>4</v>
      </c>
      <c r="F147" s="35"/>
      <c r="G147" s="35"/>
      <c r="H147" s="35"/>
      <c r="I147" s="35"/>
      <c r="J147" s="36"/>
      <c r="L147" s="35"/>
      <c r="M147" s="35"/>
    </row>
    <row r="148" spans="3:13" ht="25.8">
      <c r="C148" s="35"/>
      <c r="D148" s="94" t="s">
        <v>18</v>
      </c>
      <c r="E148" s="94" t="s">
        <v>4</v>
      </c>
      <c r="F148" s="35"/>
      <c r="G148" s="35"/>
      <c r="H148" s="35"/>
      <c r="I148" s="35"/>
      <c r="J148" s="36"/>
      <c r="L148" s="35"/>
      <c r="M148" s="35"/>
    </row>
    <row r="149" spans="3:13" ht="25.8">
      <c r="C149" s="35"/>
      <c r="D149" s="94" t="s">
        <v>18</v>
      </c>
      <c r="E149" s="94" t="s">
        <v>4</v>
      </c>
      <c r="F149" s="35"/>
      <c r="G149" s="35"/>
      <c r="H149" s="35"/>
      <c r="I149" s="35"/>
      <c r="J149" s="36"/>
      <c r="L149" s="35"/>
      <c r="M149" s="35"/>
    </row>
    <row r="150" spans="3:13" ht="25.8">
      <c r="C150" s="35"/>
      <c r="D150" s="94" t="s">
        <v>18</v>
      </c>
      <c r="E150" s="94" t="s">
        <v>4</v>
      </c>
      <c r="F150" s="35"/>
      <c r="G150" s="35"/>
      <c r="H150" s="35"/>
      <c r="I150" s="35"/>
      <c r="J150" s="36"/>
      <c r="L150" s="35"/>
      <c r="M150" s="35"/>
    </row>
    <row r="151" spans="3:13" ht="25.8">
      <c r="C151" s="35"/>
      <c r="D151" s="94" t="s">
        <v>18</v>
      </c>
      <c r="E151" s="94" t="s">
        <v>4</v>
      </c>
      <c r="F151" s="35"/>
      <c r="G151" s="35"/>
      <c r="H151" s="35"/>
      <c r="I151" s="35"/>
      <c r="J151" s="36"/>
      <c r="L151" s="35"/>
      <c r="M151" s="35"/>
    </row>
    <row r="152" spans="3:13" ht="25.8">
      <c r="C152" s="35"/>
      <c r="D152" s="94" t="s">
        <v>18</v>
      </c>
      <c r="E152" s="94" t="s">
        <v>4</v>
      </c>
      <c r="F152" s="35"/>
      <c r="G152" s="35"/>
      <c r="H152" s="35"/>
      <c r="I152" s="35"/>
      <c r="J152" s="36"/>
      <c r="L152" s="35"/>
      <c r="M152" s="35"/>
    </row>
    <row r="153" spans="3:13" ht="25.8">
      <c r="C153" s="35"/>
      <c r="D153" s="94" t="s">
        <v>18</v>
      </c>
      <c r="E153" s="94" t="s">
        <v>4</v>
      </c>
      <c r="F153" s="35"/>
      <c r="G153" s="35"/>
      <c r="H153" s="35"/>
      <c r="I153" s="35"/>
      <c r="J153" s="36"/>
      <c r="L153" s="35"/>
      <c r="M153" s="35"/>
    </row>
    <row r="154" spans="3:13" ht="25.8">
      <c r="C154" s="35"/>
      <c r="D154" s="94" t="s">
        <v>18</v>
      </c>
      <c r="E154" s="94" t="s">
        <v>4</v>
      </c>
      <c r="F154" s="35"/>
      <c r="G154" s="35"/>
      <c r="H154" s="35"/>
      <c r="I154" s="35"/>
      <c r="J154" s="36"/>
      <c r="L154" s="35"/>
      <c r="M154" s="35"/>
    </row>
    <row r="155" spans="3:13" ht="25.8">
      <c r="C155" s="35"/>
      <c r="D155" s="94" t="s">
        <v>18</v>
      </c>
      <c r="E155" s="94" t="s">
        <v>4</v>
      </c>
      <c r="F155" s="35"/>
      <c r="G155" s="35"/>
      <c r="H155" s="35"/>
      <c r="I155" s="35"/>
      <c r="J155" s="36"/>
      <c r="L155" s="35"/>
      <c r="M155" s="35"/>
    </row>
    <row r="156" spans="3:13" ht="25.8">
      <c r="C156" s="35"/>
      <c r="D156" s="94" t="s">
        <v>18</v>
      </c>
      <c r="E156" s="94" t="s">
        <v>4</v>
      </c>
      <c r="F156" s="35"/>
      <c r="G156" s="35"/>
      <c r="H156" s="35"/>
      <c r="I156" s="35"/>
      <c r="J156" s="36"/>
      <c r="L156" s="35"/>
      <c r="M156" s="35"/>
    </row>
    <row r="157" spans="3:13" ht="25.8">
      <c r="C157" s="35"/>
      <c r="D157" s="94" t="s">
        <v>18</v>
      </c>
      <c r="E157" s="94" t="s">
        <v>4</v>
      </c>
      <c r="F157" s="35"/>
      <c r="G157" s="35"/>
      <c r="H157" s="35"/>
      <c r="I157" s="35"/>
      <c r="J157" s="36"/>
      <c r="L157" s="35"/>
      <c r="M157" s="35"/>
    </row>
    <row r="158" spans="3:13" ht="25.8">
      <c r="C158" s="35"/>
      <c r="D158" s="94" t="s">
        <v>18</v>
      </c>
      <c r="E158" s="94" t="s">
        <v>4</v>
      </c>
      <c r="F158" s="35"/>
      <c r="G158" s="35"/>
      <c r="H158" s="35"/>
      <c r="I158" s="35"/>
      <c r="J158" s="36"/>
      <c r="L158" s="35"/>
      <c r="M158" s="35"/>
    </row>
    <row r="159" spans="3:13" ht="25.8">
      <c r="C159" s="35"/>
      <c r="D159" s="94" t="s">
        <v>18</v>
      </c>
      <c r="E159" s="94" t="s">
        <v>4</v>
      </c>
      <c r="F159" s="35"/>
      <c r="G159" s="35"/>
      <c r="H159" s="35"/>
      <c r="I159" s="35"/>
      <c r="J159" s="36"/>
      <c r="L159" s="35"/>
      <c r="M159" s="35"/>
    </row>
    <row r="160" spans="3:13" ht="25.8">
      <c r="C160" s="35"/>
      <c r="D160" s="94" t="s">
        <v>18</v>
      </c>
      <c r="E160" s="94" t="s">
        <v>4</v>
      </c>
      <c r="F160" s="35"/>
      <c r="G160" s="35"/>
      <c r="H160" s="35"/>
      <c r="I160" s="35"/>
      <c r="J160" s="36"/>
      <c r="L160" s="35"/>
      <c r="M160" s="35"/>
    </row>
    <row r="161" spans="3:13" ht="25.8">
      <c r="C161" s="35"/>
      <c r="D161" s="94" t="s">
        <v>18</v>
      </c>
      <c r="E161" s="94" t="s">
        <v>4</v>
      </c>
      <c r="F161" s="35"/>
      <c r="G161" s="35"/>
      <c r="H161" s="35"/>
      <c r="I161" s="35"/>
      <c r="J161" s="36"/>
      <c r="L161" s="35"/>
      <c r="M161" s="35"/>
    </row>
    <row r="162" spans="3:13" ht="25.8">
      <c r="C162" s="35"/>
      <c r="D162" s="94" t="s">
        <v>18</v>
      </c>
      <c r="E162" s="94" t="s">
        <v>4</v>
      </c>
      <c r="F162" s="35"/>
      <c r="G162" s="35"/>
      <c r="H162" s="35"/>
      <c r="I162" s="35"/>
      <c r="J162" s="36"/>
      <c r="L162" s="35"/>
      <c r="M162" s="35"/>
    </row>
    <row r="163" spans="3:13" ht="25.8">
      <c r="C163" s="35"/>
      <c r="D163" s="94" t="s">
        <v>18</v>
      </c>
      <c r="E163" s="94" t="s">
        <v>4</v>
      </c>
      <c r="F163" s="35"/>
      <c r="G163" s="35"/>
      <c r="H163" s="35"/>
      <c r="I163" s="35"/>
      <c r="J163" s="36"/>
      <c r="L163" s="35"/>
      <c r="M163" s="35"/>
    </row>
    <row r="164" spans="3:13" ht="25.8">
      <c r="C164" s="35"/>
      <c r="D164" s="94" t="s">
        <v>18</v>
      </c>
      <c r="E164" s="94" t="s">
        <v>4</v>
      </c>
      <c r="F164" s="35"/>
      <c r="G164" s="35"/>
      <c r="H164" s="35"/>
      <c r="I164" s="35"/>
      <c r="J164" s="36"/>
      <c r="L164" s="35"/>
      <c r="M164" s="35"/>
    </row>
    <row r="165" spans="3:13" ht="25.8">
      <c r="C165" s="35"/>
      <c r="D165" s="94" t="s">
        <v>18</v>
      </c>
      <c r="E165" s="94" t="s">
        <v>4</v>
      </c>
      <c r="F165" s="35"/>
      <c r="G165" s="35"/>
      <c r="H165" s="35"/>
      <c r="I165" s="35"/>
      <c r="J165" s="36"/>
      <c r="L165" s="35"/>
      <c r="M165" s="35"/>
    </row>
    <row r="166" spans="3:13" ht="25.8">
      <c r="C166" s="35"/>
      <c r="D166" s="94" t="s">
        <v>18</v>
      </c>
      <c r="E166" s="94" t="s">
        <v>4</v>
      </c>
      <c r="F166" s="35"/>
      <c r="G166" s="35"/>
      <c r="H166" s="35"/>
      <c r="I166" s="35"/>
      <c r="J166" s="36"/>
      <c r="L166" s="35"/>
      <c r="M166" s="35"/>
    </row>
    <row r="167" spans="3:13" ht="25.8">
      <c r="C167" s="35"/>
      <c r="D167" s="94" t="s">
        <v>18</v>
      </c>
      <c r="E167" s="94" t="s">
        <v>4</v>
      </c>
      <c r="F167" s="35"/>
      <c r="G167" s="35"/>
      <c r="H167" s="35"/>
      <c r="I167" s="35"/>
      <c r="J167" s="36"/>
      <c r="L167" s="35"/>
      <c r="M167" s="35"/>
    </row>
    <row r="168" spans="3:13" ht="25.8">
      <c r="C168" s="35"/>
      <c r="D168" s="94" t="s">
        <v>18</v>
      </c>
      <c r="E168" s="94" t="s">
        <v>4</v>
      </c>
      <c r="F168" s="35"/>
      <c r="G168" s="35"/>
      <c r="H168" s="35"/>
      <c r="I168" s="35"/>
      <c r="J168" s="36"/>
      <c r="L168" s="35"/>
      <c r="M168" s="35"/>
    </row>
    <row r="169" spans="3:13" ht="25.8">
      <c r="C169" s="35"/>
      <c r="D169" s="94" t="s">
        <v>18</v>
      </c>
      <c r="E169" s="94" t="s">
        <v>4</v>
      </c>
      <c r="F169" s="35"/>
      <c r="G169" s="35"/>
      <c r="H169" s="35"/>
      <c r="I169" s="35"/>
      <c r="J169" s="36"/>
      <c r="L169" s="35"/>
      <c r="M169" s="35"/>
    </row>
    <row r="170" spans="3:13" ht="25.8">
      <c r="C170" s="35"/>
      <c r="D170" s="94" t="s">
        <v>18</v>
      </c>
      <c r="E170" s="94" t="s">
        <v>4</v>
      </c>
      <c r="F170" s="35"/>
      <c r="G170" s="35"/>
      <c r="H170" s="35"/>
      <c r="I170" s="35"/>
      <c r="J170" s="36"/>
      <c r="L170" s="35"/>
      <c r="M170" s="35"/>
    </row>
    <row r="171" spans="3:13" ht="25.8">
      <c r="C171" s="35"/>
      <c r="D171" s="94" t="s">
        <v>18</v>
      </c>
      <c r="E171" s="94" t="s">
        <v>4</v>
      </c>
      <c r="F171" s="35"/>
      <c r="G171" s="35"/>
      <c r="H171" s="35"/>
      <c r="I171" s="35"/>
      <c r="J171" s="36"/>
      <c r="L171" s="35"/>
      <c r="M171" s="35"/>
    </row>
    <row r="172" spans="3:13" ht="25.8">
      <c r="C172" s="35"/>
      <c r="D172" s="94" t="s">
        <v>18</v>
      </c>
      <c r="E172" s="94" t="s">
        <v>4</v>
      </c>
      <c r="F172" s="35"/>
      <c r="G172" s="35"/>
      <c r="H172" s="35"/>
      <c r="I172" s="35"/>
      <c r="J172" s="36"/>
      <c r="L172" s="35"/>
      <c r="M172" s="35"/>
    </row>
    <row r="173" spans="3:13" ht="25.8">
      <c r="C173" s="35"/>
      <c r="D173" s="94" t="s">
        <v>18</v>
      </c>
      <c r="E173" s="94" t="s">
        <v>4</v>
      </c>
      <c r="F173" s="35"/>
      <c r="G173" s="35"/>
      <c r="H173" s="35"/>
      <c r="I173" s="35"/>
      <c r="J173" s="36"/>
      <c r="L173" s="35"/>
      <c r="M173" s="35"/>
    </row>
    <row r="174" spans="3:13" ht="25.8">
      <c r="C174" s="35"/>
      <c r="D174" s="94" t="s">
        <v>18</v>
      </c>
      <c r="E174" s="94" t="s">
        <v>4</v>
      </c>
      <c r="F174" s="35"/>
      <c r="G174" s="35"/>
      <c r="H174" s="35"/>
      <c r="I174" s="35"/>
      <c r="J174" s="36"/>
      <c r="L174" s="35"/>
      <c r="M174" s="35"/>
    </row>
    <row r="175" spans="3:13" ht="25.8">
      <c r="C175" s="35"/>
      <c r="D175" s="94" t="s">
        <v>18</v>
      </c>
      <c r="E175" s="94" t="s">
        <v>4</v>
      </c>
      <c r="F175" s="35"/>
      <c r="G175" s="35"/>
      <c r="H175" s="35"/>
      <c r="I175" s="35"/>
      <c r="J175" s="36"/>
      <c r="L175" s="35"/>
      <c r="M175" s="35"/>
    </row>
    <row r="176" spans="3:13" ht="25.8">
      <c r="C176" s="35"/>
      <c r="D176" s="94" t="s">
        <v>18</v>
      </c>
      <c r="E176" s="94" t="s">
        <v>4</v>
      </c>
      <c r="F176" s="35"/>
      <c r="G176" s="35"/>
      <c r="H176" s="35"/>
      <c r="I176" s="35"/>
      <c r="J176" s="36"/>
      <c r="L176" s="35"/>
      <c r="M176" s="35"/>
    </row>
    <row r="177" spans="3:13" ht="25.8">
      <c r="C177" s="35"/>
      <c r="D177" s="94" t="s">
        <v>18</v>
      </c>
      <c r="E177" s="94" t="s">
        <v>4</v>
      </c>
      <c r="F177" s="35"/>
      <c r="G177" s="35"/>
      <c r="H177" s="35"/>
      <c r="I177" s="35"/>
      <c r="J177" s="36"/>
      <c r="L177" s="35"/>
      <c r="M177" s="35"/>
    </row>
    <row r="178" spans="3:13" ht="25.8">
      <c r="C178" s="35"/>
      <c r="D178" s="94" t="s">
        <v>18</v>
      </c>
      <c r="E178" s="94" t="s">
        <v>4</v>
      </c>
      <c r="F178" s="35"/>
      <c r="G178" s="35"/>
      <c r="H178" s="35"/>
      <c r="I178" s="35"/>
      <c r="J178" s="36"/>
      <c r="L178" s="35"/>
      <c r="M178" s="35"/>
    </row>
    <row r="179" spans="3:13" ht="25.8">
      <c r="C179" s="35"/>
      <c r="D179" s="94" t="s">
        <v>18</v>
      </c>
      <c r="E179" s="94" t="s">
        <v>4</v>
      </c>
      <c r="F179" s="35"/>
      <c r="G179" s="35"/>
      <c r="H179" s="35"/>
      <c r="I179" s="35"/>
      <c r="J179" s="36"/>
      <c r="L179" s="35"/>
      <c r="M179" s="35"/>
    </row>
    <row r="180" spans="3:13" ht="25.8">
      <c r="C180" s="35"/>
      <c r="D180" s="94" t="s">
        <v>18</v>
      </c>
      <c r="E180" s="94" t="s">
        <v>4</v>
      </c>
      <c r="F180" s="35"/>
      <c r="G180" s="35"/>
      <c r="H180" s="35"/>
      <c r="I180" s="35"/>
      <c r="J180" s="36"/>
      <c r="L180" s="35"/>
      <c r="M180" s="35"/>
    </row>
    <row r="181" spans="3:13" ht="25.8">
      <c r="C181" s="35"/>
      <c r="D181" s="94" t="s">
        <v>18</v>
      </c>
      <c r="E181" s="94" t="s">
        <v>4</v>
      </c>
      <c r="F181" s="35"/>
      <c r="G181" s="35"/>
      <c r="H181" s="35"/>
      <c r="I181" s="35"/>
      <c r="J181" s="36"/>
      <c r="L181" s="35"/>
      <c r="M181" s="35"/>
    </row>
    <row r="182" spans="3:13" ht="25.8">
      <c r="C182" s="35"/>
      <c r="D182" s="94" t="s">
        <v>18</v>
      </c>
      <c r="E182" s="94" t="s">
        <v>4</v>
      </c>
      <c r="F182" s="35"/>
      <c r="G182" s="35"/>
      <c r="H182" s="35"/>
      <c r="I182" s="35"/>
      <c r="J182" s="36"/>
      <c r="L182" s="35"/>
      <c r="M182" s="35"/>
    </row>
    <row r="183" spans="3:13" ht="25.8">
      <c r="C183" s="35"/>
      <c r="D183" s="94" t="s">
        <v>18</v>
      </c>
      <c r="E183" s="94" t="s">
        <v>4</v>
      </c>
      <c r="F183" s="35"/>
      <c r="G183" s="35"/>
      <c r="H183" s="35"/>
      <c r="I183" s="35"/>
      <c r="J183" s="36"/>
      <c r="L183" s="35"/>
      <c r="M183" s="35"/>
    </row>
    <row r="184" spans="3:13" ht="25.8">
      <c r="C184" s="35"/>
      <c r="D184" s="94" t="s">
        <v>18</v>
      </c>
      <c r="E184" s="94" t="s">
        <v>4</v>
      </c>
      <c r="F184" s="35"/>
      <c r="G184" s="35"/>
      <c r="H184" s="35"/>
      <c r="I184" s="35"/>
      <c r="J184" s="36"/>
      <c r="L184" s="35"/>
      <c r="M184" s="35"/>
    </row>
    <row r="185" spans="3:13" ht="25.8">
      <c r="C185" s="35"/>
      <c r="D185" s="94" t="s">
        <v>18</v>
      </c>
      <c r="E185" s="94" t="s">
        <v>4</v>
      </c>
      <c r="F185" s="35"/>
      <c r="G185" s="35"/>
      <c r="H185" s="35"/>
      <c r="I185" s="35"/>
      <c r="J185" s="36"/>
      <c r="L185" s="35"/>
      <c r="M185" s="35"/>
    </row>
    <row r="186" spans="3:13" ht="25.8">
      <c r="C186" s="35"/>
      <c r="D186" s="94" t="s">
        <v>18</v>
      </c>
      <c r="E186" s="94" t="s">
        <v>4</v>
      </c>
      <c r="F186" s="35"/>
      <c r="G186" s="35"/>
      <c r="H186" s="35"/>
      <c r="I186" s="35"/>
      <c r="J186" s="36"/>
      <c r="L186" s="35"/>
      <c r="M186" s="35"/>
    </row>
    <row r="187" spans="3:13" ht="25.8">
      <c r="C187" s="35"/>
      <c r="D187" s="94" t="s">
        <v>18</v>
      </c>
      <c r="E187" s="94" t="s">
        <v>4</v>
      </c>
      <c r="F187" s="35"/>
      <c r="G187" s="35"/>
      <c r="H187" s="35"/>
      <c r="I187" s="35"/>
      <c r="J187" s="36"/>
      <c r="L187" s="35"/>
      <c r="M187" s="35"/>
    </row>
    <row r="188" spans="3:13" ht="25.8">
      <c r="C188" s="35"/>
      <c r="D188" s="94" t="s">
        <v>18</v>
      </c>
      <c r="E188" s="94" t="s">
        <v>4</v>
      </c>
      <c r="F188" s="35"/>
      <c r="G188" s="35"/>
      <c r="H188" s="35"/>
      <c r="I188" s="35"/>
      <c r="J188" s="36"/>
      <c r="L188" s="35"/>
      <c r="M188" s="35"/>
    </row>
    <row r="189" spans="3:13" ht="25.8">
      <c r="C189" s="35"/>
      <c r="D189" s="94" t="s">
        <v>18</v>
      </c>
      <c r="E189" s="94" t="s">
        <v>4</v>
      </c>
      <c r="F189" s="35"/>
      <c r="G189" s="35"/>
      <c r="H189" s="35"/>
      <c r="I189" s="35"/>
      <c r="J189" s="36"/>
      <c r="L189" s="35"/>
      <c r="M189" s="35"/>
    </row>
    <row r="190" spans="3:13" ht="25.8">
      <c r="C190" s="35"/>
      <c r="D190" s="94" t="s">
        <v>18</v>
      </c>
      <c r="E190" s="94" t="s">
        <v>4</v>
      </c>
      <c r="F190" s="35"/>
      <c r="G190" s="35"/>
      <c r="H190" s="35"/>
      <c r="I190" s="35"/>
      <c r="J190" s="36"/>
      <c r="L190" s="35"/>
      <c r="M190" s="35"/>
    </row>
    <row r="191" spans="3:13" ht="25.8">
      <c r="C191" s="35"/>
      <c r="D191" s="94" t="s">
        <v>18</v>
      </c>
      <c r="E191" s="94" t="s">
        <v>4</v>
      </c>
      <c r="F191" s="35"/>
      <c r="G191" s="35"/>
      <c r="H191" s="35"/>
      <c r="I191" s="35"/>
      <c r="J191" s="36"/>
      <c r="L191" s="35"/>
      <c r="M191" s="35"/>
    </row>
    <row r="192" spans="3:13" ht="25.8">
      <c r="C192" s="35"/>
      <c r="D192" s="94" t="s">
        <v>18</v>
      </c>
      <c r="E192" s="94" t="s">
        <v>4</v>
      </c>
      <c r="F192" s="35"/>
      <c r="G192" s="35"/>
      <c r="H192" s="35"/>
      <c r="I192" s="35"/>
      <c r="J192" s="36"/>
      <c r="L192" s="35"/>
      <c r="M192" s="35"/>
    </row>
    <row r="193" spans="3:13" ht="25.8">
      <c r="C193" s="35"/>
      <c r="D193" s="94" t="s">
        <v>18</v>
      </c>
      <c r="E193" s="94" t="s">
        <v>4</v>
      </c>
      <c r="F193" s="35"/>
      <c r="G193" s="35"/>
      <c r="H193" s="35"/>
      <c r="I193" s="35"/>
      <c r="J193" s="36"/>
      <c r="L193" s="35"/>
      <c r="M193" s="35"/>
    </row>
    <row r="194" spans="3:13" ht="25.8">
      <c r="C194" s="35"/>
      <c r="D194" s="94" t="s">
        <v>18</v>
      </c>
      <c r="E194" s="94" t="s">
        <v>4</v>
      </c>
      <c r="F194" s="35"/>
      <c r="G194" s="35"/>
      <c r="H194" s="35"/>
      <c r="I194" s="35"/>
      <c r="J194" s="36"/>
      <c r="L194" s="35"/>
      <c r="M194" s="35"/>
    </row>
    <row r="195" spans="3:13" ht="25.8">
      <c r="C195" s="35"/>
      <c r="D195" s="94" t="s">
        <v>18</v>
      </c>
      <c r="E195" s="94" t="s">
        <v>4</v>
      </c>
      <c r="F195" s="35"/>
      <c r="G195" s="35"/>
      <c r="H195" s="35"/>
      <c r="I195" s="35"/>
      <c r="J195" s="36"/>
      <c r="L195" s="35"/>
      <c r="M195" s="35"/>
    </row>
    <row r="196" spans="3:13" ht="25.8">
      <c r="C196" s="35"/>
      <c r="D196" s="94" t="s">
        <v>18</v>
      </c>
      <c r="E196" s="94" t="s">
        <v>4</v>
      </c>
      <c r="F196" s="35"/>
      <c r="G196" s="35"/>
      <c r="H196" s="35"/>
      <c r="I196" s="35"/>
      <c r="J196" s="36"/>
      <c r="L196" s="35"/>
      <c r="M196" s="35"/>
    </row>
    <row r="197" spans="3:13" ht="25.8">
      <c r="C197" s="35"/>
      <c r="D197" s="94" t="s">
        <v>18</v>
      </c>
      <c r="E197" s="94" t="s">
        <v>4</v>
      </c>
      <c r="F197" s="35"/>
      <c r="G197" s="35"/>
      <c r="H197" s="35"/>
      <c r="I197" s="35"/>
      <c r="J197" s="36"/>
      <c r="L197" s="35"/>
      <c r="M197" s="35"/>
    </row>
    <row r="198" spans="3:13" ht="25.8">
      <c r="C198" s="35"/>
      <c r="D198" s="94" t="s">
        <v>18</v>
      </c>
      <c r="E198" s="94" t="s">
        <v>4</v>
      </c>
      <c r="F198" s="35"/>
      <c r="G198" s="35"/>
      <c r="H198" s="35"/>
      <c r="I198" s="35"/>
      <c r="J198" s="36"/>
      <c r="L198" s="35"/>
      <c r="M198" s="35"/>
    </row>
    <row r="199" spans="3:13" ht="25.8">
      <c r="C199" s="35"/>
      <c r="D199" s="94" t="s">
        <v>18</v>
      </c>
      <c r="E199" s="94" t="s">
        <v>4</v>
      </c>
      <c r="F199" s="35"/>
      <c r="G199" s="35"/>
      <c r="H199" s="35"/>
      <c r="I199" s="35"/>
      <c r="J199" s="36"/>
      <c r="L199" s="35"/>
      <c r="M199" s="35"/>
    </row>
    <row r="200" spans="3:13" ht="25.8">
      <c r="C200" s="35"/>
      <c r="D200" s="94" t="s">
        <v>18</v>
      </c>
      <c r="E200" s="94" t="s">
        <v>4</v>
      </c>
      <c r="F200" s="35"/>
      <c r="G200" s="35"/>
      <c r="H200" s="35"/>
      <c r="I200" s="35"/>
      <c r="J200" s="36"/>
      <c r="L200" s="35"/>
      <c r="M200" s="35"/>
    </row>
    <row r="201" spans="3:13" ht="25.8">
      <c r="C201" s="35"/>
      <c r="D201" s="94" t="s">
        <v>18</v>
      </c>
      <c r="E201" s="94" t="s">
        <v>4</v>
      </c>
      <c r="F201" s="35"/>
      <c r="G201" s="35"/>
      <c r="H201" s="35"/>
      <c r="I201" s="35"/>
      <c r="J201" s="36"/>
      <c r="L201" s="35"/>
      <c r="M201" s="35"/>
    </row>
    <row r="202" spans="3:13" ht="25.8">
      <c r="C202" s="35"/>
      <c r="D202" s="94" t="s">
        <v>18</v>
      </c>
      <c r="E202" s="94" t="s">
        <v>4</v>
      </c>
      <c r="F202" s="35"/>
      <c r="G202" s="35"/>
      <c r="H202" s="35"/>
      <c r="I202" s="35"/>
      <c r="J202" s="36"/>
      <c r="L202" s="35"/>
      <c r="M202" s="35"/>
    </row>
    <row r="203" spans="3:13" ht="25.8">
      <c r="C203" s="35"/>
      <c r="D203" s="94" t="s">
        <v>18</v>
      </c>
      <c r="E203" s="94" t="s">
        <v>4</v>
      </c>
      <c r="F203" s="35"/>
      <c r="G203" s="35"/>
      <c r="H203" s="35"/>
      <c r="I203" s="35"/>
      <c r="J203" s="36"/>
      <c r="L203" s="35"/>
      <c r="M203" s="35"/>
    </row>
    <row r="204" spans="3:13" ht="25.8">
      <c r="C204" s="35"/>
      <c r="D204" s="94" t="s">
        <v>18</v>
      </c>
      <c r="E204" s="94" t="s">
        <v>4</v>
      </c>
      <c r="F204" s="35"/>
      <c r="G204" s="35"/>
      <c r="H204" s="35"/>
      <c r="I204" s="35"/>
      <c r="J204" s="36"/>
      <c r="L204" s="35"/>
      <c r="M204" s="35"/>
    </row>
    <row r="205" spans="3:13" ht="25.8">
      <c r="C205" s="35"/>
      <c r="D205" s="94" t="s">
        <v>18</v>
      </c>
      <c r="E205" s="94" t="s">
        <v>4</v>
      </c>
      <c r="F205" s="35"/>
      <c r="G205" s="35"/>
      <c r="H205" s="35"/>
      <c r="I205" s="35"/>
      <c r="J205" s="36"/>
      <c r="L205" s="35"/>
      <c r="M205" s="35"/>
    </row>
    <row r="206" spans="3:13" ht="25.8">
      <c r="C206" s="35"/>
      <c r="D206" s="94" t="s">
        <v>18</v>
      </c>
      <c r="E206" s="94" t="s">
        <v>4</v>
      </c>
      <c r="F206" s="35"/>
      <c r="G206" s="35"/>
      <c r="H206" s="35"/>
      <c r="I206" s="35"/>
      <c r="J206" s="36"/>
      <c r="L206" s="35"/>
      <c r="M206" s="35"/>
    </row>
    <row r="207" spans="3:13" ht="25.8">
      <c r="C207" s="35"/>
      <c r="D207" s="94" t="s">
        <v>18</v>
      </c>
      <c r="E207" s="94" t="s">
        <v>4</v>
      </c>
      <c r="F207" s="35"/>
      <c r="G207" s="35"/>
      <c r="H207" s="35"/>
      <c r="I207" s="35"/>
      <c r="J207" s="36"/>
      <c r="L207" s="35"/>
      <c r="M207" s="35"/>
    </row>
    <row r="208" spans="3:13" ht="25.8">
      <c r="C208" s="35"/>
      <c r="D208" s="94" t="s">
        <v>18</v>
      </c>
      <c r="E208" s="94" t="s">
        <v>4</v>
      </c>
      <c r="F208" s="35"/>
      <c r="G208" s="35"/>
      <c r="H208" s="35"/>
      <c r="I208" s="35"/>
      <c r="J208" s="36"/>
      <c r="L208" s="35"/>
      <c r="M208" s="35"/>
    </row>
    <row r="209" spans="3:13" ht="25.8">
      <c r="C209" s="35"/>
      <c r="D209" s="94" t="s">
        <v>18</v>
      </c>
      <c r="E209" s="94" t="s">
        <v>4</v>
      </c>
      <c r="F209" s="35"/>
      <c r="G209" s="35"/>
      <c r="H209" s="35"/>
      <c r="I209" s="35"/>
      <c r="J209" s="36"/>
      <c r="L209" s="35"/>
      <c r="M209" s="35"/>
    </row>
    <row r="210" spans="3:13" ht="25.8">
      <c r="C210" s="35"/>
      <c r="D210" s="94" t="s">
        <v>18</v>
      </c>
      <c r="E210" s="94" t="s">
        <v>4</v>
      </c>
      <c r="F210" s="35"/>
      <c r="G210" s="35"/>
      <c r="H210" s="35"/>
      <c r="I210" s="35"/>
      <c r="J210" s="36"/>
      <c r="L210" s="35"/>
      <c r="M210" s="35"/>
    </row>
    <row r="211" spans="3:13" ht="25.8">
      <c r="C211" s="35"/>
      <c r="D211" s="94" t="s">
        <v>18</v>
      </c>
      <c r="E211" s="94" t="s">
        <v>4</v>
      </c>
      <c r="F211" s="35"/>
      <c r="G211" s="35"/>
      <c r="H211" s="35"/>
      <c r="I211" s="35"/>
      <c r="J211" s="36"/>
      <c r="L211" s="35"/>
      <c r="M211" s="35"/>
    </row>
    <row r="212" spans="3:13" ht="25.8">
      <c r="C212" s="35"/>
      <c r="D212" s="94" t="s">
        <v>18</v>
      </c>
      <c r="E212" s="94" t="s">
        <v>4</v>
      </c>
      <c r="F212" s="35"/>
      <c r="G212" s="35"/>
      <c r="H212" s="35"/>
      <c r="I212" s="35"/>
      <c r="J212" s="36"/>
      <c r="L212" s="35"/>
      <c r="M212" s="35"/>
    </row>
    <row r="213" spans="3:13" ht="25.8">
      <c r="C213" s="35"/>
      <c r="D213" s="94" t="s">
        <v>18</v>
      </c>
      <c r="E213" s="94" t="s">
        <v>4</v>
      </c>
      <c r="F213" s="35"/>
      <c r="G213" s="35"/>
      <c r="H213" s="35"/>
      <c r="I213" s="35"/>
      <c r="J213" s="36"/>
      <c r="L213" s="35"/>
      <c r="M213" s="35"/>
    </row>
    <row r="214" spans="3:13" ht="25.8">
      <c r="C214" s="35"/>
      <c r="D214" s="94" t="s">
        <v>18</v>
      </c>
      <c r="E214" s="94" t="s">
        <v>4</v>
      </c>
      <c r="F214" s="35"/>
      <c r="G214" s="35"/>
      <c r="H214" s="35"/>
      <c r="I214" s="35"/>
      <c r="J214" s="36"/>
      <c r="L214" s="35"/>
      <c r="M214" s="35"/>
    </row>
    <row r="215" spans="3:13" ht="25.8">
      <c r="C215" s="35"/>
      <c r="D215" s="94" t="s">
        <v>18</v>
      </c>
      <c r="E215" s="94" t="s">
        <v>4</v>
      </c>
      <c r="F215" s="35"/>
      <c r="G215" s="35"/>
      <c r="H215" s="35"/>
      <c r="I215" s="35"/>
      <c r="J215" s="36"/>
      <c r="L215" s="35"/>
      <c r="M215" s="35"/>
    </row>
    <row r="216" spans="3:13" ht="25.8">
      <c r="C216" s="35"/>
      <c r="D216" s="94" t="s">
        <v>18</v>
      </c>
      <c r="E216" s="94" t="s">
        <v>4</v>
      </c>
      <c r="F216" s="35"/>
      <c r="G216" s="35"/>
      <c r="H216" s="35"/>
      <c r="I216" s="35"/>
      <c r="J216" s="36"/>
      <c r="L216" s="35"/>
      <c r="M216" s="35"/>
    </row>
    <row r="217" spans="3:13" ht="25.8">
      <c r="C217" s="35"/>
      <c r="D217" s="94" t="s">
        <v>18</v>
      </c>
      <c r="E217" s="94" t="s">
        <v>4</v>
      </c>
      <c r="F217" s="35"/>
      <c r="G217" s="35"/>
      <c r="H217" s="35"/>
      <c r="I217" s="35"/>
      <c r="J217" s="36"/>
      <c r="L217" s="35"/>
      <c r="M217" s="35"/>
    </row>
    <row r="218" spans="3:13" ht="25.8">
      <c r="C218" s="35"/>
      <c r="D218" s="94" t="s">
        <v>18</v>
      </c>
      <c r="E218" s="94" t="s">
        <v>4</v>
      </c>
      <c r="F218" s="35"/>
      <c r="G218" s="35"/>
      <c r="H218" s="35"/>
      <c r="I218" s="35"/>
      <c r="J218" s="36"/>
      <c r="L218" s="35"/>
      <c r="M218" s="35"/>
    </row>
    <row r="219" spans="3:13" ht="25.8">
      <c r="C219" s="35"/>
      <c r="D219" s="94" t="s">
        <v>18</v>
      </c>
      <c r="E219" s="94" t="s">
        <v>4</v>
      </c>
      <c r="F219" s="35"/>
      <c r="G219" s="35"/>
      <c r="H219" s="35"/>
      <c r="I219" s="35"/>
      <c r="J219" s="36"/>
      <c r="L219" s="35"/>
      <c r="M219" s="35"/>
    </row>
    <row r="220" spans="3:13" ht="25.8">
      <c r="C220" s="35"/>
      <c r="D220" s="94" t="s">
        <v>18</v>
      </c>
      <c r="E220" s="94" t="s">
        <v>4</v>
      </c>
      <c r="F220" s="35"/>
      <c r="G220" s="35"/>
      <c r="H220" s="35"/>
      <c r="I220" s="35"/>
      <c r="J220" s="36"/>
      <c r="L220" s="35"/>
      <c r="M220" s="35"/>
    </row>
    <row r="221" spans="3:13" ht="25.8">
      <c r="C221" s="35"/>
      <c r="D221" s="94" t="s">
        <v>18</v>
      </c>
      <c r="E221" s="94" t="s">
        <v>4</v>
      </c>
      <c r="F221" s="35"/>
      <c r="G221" s="35"/>
      <c r="H221" s="35"/>
      <c r="I221" s="35"/>
      <c r="J221" s="36"/>
      <c r="L221" s="35"/>
      <c r="M221" s="35"/>
    </row>
    <row r="222" spans="3:13" ht="25.8">
      <c r="C222" s="35"/>
      <c r="D222" s="94" t="s">
        <v>18</v>
      </c>
      <c r="E222" s="94" t="s">
        <v>4</v>
      </c>
      <c r="F222" s="35"/>
      <c r="G222" s="35"/>
      <c r="H222" s="35"/>
      <c r="I222" s="35"/>
      <c r="J222" s="36"/>
      <c r="L222" s="35"/>
      <c r="M222" s="35"/>
    </row>
    <row r="223" spans="3:13" ht="25.8">
      <c r="C223" s="35"/>
      <c r="D223" s="94" t="s">
        <v>18</v>
      </c>
      <c r="E223" s="94" t="s">
        <v>4</v>
      </c>
      <c r="F223" s="35"/>
      <c r="G223" s="35"/>
      <c r="H223" s="35"/>
      <c r="I223" s="35"/>
      <c r="J223" s="36"/>
      <c r="L223" s="35"/>
      <c r="M223" s="35"/>
    </row>
    <row r="224" spans="3:13" ht="25.8">
      <c r="C224" s="35"/>
      <c r="D224" s="94" t="s">
        <v>18</v>
      </c>
      <c r="E224" s="94" t="s">
        <v>4</v>
      </c>
      <c r="F224" s="35"/>
      <c r="G224" s="35"/>
      <c r="H224" s="35"/>
      <c r="I224" s="35"/>
      <c r="J224" s="36"/>
      <c r="L224" s="35"/>
      <c r="M224" s="35"/>
    </row>
    <row r="225" spans="3:13" ht="25.8">
      <c r="C225" s="35"/>
      <c r="D225" s="94" t="s">
        <v>18</v>
      </c>
      <c r="E225" s="94" t="s">
        <v>4</v>
      </c>
      <c r="F225" s="35"/>
      <c r="G225" s="35"/>
      <c r="H225" s="35"/>
      <c r="I225" s="35"/>
      <c r="J225" s="36"/>
      <c r="L225" s="35"/>
      <c r="M225" s="35"/>
    </row>
    <row r="226" spans="3:13" ht="25.8">
      <c r="C226" s="35"/>
      <c r="D226" s="94" t="s">
        <v>18</v>
      </c>
      <c r="E226" s="94" t="s">
        <v>4</v>
      </c>
      <c r="F226" s="35"/>
      <c r="G226" s="35"/>
      <c r="H226" s="35"/>
      <c r="I226" s="35"/>
      <c r="J226" s="36"/>
      <c r="L226" s="35"/>
      <c r="M226" s="35"/>
    </row>
    <row r="227" spans="3:13" ht="25.8">
      <c r="C227" s="35"/>
      <c r="D227" s="94" t="s">
        <v>18</v>
      </c>
      <c r="E227" s="94" t="s">
        <v>4</v>
      </c>
      <c r="F227" s="35"/>
      <c r="G227" s="35"/>
      <c r="H227" s="35"/>
      <c r="I227" s="35"/>
      <c r="J227" s="36"/>
      <c r="L227" s="35"/>
      <c r="M227" s="35"/>
    </row>
    <row r="228" spans="3:13" ht="25.8">
      <c r="C228" s="35"/>
      <c r="D228" s="94" t="s">
        <v>18</v>
      </c>
      <c r="E228" s="94" t="s">
        <v>4</v>
      </c>
      <c r="F228" s="35"/>
      <c r="G228" s="35"/>
      <c r="H228" s="35"/>
      <c r="I228" s="35"/>
      <c r="J228" s="36"/>
      <c r="L228" s="35"/>
      <c r="M228" s="35"/>
    </row>
    <row r="229" spans="3:13" ht="25.8">
      <c r="C229" s="35"/>
      <c r="D229" s="94" t="s">
        <v>18</v>
      </c>
      <c r="E229" s="94" t="s">
        <v>4</v>
      </c>
      <c r="F229" s="35"/>
      <c r="G229" s="35"/>
      <c r="H229" s="35"/>
      <c r="I229" s="35"/>
      <c r="J229" s="36"/>
      <c r="L229" s="35"/>
      <c r="M229" s="35"/>
    </row>
    <row r="230" spans="3:13" ht="25.8">
      <c r="C230" s="35"/>
      <c r="D230" s="94" t="s">
        <v>18</v>
      </c>
      <c r="E230" s="94" t="s">
        <v>4</v>
      </c>
      <c r="F230" s="35"/>
      <c r="G230" s="35"/>
      <c r="H230" s="35"/>
      <c r="I230" s="35"/>
      <c r="J230" s="36"/>
      <c r="L230" s="35"/>
      <c r="M230" s="35"/>
    </row>
    <row r="231" spans="3:13" ht="25.8">
      <c r="C231" s="35"/>
      <c r="D231" s="94" t="s">
        <v>18</v>
      </c>
      <c r="E231" s="94" t="s">
        <v>4</v>
      </c>
      <c r="F231" s="35"/>
      <c r="G231" s="35"/>
      <c r="H231" s="35"/>
      <c r="I231" s="35"/>
      <c r="J231" s="36"/>
      <c r="L231" s="35"/>
      <c r="M231" s="35"/>
    </row>
    <row r="232" spans="3:13" ht="25.8">
      <c r="C232" s="35"/>
      <c r="D232" s="94" t="s">
        <v>18</v>
      </c>
      <c r="E232" s="94" t="s">
        <v>4</v>
      </c>
      <c r="F232" s="35"/>
      <c r="G232" s="35"/>
      <c r="H232" s="35"/>
      <c r="I232" s="35"/>
      <c r="J232" s="36"/>
      <c r="L232" s="35"/>
      <c r="M232" s="35"/>
    </row>
    <row r="233" spans="3:13" ht="25.8">
      <c r="C233" s="35"/>
      <c r="D233" s="94" t="s">
        <v>18</v>
      </c>
      <c r="E233" s="94" t="s">
        <v>4</v>
      </c>
      <c r="F233" s="35"/>
      <c r="G233" s="35"/>
      <c r="H233" s="35"/>
      <c r="I233" s="35"/>
      <c r="J233" s="36"/>
      <c r="L233" s="35"/>
      <c r="M233" s="35"/>
    </row>
    <row r="234" spans="3:13" ht="25.8">
      <c r="C234" s="35"/>
      <c r="D234" s="94" t="s">
        <v>18</v>
      </c>
      <c r="E234" s="94" t="s">
        <v>4</v>
      </c>
      <c r="F234" s="35"/>
      <c r="G234" s="35"/>
      <c r="H234" s="35"/>
      <c r="I234" s="35"/>
      <c r="J234" s="36"/>
      <c r="L234" s="35"/>
      <c r="M234" s="35"/>
    </row>
    <row r="235" spans="3:13" ht="25.8">
      <c r="C235" s="35"/>
      <c r="D235" s="94" t="s">
        <v>18</v>
      </c>
      <c r="E235" s="94" t="s">
        <v>4</v>
      </c>
      <c r="F235" s="35"/>
      <c r="G235" s="35"/>
      <c r="H235" s="35"/>
      <c r="I235" s="35"/>
      <c r="J235" s="36"/>
      <c r="L235" s="35"/>
      <c r="M235" s="35"/>
    </row>
    <row r="236" spans="3:13" ht="25.8">
      <c r="C236" s="35"/>
      <c r="D236" s="94" t="s">
        <v>18</v>
      </c>
      <c r="E236" s="94" t="s">
        <v>4</v>
      </c>
      <c r="F236" s="35"/>
      <c r="G236" s="35"/>
      <c r="H236" s="35"/>
      <c r="I236" s="35"/>
      <c r="J236" s="36"/>
      <c r="L236" s="35"/>
      <c r="M236" s="35"/>
    </row>
    <row r="237" spans="3:13" ht="25.8">
      <c r="C237" s="35"/>
      <c r="D237" s="94" t="s">
        <v>18</v>
      </c>
      <c r="E237" s="94" t="s">
        <v>4</v>
      </c>
      <c r="F237" s="35"/>
      <c r="G237" s="35"/>
      <c r="H237" s="35"/>
      <c r="I237" s="35"/>
      <c r="J237" s="36"/>
      <c r="L237" s="35"/>
      <c r="M237" s="35"/>
    </row>
    <row r="238" spans="3:13" ht="25.8">
      <c r="C238" s="35"/>
      <c r="D238" s="94" t="s">
        <v>18</v>
      </c>
      <c r="E238" s="94" t="s">
        <v>4</v>
      </c>
      <c r="F238" s="35"/>
      <c r="G238" s="35"/>
      <c r="H238" s="35"/>
      <c r="I238" s="35"/>
      <c r="J238" s="36"/>
      <c r="L238" s="35"/>
      <c r="M238" s="35"/>
    </row>
    <row r="239" spans="3:13" ht="25.8">
      <c r="C239" s="35"/>
      <c r="D239" s="94" t="s">
        <v>18</v>
      </c>
      <c r="E239" s="94" t="s">
        <v>4</v>
      </c>
      <c r="F239" s="35"/>
      <c r="G239" s="35"/>
      <c r="H239" s="35"/>
      <c r="I239" s="35"/>
      <c r="J239" s="36"/>
      <c r="L239" s="35"/>
      <c r="M239" s="35"/>
    </row>
    <row r="240" spans="3:13" ht="25.8">
      <c r="C240" s="35"/>
      <c r="D240" s="94" t="s">
        <v>18</v>
      </c>
      <c r="E240" s="94" t="s">
        <v>4</v>
      </c>
      <c r="F240" s="35"/>
      <c r="G240" s="35"/>
      <c r="H240" s="35"/>
      <c r="I240" s="35"/>
      <c r="J240" s="36"/>
      <c r="L240" s="35"/>
      <c r="M240" s="35"/>
    </row>
    <row r="241" spans="3:13" ht="25.8">
      <c r="C241" s="35"/>
      <c r="D241" s="94" t="s">
        <v>18</v>
      </c>
      <c r="E241" s="94" t="s">
        <v>4</v>
      </c>
      <c r="F241" s="35"/>
      <c r="G241" s="35"/>
      <c r="H241" s="35"/>
      <c r="I241" s="35"/>
      <c r="J241" s="36"/>
      <c r="L241" s="35"/>
      <c r="M241" s="35"/>
    </row>
    <row r="242" spans="3:13" ht="25.8">
      <c r="C242" s="35"/>
      <c r="D242" s="94" t="s">
        <v>18</v>
      </c>
      <c r="E242" s="94" t="s">
        <v>4</v>
      </c>
      <c r="F242" s="35"/>
      <c r="G242" s="35"/>
      <c r="H242" s="35"/>
      <c r="I242" s="35"/>
      <c r="J242" s="36"/>
      <c r="L242" s="35"/>
      <c r="M242" s="35"/>
    </row>
    <row r="243" spans="3:13" ht="25.8">
      <c r="C243" s="35"/>
      <c r="D243" s="94" t="s">
        <v>18</v>
      </c>
      <c r="E243" s="94" t="s">
        <v>4</v>
      </c>
      <c r="F243" s="35"/>
      <c r="G243" s="35"/>
      <c r="H243" s="35"/>
      <c r="I243" s="35"/>
      <c r="J243" s="36"/>
      <c r="L243" s="35"/>
      <c r="M243" s="35"/>
    </row>
    <row r="244" spans="3:13" ht="25.8">
      <c r="C244" s="35"/>
      <c r="D244" s="94" t="s">
        <v>18</v>
      </c>
      <c r="E244" s="94" t="s">
        <v>4</v>
      </c>
      <c r="F244" s="35"/>
      <c r="G244" s="35"/>
      <c r="H244" s="35"/>
      <c r="I244" s="35"/>
      <c r="J244" s="36"/>
      <c r="L244" s="35"/>
      <c r="M244" s="35"/>
    </row>
    <row r="245" spans="3:13" ht="25.8">
      <c r="C245" s="35"/>
      <c r="D245" s="94" t="s">
        <v>18</v>
      </c>
      <c r="E245" s="94" t="s">
        <v>4</v>
      </c>
      <c r="F245" s="35"/>
      <c r="G245" s="35"/>
      <c r="H245" s="35"/>
      <c r="I245" s="35"/>
      <c r="J245" s="36"/>
      <c r="L245" s="35"/>
      <c r="M245" s="35"/>
    </row>
    <row r="246" spans="3:13" ht="25.8">
      <c r="C246" s="35"/>
      <c r="D246" s="94" t="s">
        <v>18</v>
      </c>
      <c r="E246" s="94" t="s">
        <v>4</v>
      </c>
      <c r="F246" s="35"/>
      <c r="G246" s="35"/>
      <c r="H246" s="35"/>
      <c r="I246" s="35"/>
      <c r="J246" s="36"/>
      <c r="L246" s="35"/>
      <c r="M246" s="35"/>
    </row>
    <row r="247" spans="3:13" ht="25.8">
      <c r="C247" s="35"/>
      <c r="D247" s="94" t="s">
        <v>18</v>
      </c>
      <c r="E247" s="94" t="s">
        <v>4</v>
      </c>
      <c r="F247" s="35"/>
      <c r="G247" s="35"/>
      <c r="H247" s="35"/>
      <c r="I247" s="35"/>
      <c r="J247" s="36"/>
      <c r="L247" s="35"/>
      <c r="M247" s="35"/>
    </row>
    <row r="248" spans="3:13" ht="25.8">
      <c r="C248" s="35"/>
      <c r="D248" s="94" t="s">
        <v>18</v>
      </c>
      <c r="E248" s="94" t="s">
        <v>4</v>
      </c>
      <c r="F248" s="35"/>
      <c r="G248" s="35"/>
      <c r="H248" s="35"/>
      <c r="I248" s="35"/>
      <c r="J248" s="36"/>
      <c r="L248" s="35"/>
      <c r="M248" s="35"/>
    </row>
    <row r="249" spans="3:13" ht="25.8">
      <c r="C249" s="35"/>
      <c r="D249" s="94" t="s">
        <v>18</v>
      </c>
      <c r="E249" s="94" t="s">
        <v>4</v>
      </c>
      <c r="F249" s="35"/>
      <c r="G249" s="35"/>
      <c r="H249" s="35"/>
      <c r="I249" s="35"/>
      <c r="J249" s="36"/>
      <c r="L249" s="35"/>
      <c r="M249" s="35"/>
    </row>
    <row r="250" spans="3:13" ht="25.8">
      <c r="C250" s="35"/>
      <c r="D250" s="94" t="s">
        <v>18</v>
      </c>
      <c r="E250" s="94" t="s">
        <v>4</v>
      </c>
      <c r="F250" s="35"/>
      <c r="G250" s="35"/>
      <c r="H250" s="35"/>
      <c r="I250" s="35"/>
      <c r="J250" s="36"/>
      <c r="L250" s="35"/>
      <c r="M250" s="35"/>
    </row>
    <row r="251" spans="3:13" ht="25.8">
      <c r="C251" s="35"/>
      <c r="D251" s="94" t="s">
        <v>18</v>
      </c>
      <c r="E251" s="94" t="s">
        <v>4</v>
      </c>
      <c r="F251" s="35"/>
      <c r="G251" s="35"/>
      <c r="H251" s="35"/>
      <c r="I251" s="35"/>
      <c r="J251" s="36"/>
      <c r="L251" s="35"/>
      <c r="M251" s="35"/>
    </row>
    <row r="252" spans="3:13" ht="25.8">
      <c r="C252" s="35"/>
      <c r="D252" s="94" t="s">
        <v>18</v>
      </c>
      <c r="E252" s="94" t="s">
        <v>4</v>
      </c>
      <c r="F252" s="35"/>
      <c r="G252" s="35"/>
      <c r="H252" s="35"/>
      <c r="I252" s="35"/>
      <c r="J252" s="36"/>
      <c r="L252" s="35"/>
      <c r="M252" s="35"/>
    </row>
    <row r="253" spans="3:13" ht="25.8">
      <c r="C253" s="35"/>
      <c r="D253" s="94" t="s">
        <v>18</v>
      </c>
      <c r="E253" s="94" t="s">
        <v>4</v>
      </c>
      <c r="F253" s="35"/>
      <c r="G253" s="35"/>
      <c r="H253" s="35"/>
      <c r="I253" s="35"/>
      <c r="J253" s="36"/>
      <c r="L253" s="35"/>
      <c r="M253" s="35"/>
    </row>
    <row r="254" spans="3:13" ht="25.8">
      <c r="C254" s="35"/>
      <c r="D254" s="94" t="s">
        <v>18</v>
      </c>
      <c r="E254" s="94" t="s">
        <v>4</v>
      </c>
      <c r="F254" s="35"/>
      <c r="G254" s="35"/>
      <c r="H254" s="35"/>
      <c r="I254" s="35"/>
      <c r="J254" s="36"/>
      <c r="L254" s="35"/>
      <c r="M254" s="35"/>
    </row>
    <row r="255" spans="3:13" ht="25.8">
      <c r="C255" s="35"/>
      <c r="D255" s="94" t="s">
        <v>18</v>
      </c>
      <c r="E255" s="94" t="s">
        <v>4</v>
      </c>
      <c r="F255" s="35"/>
      <c r="G255" s="35"/>
      <c r="H255" s="35"/>
      <c r="I255" s="35"/>
      <c r="J255" s="36"/>
      <c r="L255" s="35"/>
      <c r="M255" s="35"/>
    </row>
    <row r="256" spans="3:13" ht="25.8">
      <c r="C256" s="35"/>
      <c r="D256" s="94" t="s">
        <v>18</v>
      </c>
      <c r="E256" s="94" t="s">
        <v>4</v>
      </c>
      <c r="F256" s="35"/>
      <c r="G256" s="35"/>
      <c r="H256" s="35"/>
      <c r="I256" s="35"/>
      <c r="J256" s="36"/>
      <c r="L256" s="35"/>
      <c r="M256" s="35"/>
    </row>
    <row r="257" spans="3:13" ht="25.8">
      <c r="C257" s="35"/>
      <c r="D257" s="94" t="s">
        <v>18</v>
      </c>
      <c r="E257" s="94" t="s">
        <v>4</v>
      </c>
      <c r="F257" s="35"/>
      <c r="G257" s="35"/>
      <c r="H257" s="35"/>
      <c r="I257" s="35"/>
      <c r="J257" s="36"/>
      <c r="L257" s="35"/>
      <c r="M257" s="35"/>
    </row>
    <row r="258" spans="3:13" ht="25.8">
      <c r="C258" s="35"/>
      <c r="D258" s="94" t="s">
        <v>18</v>
      </c>
      <c r="E258" s="94" t="s">
        <v>4</v>
      </c>
      <c r="F258" s="35"/>
      <c r="G258" s="35"/>
      <c r="H258" s="35"/>
      <c r="I258" s="35"/>
      <c r="J258" s="36"/>
      <c r="L258" s="35"/>
      <c r="M258" s="35"/>
    </row>
    <row r="259" spans="3:13" ht="25.8">
      <c r="C259" s="35"/>
      <c r="D259" s="94" t="s">
        <v>18</v>
      </c>
      <c r="E259" s="94" t="s">
        <v>4</v>
      </c>
      <c r="F259" s="35"/>
      <c r="G259" s="35"/>
      <c r="H259" s="35"/>
      <c r="I259" s="35"/>
      <c r="J259" s="36"/>
      <c r="L259" s="35"/>
      <c r="M259" s="35"/>
    </row>
    <row r="260" spans="3:13" ht="25.8">
      <c r="C260" s="35"/>
      <c r="D260" s="94" t="s">
        <v>18</v>
      </c>
      <c r="E260" s="94" t="s">
        <v>4</v>
      </c>
      <c r="F260" s="35"/>
      <c r="G260" s="35"/>
      <c r="H260" s="35"/>
      <c r="I260" s="35"/>
      <c r="J260" s="36"/>
      <c r="L260" s="35"/>
      <c r="M260" s="35"/>
    </row>
    <row r="261" spans="3:13" ht="25.8">
      <c r="C261" s="35"/>
      <c r="D261" s="94" t="s">
        <v>18</v>
      </c>
      <c r="E261" s="94" t="s">
        <v>4</v>
      </c>
      <c r="F261" s="35"/>
      <c r="G261" s="35"/>
      <c r="H261" s="35"/>
      <c r="I261" s="35"/>
      <c r="J261" s="36"/>
      <c r="L261" s="35"/>
      <c r="M261" s="35"/>
    </row>
    <row r="262" spans="3:13" ht="25.8">
      <c r="C262" s="35"/>
      <c r="D262" s="94" t="s">
        <v>18</v>
      </c>
      <c r="E262" s="94" t="s">
        <v>4</v>
      </c>
      <c r="F262" s="35"/>
      <c r="G262" s="35"/>
      <c r="H262" s="35"/>
      <c r="I262" s="35"/>
      <c r="J262" s="36"/>
      <c r="L262" s="35"/>
      <c r="M262" s="35"/>
    </row>
    <row r="263" spans="3:13" ht="25.8">
      <c r="C263" s="35"/>
      <c r="D263" s="94" t="s">
        <v>18</v>
      </c>
      <c r="E263" s="94" t="s">
        <v>4</v>
      </c>
      <c r="F263" s="35"/>
      <c r="G263" s="35"/>
      <c r="H263" s="35"/>
      <c r="I263" s="35"/>
      <c r="J263" s="36"/>
      <c r="L263" s="35"/>
      <c r="M263" s="35"/>
    </row>
    <row r="264" spans="3:13" ht="25.8">
      <c r="C264" s="35"/>
      <c r="D264" s="94" t="s">
        <v>18</v>
      </c>
      <c r="E264" s="94" t="s">
        <v>4</v>
      </c>
      <c r="F264" s="35"/>
      <c r="G264" s="35"/>
      <c r="H264" s="35"/>
      <c r="I264" s="35"/>
      <c r="J264" s="36"/>
      <c r="L264" s="35"/>
      <c r="M264" s="35"/>
    </row>
    <row r="265" spans="3:13" ht="25.8">
      <c r="C265" s="35"/>
      <c r="D265" s="94" t="s">
        <v>18</v>
      </c>
      <c r="E265" s="94" t="s">
        <v>4</v>
      </c>
      <c r="F265" s="35"/>
      <c r="G265" s="35"/>
      <c r="H265" s="35"/>
      <c r="I265" s="35"/>
      <c r="J265" s="36"/>
      <c r="L265" s="35"/>
      <c r="M265" s="35"/>
    </row>
    <row r="266" spans="3:13" ht="25.8">
      <c r="C266" s="35"/>
      <c r="D266" s="94" t="s">
        <v>18</v>
      </c>
      <c r="E266" s="94" t="s">
        <v>4</v>
      </c>
      <c r="F266" s="35"/>
      <c r="G266" s="35"/>
      <c r="H266" s="35"/>
      <c r="I266" s="35"/>
      <c r="J266" s="36"/>
      <c r="L266" s="35"/>
      <c r="M266" s="35"/>
    </row>
    <row r="267" spans="3:13" ht="25.8">
      <c r="C267" s="35"/>
      <c r="D267" s="94" t="s">
        <v>18</v>
      </c>
      <c r="E267" s="94" t="s">
        <v>4</v>
      </c>
      <c r="F267" s="35"/>
      <c r="G267" s="35"/>
      <c r="H267" s="35"/>
      <c r="I267" s="35"/>
      <c r="J267" s="36"/>
      <c r="L267" s="35"/>
      <c r="M267" s="35"/>
    </row>
    <row r="268" spans="3:13" ht="25.8">
      <c r="C268" s="35"/>
      <c r="D268" s="94" t="s">
        <v>18</v>
      </c>
      <c r="E268" s="94" t="s">
        <v>4</v>
      </c>
      <c r="F268" s="35"/>
      <c r="G268" s="35"/>
      <c r="H268" s="35"/>
      <c r="I268" s="35"/>
      <c r="J268" s="36"/>
      <c r="L268" s="35"/>
      <c r="M268" s="35"/>
    </row>
    <row r="269" spans="3:13" ht="25.8">
      <c r="C269" s="35"/>
      <c r="D269" s="94" t="s">
        <v>18</v>
      </c>
      <c r="E269" s="94" t="s">
        <v>4</v>
      </c>
      <c r="F269" s="35"/>
      <c r="G269" s="35"/>
      <c r="H269" s="35"/>
      <c r="I269" s="35"/>
      <c r="J269" s="36"/>
      <c r="L269" s="35"/>
      <c r="M269" s="35"/>
    </row>
    <row r="270" spans="3:13" ht="25.8">
      <c r="C270" s="35"/>
      <c r="D270" s="94" t="s">
        <v>18</v>
      </c>
      <c r="E270" s="94" t="s">
        <v>4</v>
      </c>
      <c r="F270" s="35"/>
      <c r="G270" s="35"/>
      <c r="H270" s="35"/>
      <c r="I270" s="35"/>
      <c r="J270" s="36"/>
      <c r="L270" s="35"/>
      <c r="M270" s="35"/>
    </row>
    <row r="271" spans="3:13" ht="25.8">
      <c r="C271" s="35"/>
      <c r="D271" s="94" t="s">
        <v>18</v>
      </c>
      <c r="E271" s="94" t="s">
        <v>4</v>
      </c>
      <c r="F271" s="35"/>
      <c r="G271" s="35"/>
      <c r="H271" s="35"/>
      <c r="I271" s="35"/>
      <c r="J271" s="36"/>
      <c r="L271" s="35"/>
      <c r="M271" s="35"/>
    </row>
    <row r="272" spans="3:13" ht="25.8">
      <c r="C272" s="35"/>
      <c r="D272" s="94" t="s">
        <v>18</v>
      </c>
      <c r="E272" s="94" t="s">
        <v>4</v>
      </c>
      <c r="F272" s="35"/>
      <c r="G272" s="35"/>
      <c r="H272" s="35"/>
      <c r="I272" s="35"/>
      <c r="J272" s="36"/>
      <c r="L272" s="35"/>
      <c r="M272" s="35"/>
    </row>
    <row r="273" spans="3:13" ht="25.8">
      <c r="C273" s="35"/>
      <c r="D273" s="94" t="s">
        <v>18</v>
      </c>
      <c r="E273" s="94" t="s">
        <v>4</v>
      </c>
      <c r="F273" s="35"/>
      <c r="G273" s="35"/>
      <c r="H273" s="35"/>
      <c r="I273" s="35"/>
      <c r="J273" s="36"/>
      <c r="L273" s="35"/>
      <c r="M273" s="35"/>
    </row>
    <row r="274" spans="3:13" ht="25.8">
      <c r="C274" s="35"/>
      <c r="D274" s="94" t="s">
        <v>18</v>
      </c>
      <c r="E274" s="94" t="s">
        <v>4</v>
      </c>
      <c r="F274" s="35"/>
      <c r="G274" s="35"/>
      <c r="H274" s="35"/>
      <c r="I274" s="35"/>
      <c r="J274" s="36"/>
      <c r="L274" s="35"/>
      <c r="M274" s="35"/>
    </row>
    <row r="275" spans="3:13" ht="25.8">
      <c r="C275" s="35"/>
      <c r="D275" s="94" t="s">
        <v>18</v>
      </c>
      <c r="E275" s="94" t="s">
        <v>4</v>
      </c>
      <c r="F275" s="35"/>
      <c r="G275" s="35"/>
      <c r="H275" s="35"/>
      <c r="I275" s="35"/>
      <c r="J275" s="36"/>
      <c r="L275" s="35"/>
      <c r="M275" s="35"/>
    </row>
    <row r="276" spans="3:13" ht="25.8">
      <c r="C276" s="35"/>
      <c r="D276" s="94" t="s">
        <v>18</v>
      </c>
      <c r="E276" s="94" t="s">
        <v>4</v>
      </c>
      <c r="F276" s="35"/>
      <c r="G276" s="35"/>
      <c r="H276" s="35"/>
      <c r="I276" s="35"/>
      <c r="J276" s="36"/>
      <c r="L276" s="35"/>
      <c r="M276" s="35"/>
    </row>
    <row r="277" spans="3:13" ht="25.8">
      <c r="C277" s="35"/>
      <c r="D277" s="94" t="s">
        <v>18</v>
      </c>
      <c r="E277" s="94" t="s">
        <v>4</v>
      </c>
      <c r="F277" s="35"/>
      <c r="G277" s="35"/>
      <c r="H277" s="35"/>
      <c r="I277" s="35"/>
      <c r="J277" s="36"/>
      <c r="L277" s="35"/>
      <c r="M277" s="35"/>
    </row>
    <row r="278" spans="3:13" ht="25.8">
      <c r="C278" s="35"/>
      <c r="D278" s="94" t="s">
        <v>18</v>
      </c>
      <c r="E278" s="94" t="s">
        <v>4</v>
      </c>
      <c r="F278" s="35"/>
      <c r="G278" s="35"/>
      <c r="H278" s="35"/>
      <c r="I278" s="35"/>
      <c r="J278" s="36"/>
      <c r="L278" s="35"/>
      <c r="M278" s="35"/>
    </row>
    <row r="279" spans="3:13" ht="25.8">
      <c r="C279" s="35"/>
      <c r="D279" s="94" t="s">
        <v>18</v>
      </c>
      <c r="E279" s="94" t="s">
        <v>4</v>
      </c>
      <c r="F279" s="35"/>
      <c r="G279" s="35"/>
      <c r="H279" s="35"/>
      <c r="I279" s="35"/>
      <c r="J279" s="36"/>
      <c r="L279" s="35"/>
      <c r="M279" s="35"/>
    </row>
    <row r="280" spans="3:13" ht="25.8">
      <c r="C280" s="35"/>
      <c r="D280" s="94" t="s">
        <v>18</v>
      </c>
      <c r="E280" s="94" t="s">
        <v>4</v>
      </c>
      <c r="F280" s="35"/>
      <c r="G280" s="35"/>
      <c r="H280" s="35"/>
      <c r="I280" s="35"/>
      <c r="J280" s="36"/>
      <c r="L280" s="35"/>
      <c r="M280" s="35"/>
    </row>
    <row r="281" spans="3:13" ht="25.8">
      <c r="C281" s="35"/>
      <c r="D281" s="94" t="s">
        <v>18</v>
      </c>
      <c r="E281" s="94" t="s">
        <v>4</v>
      </c>
      <c r="F281" s="35"/>
      <c r="G281" s="35"/>
      <c r="H281" s="35"/>
      <c r="I281" s="35"/>
      <c r="J281" s="36"/>
      <c r="L281" s="35"/>
      <c r="M281" s="35"/>
    </row>
    <row r="282" spans="3:13" ht="25.8">
      <c r="C282" s="35"/>
      <c r="D282" s="94" t="s">
        <v>18</v>
      </c>
      <c r="E282" s="94" t="s">
        <v>4</v>
      </c>
      <c r="F282" s="35"/>
      <c r="G282" s="35"/>
      <c r="H282" s="35"/>
      <c r="I282" s="35"/>
      <c r="J282" s="36"/>
      <c r="L282" s="35"/>
      <c r="M282" s="35"/>
    </row>
    <row r="283" spans="3:13" ht="25.8">
      <c r="C283" s="35"/>
      <c r="D283" s="94" t="s">
        <v>18</v>
      </c>
      <c r="E283" s="94" t="s">
        <v>4</v>
      </c>
      <c r="F283" s="35"/>
      <c r="G283" s="35"/>
      <c r="H283" s="35"/>
      <c r="I283" s="35"/>
      <c r="J283" s="36"/>
      <c r="L283" s="35"/>
      <c r="M283" s="35"/>
    </row>
    <row r="284" spans="3:13" ht="25.8">
      <c r="C284" s="35"/>
      <c r="D284" s="94" t="s">
        <v>18</v>
      </c>
      <c r="E284" s="94" t="s">
        <v>4</v>
      </c>
      <c r="F284" s="35"/>
      <c r="G284" s="35"/>
      <c r="H284" s="35"/>
      <c r="I284" s="35"/>
      <c r="J284" s="36"/>
      <c r="L284" s="35"/>
      <c r="M284" s="35"/>
    </row>
    <row r="285" spans="3:13" ht="25.8">
      <c r="C285" s="35"/>
      <c r="D285" s="94" t="s">
        <v>18</v>
      </c>
      <c r="E285" s="94" t="s">
        <v>4</v>
      </c>
      <c r="F285" s="35"/>
      <c r="G285" s="35"/>
      <c r="H285" s="35"/>
      <c r="I285" s="35"/>
      <c r="J285" s="36"/>
      <c r="L285" s="35"/>
      <c r="M285" s="35"/>
    </row>
    <row r="286" spans="3:13" ht="25.8">
      <c r="C286" s="35"/>
      <c r="D286" s="94" t="s">
        <v>18</v>
      </c>
      <c r="E286" s="94" t="s">
        <v>4</v>
      </c>
      <c r="F286" s="35"/>
      <c r="G286" s="35"/>
      <c r="H286" s="35"/>
      <c r="I286" s="35"/>
      <c r="J286" s="36"/>
      <c r="L286" s="35"/>
      <c r="M286" s="35"/>
    </row>
    <row r="287" spans="3:13" ht="25.8">
      <c r="C287" s="35"/>
      <c r="D287" s="94" t="s">
        <v>18</v>
      </c>
      <c r="E287" s="94" t="s">
        <v>4</v>
      </c>
      <c r="F287" s="35"/>
      <c r="G287" s="35"/>
      <c r="H287" s="35"/>
      <c r="I287" s="35"/>
      <c r="J287" s="36"/>
      <c r="L287" s="35"/>
      <c r="M287" s="35"/>
    </row>
    <row r="288" spans="3:13" ht="25.8">
      <c r="C288" s="35"/>
      <c r="D288" s="94" t="s">
        <v>18</v>
      </c>
      <c r="E288" s="94" t="s">
        <v>4</v>
      </c>
      <c r="F288" s="35"/>
      <c r="G288" s="35"/>
      <c r="H288" s="35"/>
      <c r="I288" s="35"/>
      <c r="J288" s="36"/>
      <c r="L288" s="35"/>
      <c r="M288" s="35"/>
    </row>
    <row r="289" spans="3:13" ht="25.8">
      <c r="C289" s="35"/>
      <c r="D289" s="94" t="s">
        <v>18</v>
      </c>
      <c r="E289" s="94" t="s">
        <v>4</v>
      </c>
      <c r="F289" s="35"/>
      <c r="G289" s="35"/>
      <c r="H289" s="35"/>
      <c r="I289" s="35"/>
      <c r="J289" s="36"/>
      <c r="L289" s="35"/>
      <c r="M289" s="35"/>
    </row>
    <row r="290" spans="3:13" ht="25.8">
      <c r="C290" s="35"/>
      <c r="D290" s="94" t="s">
        <v>18</v>
      </c>
      <c r="E290" s="94" t="s">
        <v>4</v>
      </c>
      <c r="F290" s="35"/>
      <c r="G290" s="35"/>
      <c r="H290" s="35"/>
      <c r="I290" s="35"/>
      <c r="J290" s="36"/>
      <c r="L290" s="35"/>
      <c r="M290" s="35"/>
    </row>
    <row r="291" spans="3:13" ht="25.8">
      <c r="C291" s="35"/>
      <c r="D291" s="94" t="s">
        <v>18</v>
      </c>
      <c r="E291" s="94" t="s">
        <v>4</v>
      </c>
      <c r="F291" s="35"/>
      <c r="G291" s="35"/>
      <c r="H291" s="35"/>
      <c r="I291" s="35"/>
      <c r="J291" s="36"/>
      <c r="L291" s="35"/>
      <c r="M291" s="35"/>
    </row>
    <row r="292" spans="3:13" ht="25.8">
      <c r="C292" s="35"/>
      <c r="D292" s="94" t="s">
        <v>18</v>
      </c>
      <c r="E292" s="94" t="s">
        <v>4</v>
      </c>
      <c r="F292" s="35"/>
      <c r="G292" s="35"/>
      <c r="H292" s="35"/>
      <c r="I292" s="35"/>
      <c r="J292" s="36"/>
      <c r="L292" s="35"/>
      <c r="M292" s="35"/>
    </row>
    <row r="293" spans="3:13" ht="25.8">
      <c r="C293" s="35"/>
      <c r="D293" s="94" t="s">
        <v>18</v>
      </c>
      <c r="E293" s="94" t="s">
        <v>4</v>
      </c>
      <c r="F293" s="35"/>
      <c r="G293" s="35"/>
      <c r="H293" s="35"/>
      <c r="I293" s="35"/>
      <c r="J293" s="36"/>
      <c r="L293" s="35"/>
      <c r="M293" s="35"/>
    </row>
    <row r="294" spans="3:13" ht="25.8">
      <c r="C294" s="35"/>
      <c r="D294" s="94" t="s">
        <v>18</v>
      </c>
      <c r="E294" s="94" t="s">
        <v>4</v>
      </c>
      <c r="F294" s="35"/>
      <c r="G294" s="35"/>
      <c r="H294" s="35"/>
      <c r="I294" s="35"/>
      <c r="J294" s="36"/>
      <c r="L294" s="35"/>
      <c r="M294" s="35"/>
    </row>
    <row r="295" spans="3:13" ht="25.8">
      <c r="C295" s="35"/>
      <c r="D295" s="94" t="s">
        <v>18</v>
      </c>
      <c r="E295" s="94" t="s">
        <v>4</v>
      </c>
      <c r="F295" s="35"/>
      <c r="G295" s="35"/>
      <c r="H295" s="35"/>
      <c r="I295" s="35"/>
      <c r="J295" s="36"/>
      <c r="L295" s="35"/>
      <c r="M295" s="35"/>
    </row>
    <row r="296" spans="3:13" ht="25.8">
      <c r="C296" s="35"/>
      <c r="D296" s="94" t="s">
        <v>18</v>
      </c>
      <c r="E296" s="94" t="s">
        <v>4</v>
      </c>
      <c r="F296" s="35"/>
      <c r="G296" s="35"/>
      <c r="H296" s="35"/>
      <c r="I296" s="35"/>
      <c r="J296" s="36"/>
      <c r="L296" s="35"/>
      <c r="M296" s="35"/>
    </row>
    <row r="297" spans="3:13" ht="25.8">
      <c r="C297" s="35"/>
      <c r="D297" s="94" t="s">
        <v>18</v>
      </c>
      <c r="E297" s="94" t="s">
        <v>4</v>
      </c>
      <c r="F297" s="35"/>
      <c r="G297" s="35"/>
      <c r="H297" s="35"/>
      <c r="I297" s="35"/>
      <c r="J297" s="36"/>
      <c r="L297" s="35"/>
      <c r="M297" s="35"/>
    </row>
    <row r="298" spans="3:13" ht="25.8">
      <c r="C298" s="35"/>
      <c r="D298" s="94" t="s">
        <v>18</v>
      </c>
      <c r="E298" s="94" t="s">
        <v>4</v>
      </c>
      <c r="F298" s="35"/>
      <c r="G298" s="35"/>
      <c r="H298" s="35"/>
      <c r="I298" s="35"/>
      <c r="J298" s="36"/>
      <c r="L298" s="35"/>
      <c r="M298" s="35"/>
    </row>
    <row r="299" spans="3:13" ht="25.8">
      <c r="C299" s="35"/>
      <c r="D299" s="94" t="s">
        <v>18</v>
      </c>
      <c r="E299" s="94" t="s">
        <v>4</v>
      </c>
      <c r="F299" s="35"/>
      <c r="G299" s="35"/>
      <c r="H299" s="35"/>
      <c r="I299" s="35"/>
      <c r="J299" s="36"/>
      <c r="L299" s="35"/>
      <c r="M299" s="35"/>
    </row>
    <row r="300" spans="3:13" ht="25.8">
      <c r="C300" s="35"/>
      <c r="D300" s="94" t="s">
        <v>18</v>
      </c>
      <c r="E300" s="94" t="s">
        <v>4</v>
      </c>
      <c r="F300" s="35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135" priority="3" operator="containsText" text="Red Popp">
      <formula>NOT(ISERROR(SEARCH("Red Popp",F1)))</formula>
    </cfRule>
    <cfRule type="containsText" dxfId="134" priority="4" operator="containsText" text="Purple Popp">
      <formula>NOT(ISERROR(SEARCH("Purple Popp",F1)))</formula>
    </cfRule>
    <cfRule type="containsText" dxfId="133" priority="5" operator="containsText" text="Purple (Fish)">
      <formula>NOT(ISERROR(SEARCH("Purple (Fish)",F1)))</formula>
    </cfRule>
    <cfRule type="containsText" dxfId="132" priority="6" operator="containsText" text="Blue Purple(1C)">
      <formula>NOT(ISERROR(SEARCH("Blue Purple(1C)",F1)))</formula>
    </cfRule>
    <cfRule type="containsText" dxfId="131" priority="7" operator="containsText" text="Purple Dark Blue(1B)">
      <formula>NOT(ISERROR(SEARCH("Purple Dark Blue(1B)",F1)))</formula>
    </cfRule>
    <cfRule type="containsText" dxfId="130" priority="8" operator="containsText" text="Blue Gray(1A)">
      <formula>NOT(ISERROR(SEARCH("Blue Gray(1A)",F1)))</formula>
    </cfRule>
    <cfRule type="containsText" dxfId="129" priority="9" operator="containsText" text="Blue Black(1H)">
      <formula>NOT(ISERROR(SEARCH("Blue Black(1H)",F1)))</formula>
    </cfRule>
    <cfRule type="containsText" dxfId="128" priority="10" operator="containsText" text="Red Dark Blue(1E)">
      <formula>NOT(ISERROR(SEARCH("Red Dark Blue(1E)",F1)))</formula>
    </cfRule>
    <cfRule type="containsText" dxfId="127" priority="11" operator="containsText" text="Blue Green(1J)">
      <formula>NOT(ISERROR(SEARCH("Blue Green(1J)",F1)))</formula>
    </cfRule>
    <cfRule type="containsText" dxfId="126" priority="12" operator="containsText" text="Red Black(1i)">
      <formula>NOT(ISERROR(SEARCH("Red Black(1i)",F1)))</formula>
    </cfRule>
    <cfRule type="containsText" dxfId="125" priority="13" operator="containsText" text="Green Black(GB)">
      <formula>NOT(ISERROR(SEARCH("Green Black(GB)",F1)))</formula>
    </cfRule>
  </conditionalFormatting>
  <conditionalFormatting sqref="J1:J1048576">
    <cfRule type="beginsWith" dxfId="124" priority="2" operator="beginsWith" text="0">
      <formula>LEFT(J1,LEN("0"))="0"</formula>
    </cfRule>
  </conditionalFormatting>
  <conditionalFormatting sqref="I1:I1048576">
    <cfRule type="beginsWith" dxfId="123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O300"/>
  <sheetViews>
    <sheetView zoomScale="70" zoomScaleNormal="70" workbookViewId="0">
      <selection activeCell="F19" sqref="F1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5">
      <c r="F1" t="s">
        <v>52</v>
      </c>
    </row>
    <row r="2" spans="3:15" ht="25.8">
      <c r="C2" s="143" t="s">
        <v>88</v>
      </c>
      <c r="D2" s="143"/>
      <c r="E2" s="143"/>
      <c r="F2" s="143"/>
      <c r="G2" s="143"/>
      <c r="H2" s="143"/>
      <c r="I2" s="143"/>
      <c r="J2" s="143"/>
      <c r="K2" s="124"/>
      <c r="L2" s="141"/>
      <c r="M2" s="141"/>
    </row>
    <row r="3" spans="3:15" ht="27.75" customHeight="1">
      <c r="C3" s="143"/>
      <c r="D3" s="143"/>
      <c r="E3" s="143"/>
      <c r="F3" s="143"/>
      <c r="G3" s="143"/>
      <c r="H3" s="143"/>
      <c r="I3" s="143"/>
      <c r="J3" s="143"/>
      <c r="K3" s="124"/>
      <c r="L3" s="135" t="s">
        <v>16</v>
      </c>
      <c r="M3" s="135"/>
    </row>
    <row r="4" spans="3:15" ht="27.75" customHeight="1">
      <c r="C4" s="143"/>
      <c r="D4" s="143"/>
      <c r="E4" s="143"/>
      <c r="F4" s="143"/>
      <c r="G4" s="143"/>
      <c r="H4" s="143"/>
      <c r="I4" s="143"/>
      <c r="J4" s="143"/>
      <c r="K4" s="124"/>
      <c r="L4" s="136"/>
      <c r="M4" s="136"/>
    </row>
    <row r="5" spans="3:15" ht="25.8">
      <c r="C5" s="134"/>
      <c r="D5" s="134"/>
      <c r="E5" s="134"/>
      <c r="F5" s="134"/>
      <c r="G5" s="134"/>
      <c r="H5" s="134"/>
      <c r="I5" s="134"/>
      <c r="J5" s="134"/>
      <c r="K5" s="124"/>
      <c r="L5" s="90"/>
      <c r="M5" s="90"/>
    </row>
    <row r="6" spans="3:15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137" t="s">
        <v>15</v>
      </c>
      <c r="K6" s="124"/>
      <c r="L6" s="122" t="s">
        <v>1</v>
      </c>
      <c r="M6" s="123" t="s">
        <v>0</v>
      </c>
    </row>
    <row r="7" spans="3:15" ht="25.8">
      <c r="C7" s="37">
        <v>46174</v>
      </c>
      <c r="D7" s="94" t="s">
        <v>18</v>
      </c>
      <c r="E7" s="94" t="s">
        <v>59</v>
      </c>
      <c r="F7" s="116" t="s">
        <v>60</v>
      </c>
      <c r="G7" s="94" t="s">
        <v>29</v>
      </c>
      <c r="H7" s="94" t="s">
        <v>89</v>
      </c>
      <c r="I7" s="130">
        <v>6208</v>
      </c>
      <c r="J7" s="130">
        <v>6208</v>
      </c>
      <c r="K7" s="124"/>
      <c r="L7" s="35"/>
      <c r="M7" s="35"/>
    </row>
    <row r="8" spans="3:15" ht="25.8">
      <c r="C8" s="37">
        <v>46174</v>
      </c>
      <c r="D8" s="94" t="s">
        <v>18</v>
      </c>
      <c r="E8" s="94" t="s">
        <v>59</v>
      </c>
      <c r="F8" s="116" t="s">
        <v>62</v>
      </c>
      <c r="G8" s="94" t="s">
        <v>29</v>
      </c>
      <c r="H8" s="94" t="s">
        <v>89</v>
      </c>
      <c r="I8" s="130">
        <v>7150</v>
      </c>
      <c r="J8" s="130">
        <v>7150</v>
      </c>
      <c r="K8" s="124"/>
      <c r="L8" s="35"/>
      <c r="M8" s="35"/>
    </row>
    <row r="9" spans="3:15" ht="25.8">
      <c r="C9" s="37">
        <v>46174</v>
      </c>
      <c r="D9" s="94" t="s">
        <v>18</v>
      </c>
      <c r="E9" s="94" t="s">
        <v>59</v>
      </c>
      <c r="F9" s="116" t="s">
        <v>63</v>
      </c>
      <c r="G9" s="94" t="s">
        <v>29</v>
      </c>
      <c r="H9" s="94" t="s">
        <v>89</v>
      </c>
      <c r="I9" s="130">
        <v>7092</v>
      </c>
      <c r="J9" s="130">
        <v>7092</v>
      </c>
      <c r="K9" s="124"/>
      <c r="L9" s="35"/>
      <c r="M9" s="35"/>
    </row>
    <row r="10" spans="3:15" ht="25.8">
      <c r="C10" s="37">
        <v>46174</v>
      </c>
      <c r="D10" s="94" t="s">
        <v>18</v>
      </c>
      <c r="E10" s="94" t="s">
        <v>59</v>
      </c>
      <c r="F10" s="116" t="s">
        <v>36</v>
      </c>
      <c r="G10" s="94" t="s">
        <v>29</v>
      </c>
      <c r="H10" s="94" t="s">
        <v>89</v>
      </c>
      <c r="I10" s="130">
        <v>10000</v>
      </c>
      <c r="J10" s="130">
        <v>10000</v>
      </c>
      <c r="K10" s="124"/>
      <c r="L10" s="35"/>
      <c r="M10" s="35"/>
    </row>
    <row r="11" spans="3:15" ht="25.8">
      <c r="C11" s="37">
        <v>46174</v>
      </c>
      <c r="D11" s="94" t="s">
        <v>18</v>
      </c>
      <c r="E11" s="94" t="s">
        <v>59</v>
      </c>
      <c r="F11" s="116" t="s">
        <v>37</v>
      </c>
      <c r="G11" s="94" t="s">
        <v>29</v>
      </c>
      <c r="H11" s="94" t="s">
        <v>89</v>
      </c>
      <c r="I11" s="130">
        <v>10000</v>
      </c>
      <c r="J11" s="130">
        <v>10000</v>
      </c>
      <c r="K11" s="124"/>
      <c r="L11" s="35"/>
      <c r="M11" s="35"/>
    </row>
    <row r="12" spans="3:15" ht="25.8">
      <c r="C12" s="37">
        <v>46174</v>
      </c>
      <c r="D12" s="94" t="s">
        <v>18</v>
      </c>
      <c r="E12" s="94" t="s">
        <v>59</v>
      </c>
      <c r="F12" s="116" t="s">
        <v>28</v>
      </c>
      <c r="G12" s="94" t="s">
        <v>29</v>
      </c>
      <c r="H12" s="94" t="s">
        <v>89</v>
      </c>
      <c r="I12" s="130">
        <v>7710</v>
      </c>
      <c r="J12" s="130">
        <v>7710</v>
      </c>
      <c r="K12" s="124"/>
      <c r="L12" s="35"/>
      <c r="M12" s="35"/>
    </row>
    <row r="13" spans="3:15" ht="25.8">
      <c r="C13" s="37">
        <v>46174</v>
      </c>
      <c r="D13" s="94" t="s">
        <v>18</v>
      </c>
      <c r="E13" s="94" t="s">
        <v>59</v>
      </c>
      <c r="F13" s="116" t="s">
        <v>66</v>
      </c>
      <c r="G13" s="94" t="s">
        <v>29</v>
      </c>
      <c r="H13" s="94" t="s">
        <v>89</v>
      </c>
      <c r="I13" s="130">
        <v>10745</v>
      </c>
      <c r="J13" s="130">
        <v>10745</v>
      </c>
      <c r="K13" s="124"/>
      <c r="L13" s="35"/>
      <c r="M13" s="35"/>
    </row>
    <row r="14" spans="3:15" ht="25.8">
      <c r="C14" s="37">
        <v>46174</v>
      </c>
      <c r="D14" s="94" t="s">
        <v>18</v>
      </c>
      <c r="E14" s="94" t="s">
        <v>59</v>
      </c>
      <c r="F14" s="116" t="s">
        <v>67</v>
      </c>
      <c r="G14" s="94" t="s">
        <v>29</v>
      </c>
      <c r="H14" s="94" t="s">
        <v>89</v>
      </c>
      <c r="I14" s="130">
        <v>3010</v>
      </c>
      <c r="J14" s="130">
        <v>3010</v>
      </c>
      <c r="K14" s="124"/>
      <c r="L14" s="35"/>
      <c r="M14" s="35"/>
    </row>
    <row r="15" spans="3:15" ht="25.8">
      <c r="C15" s="37">
        <v>46174</v>
      </c>
      <c r="D15" s="94" t="s">
        <v>18</v>
      </c>
      <c r="E15" s="94" t="s">
        <v>59</v>
      </c>
      <c r="F15" s="116" t="s">
        <v>64</v>
      </c>
      <c r="G15" s="94" t="s">
        <v>29</v>
      </c>
      <c r="H15" s="94" t="s">
        <v>89</v>
      </c>
      <c r="I15" s="130">
        <v>998</v>
      </c>
      <c r="J15" s="130">
        <v>998</v>
      </c>
      <c r="K15" s="124"/>
      <c r="L15" s="94"/>
      <c r="M15" s="94"/>
      <c r="N15" s="126"/>
      <c r="O15" s="126"/>
    </row>
    <row r="16" spans="3:15" ht="25.8">
      <c r="C16" s="37">
        <v>46174</v>
      </c>
      <c r="D16" s="94" t="s">
        <v>18</v>
      </c>
      <c r="E16" s="94" t="s">
        <v>59</v>
      </c>
      <c r="F16" s="116" t="s">
        <v>65</v>
      </c>
      <c r="G16" s="112" t="s">
        <v>29</v>
      </c>
      <c r="H16" s="94" t="s">
        <v>89</v>
      </c>
      <c r="I16" s="130">
        <v>1640</v>
      </c>
      <c r="J16" s="110">
        <v>1640</v>
      </c>
      <c r="K16" s="124"/>
      <c r="L16" s="94"/>
      <c r="M16" s="94"/>
      <c r="N16" s="126"/>
      <c r="O16" s="126"/>
    </row>
    <row r="17" spans="3:15" ht="25.8">
      <c r="C17" s="111"/>
      <c r="D17" s="94" t="s">
        <v>18</v>
      </c>
      <c r="E17" s="94" t="s">
        <v>59</v>
      </c>
      <c r="F17" s="116"/>
      <c r="G17" s="94"/>
      <c r="H17" s="94"/>
      <c r="I17" s="130"/>
      <c r="J17" s="130"/>
      <c r="K17" s="124"/>
      <c r="L17" s="94"/>
      <c r="M17" s="94"/>
      <c r="N17" s="126"/>
      <c r="O17" s="126"/>
    </row>
    <row r="18" spans="3:15" ht="25.8">
      <c r="C18" s="111"/>
      <c r="D18" s="94" t="s">
        <v>18</v>
      </c>
      <c r="E18" s="94" t="s">
        <v>59</v>
      </c>
      <c r="F18" s="116"/>
      <c r="G18" s="94"/>
      <c r="H18" s="94"/>
      <c r="I18" s="130"/>
      <c r="J18" s="130"/>
      <c r="K18" s="124"/>
      <c r="L18" s="94"/>
      <c r="M18" s="94"/>
      <c r="N18" s="126"/>
      <c r="O18" s="126"/>
    </row>
    <row r="19" spans="3:15" ht="25.8">
      <c r="C19" s="111"/>
      <c r="D19" s="94" t="s">
        <v>18</v>
      </c>
      <c r="E19" s="94" t="s">
        <v>59</v>
      </c>
      <c r="F19" s="116"/>
      <c r="G19" s="94"/>
      <c r="H19" s="94"/>
      <c r="I19" s="130"/>
      <c r="J19" s="130"/>
      <c r="K19" s="124"/>
      <c r="L19" s="94"/>
      <c r="M19" s="94"/>
      <c r="N19" s="126"/>
      <c r="O19" s="126"/>
    </row>
    <row r="20" spans="3:15" ht="25.8">
      <c r="C20" s="106"/>
      <c r="D20" s="94" t="s">
        <v>18</v>
      </c>
      <c r="E20" s="94" t="s">
        <v>59</v>
      </c>
      <c r="F20" s="116"/>
      <c r="G20" s="94"/>
      <c r="H20" s="94"/>
      <c r="I20" s="130"/>
      <c r="J20" s="130"/>
      <c r="K20" s="124"/>
      <c r="L20" s="94"/>
      <c r="M20" s="94"/>
      <c r="N20" s="126"/>
      <c r="O20" s="126"/>
    </row>
    <row r="21" spans="3:15" ht="26.25" customHeight="1">
      <c r="C21" s="111"/>
      <c r="D21" s="94" t="s">
        <v>18</v>
      </c>
      <c r="E21" s="94" t="s">
        <v>59</v>
      </c>
      <c r="F21" s="116"/>
      <c r="G21" s="94"/>
      <c r="H21" s="94"/>
      <c r="I21" s="130"/>
      <c r="J21" s="130"/>
      <c r="K21" s="124"/>
      <c r="L21" s="94"/>
      <c r="M21" s="94"/>
      <c r="N21" s="126"/>
      <c r="O21" s="126"/>
    </row>
    <row r="22" spans="3:15" ht="26.25" customHeight="1">
      <c r="C22" s="106"/>
      <c r="D22" s="94" t="s">
        <v>18</v>
      </c>
      <c r="E22" s="94" t="s">
        <v>59</v>
      </c>
      <c r="F22" s="116"/>
      <c r="G22" s="94"/>
      <c r="H22" s="94"/>
      <c r="I22" s="130"/>
      <c r="J22" s="130"/>
      <c r="K22" s="124"/>
      <c r="L22" s="94"/>
      <c r="M22" s="94"/>
      <c r="N22" s="126"/>
      <c r="O22" s="126"/>
    </row>
    <row r="23" spans="3:15" ht="26.25" customHeight="1">
      <c r="C23" s="111"/>
      <c r="D23" s="94" t="s">
        <v>18</v>
      </c>
      <c r="E23" s="94" t="s">
        <v>59</v>
      </c>
      <c r="F23" s="116"/>
      <c r="G23" s="94"/>
      <c r="H23" s="94"/>
      <c r="I23" s="130"/>
      <c r="J23" s="130"/>
      <c r="K23" s="124"/>
      <c r="L23" s="94"/>
      <c r="M23" s="94"/>
      <c r="N23" s="126"/>
      <c r="O23" s="126"/>
    </row>
    <row r="24" spans="3:15" ht="26.25" customHeight="1">
      <c r="C24" s="111"/>
      <c r="D24" s="94" t="s">
        <v>18</v>
      </c>
      <c r="E24" s="94" t="s">
        <v>59</v>
      </c>
      <c r="F24" s="116"/>
      <c r="G24" s="94"/>
      <c r="H24" s="94"/>
      <c r="I24" s="130"/>
      <c r="J24" s="130"/>
      <c r="K24" s="124"/>
      <c r="L24" s="94"/>
      <c r="M24" s="94"/>
      <c r="N24" s="126"/>
      <c r="O24" s="126"/>
    </row>
    <row r="25" spans="3:15" ht="26.25" customHeight="1">
      <c r="C25" s="111"/>
      <c r="D25" s="94" t="s">
        <v>18</v>
      </c>
      <c r="E25" s="94" t="s">
        <v>59</v>
      </c>
      <c r="F25" s="116"/>
      <c r="G25" s="94"/>
      <c r="H25" s="94"/>
      <c r="I25" s="130"/>
      <c r="J25" s="130"/>
      <c r="K25" s="124"/>
      <c r="L25" s="94"/>
      <c r="M25" s="94"/>
      <c r="N25" s="126"/>
      <c r="O25" s="126"/>
    </row>
    <row r="26" spans="3:15" ht="26.25" customHeight="1">
      <c r="C26" s="111"/>
      <c r="D26" s="94" t="s">
        <v>18</v>
      </c>
      <c r="E26" s="94" t="s">
        <v>59</v>
      </c>
      <c r="F26" s="116"/>
      <c r="G26" s="94"/>
      <c r="H26" s="94"/>
      <c r="I26" s="130"/>
      <c r="J26" s="130"/>
      <c r="K26" s="124"/>
      <c r="L26" s="35"/>
      <c r="M26" s="35"/>
    </row>
    <row r="27" spans="3:15" ht="26.25" customHeight="1">
      <c r="C27" s="111"/>
      <c r="D27" s="94" t="s">
        <v>18</v>
      </c>
      <c r="E27" s="94" t="s">
        <v>59</v>
      </c>
      <c r="F27" s="116"/>
      <c r="G27" s="94"/>
      <c r="H27" s="94"/>
      <c r="I27" s="130"/>
      <c r="J27" s="130"/>
      <c r="K27" s="124"/>
      <c r="L27" s="35"/>
      <c r="M27" s="35"/>
    </row>
    <row r="28" spans="3:15" ht="26.25" customHeight="1">
      <c r="C28" s="111"/>
      <c r="D28" s="94" t="s">
        <v>18</v>
      </c>
      <c r="E28" s="94" t="s">
        <v>59</v>
      </c>
      <c r="F28" s="116"/>
      <c r="G28" s="94"/>
      <c r="H28" s="94"/>
      <c r="I28" s="130"/>
      <c r="J28" s="130"/>
      <c r="K28" s="124"/>
      <c r="L28" s="35"/>
      <c r="M28" s="35"/>
    </row>
    <row r="29" spans="3:15" ht="26.25" customHeight="1">
      <c r="C29" s="106"/>
      <c r="D29" s="94" t="s">
        <v>18</v>
      </c>
      <c r="E29" s="94" t="s">
        <v>59</v>
      </c>
      <c r="F29" s="116"/>
      <c r="G29" s="94"/>
      <c r="H29" s="94"/>
      <c r="I29" s="130"/>
      <c r="J29" s="130"/>
      <c r="K29" s="124"/>
      <c r="L29" s="94"/>
      <c r="M29" s="94"/>
      <c r="N29" s="126"/>
      <c r="O29" s="126"/>
    </row>
    <row r="30" spans="3:15" ht="26.25" customHeight="1">
      <c r="C30" s="106"/>
      <c r="D30" s="94" t="s">
        <v>18</v>
      </c>
      <c r="E30" s="94" t="s">
        <v>59</v>
      </c>
      <c r="F30" s="116"/>
      <c r="G30" s="94"/>
      <c r="H30" s="94"/>
      <c r="I30" s="130"/>
      <c r="J30" s="130"/>
      <c r="K30" s="124"/>
      <c r="L30" s="94"/>
      <c r="M30" s="94"/>
      <c r="N30" s="126"/>
      <c r="O30" s="126"/>
    </row>
    <row r="31" spans="3:15" ht="26.25" customHeight="1">
      <c r="C31" s="111"/>
      <c r="D31" s="94" t="s">
        <v>18</v>
      </c>
      <c r="E31" s="94" t="s">
        <v>59</v>
      </c>
      <c r="F31" s="116"/>
      <c r="G31" s="94"/>
      <c r="H31" s="130"/>
      <c r="I31" s="130"/>
      <c r="J31" s="130"/>
      <c r="K31" s="124"/>
      <c r="L31" s="94"/>
      <c r="M31" s="94"/>
      <c r="N31" s="126"/>
      <c r="O31" s="126"/>
    </row>
    <row r="32" spans="3:15" ht="26.25" customHeight="1">
      <c r="C32" s="111"/>
      <c r="D32" s="94" t="s">
        <v>18</v>
      </c>
      <c r="E32" s="94" t="s">
        <v>59</v>
      </c>
      <c r="F32" s="116"/>
      <c r="G32" s="94"/>
      <c r="H32" s="130"/>
      <c r="I32" s="130"/>
      <c r="J32" s="130"/>
      <c r="K32" s="124"/>
      <c r="L32" s="94"/>
      <c r="M32" s="94"/>
      <c r="N32" s="126"/>
      <c r="O32" s="126"/>
    </row>
    <row r="33" spans="3:15" ht="26.25" customHeight="1">
      <c r="C33" s="111"/>
      <c r="D33" s="94" t="s">
        <v>18</v>
      </c>
      <c r="E33" s="94" t="s">
        <v>59</v>
      </c>
      <c r="F33" s="116"/>
      <c r="G33" s="94"/>
      <c r="H33" s="130"/>
      <c r="I33" s="130"/>
      <c r="J33" s="130"/>
      <c r="K33" s="124"/>
      <c r="L33" s="94"/>
      <c r="M33" s="94"/>
      <c r="N33" s="126"/>
      <c r="O33" s="126"/>
    </row>
    <row r="34" spans="3:15" ht="26.25" customHeight="1">
      <c r="C34" s="111"/>
      <c r="D34" s="94" t="s">
        <v>18</v>
      </c>
      <c r="E34" s="94" t="s">
        <v>59</v>
      </c>
      <c r="F34" s="116"/>
      <c r="G34" s="94"/>
      <c r="H34" s="130"/>
      <c r="I34" s="130"/>
      <c r="J34" s="130"/>
      <c r="K34" s="124"/>
      <c r="L34" s="94"/>
      <c r="M34" s="94"/>
      <c r="N34" s="126"/>
      <c r="O34" s="126"/>
    </row>
    <row r="35" spans="3:15" ht="26.25" customHeight="1">
      <c r="C35" s="111"/>
      <c r="D35" s="94" t="s">
        <v>18</v>
      </c>
      <c r="E35" s="94" t="s">
        <v>59</v>
      </c>
      <c r="F35" s="116"/>
      <c r="G35" s="94"/>
      <c r="H35" s="130"/>
      <c r="I35" s="130"/>
      <c r="J35" s="130"/>
      <c r="K35" s="124"/>
      <c r="L35" s="94"/>
      <c r="M35" s="94"/>
      <c r="N35" s="126"/>
      <c r="O35" s="126"/>
    </row>
    <row r="36" spans="3:15" ht="26.25" customHeight="1">
      <c r="C36" s="111"/>
      <c r="D36" s="94" t="s">
        <v>18</v>
      </c>
      <c r="E36" s="94" t="s">
        <v>59</v>
      </c>
      <c r="F36" s="116"/>
      <c r="G36" s="94"/>
      <c r="H36" s="130"/>
      <c r="I36" s="130"/>
      <c r="J36" s="130"/>
      <c r="K36" s="124"/>
      <c r="L36" s="94"/>
      <c r="M36" s="94"/>
      <c r="N36" s="126"/>
      <c r="O36" s="126"/>
    </row>
    <row r="37" spans="3:15" ht="26.25" customHeight="1">
      <c r="C37" s="111"/>
      <c r="D37" s="94" t="s">
        <v>18</v>
      </c>
      <c r="E37" s="94" t="s">
        <v>59</v>
      </c>
      <c r="F37" s="116"/>
      <c r="G37" s="94"/>
      <c r="H37" s="130"/>
      <c r="I37" s="130"/>
      <c r="J37" s="130"/>
      <c r="K37" s="124"/>
      <c r="L37" s="94"/>
      <c r="M37" s="94"/>
      <c r="N37" s="126"/>
      <c r="O37" s="126"/>
    </row>
    <row r="38" spans="3:15" ht="25.8">
      <c r="C38" s="111"/>
      <c r="D38" s="94" t="s">
        <v>18</v>
      </c>
      <c r="E38" s="94" t="s">
        <v>59</v>
      </c>
      <c r="F38" s="116"/>
      <c r="G38" s="94"/>
      <c r="H38" s="130"/>
      <c r="I38" s="130"/>
      <c r="J38" s="130"/>
      <c r="K38" s="141"/>
      <c r="L38" s="94"/>
      <c r="M38" s="94"/>
      <c r="N38" s="126"/>
      <c r="O38" s="126"/>
    </row>
    <row r="39" spans="3:15" ht="25.8">
      <c r="C39" s="111"/>
      <c r="D39" s="94" t="s">
        <v>18</v>
      </c>
      <c r="E39" s="94" t="s">
        <v>59</v>
      </c>
      <c r="F39" s="116"/>
      <c r="G39" s="94"/>
      <c r="H39" s="130"/>
      <c r="I39" s="130"/>
      <c r="J39" s="130"/>
      <c r="K39" s="141"/>
      <c r="L39" s="94"/>
      <c r="M39" s="94"/>
      <c r="N39" s="126"/>
      <c r="O39" s="126"/>
    </row>
    <row r="40" spans="3:15" ht="25.8">
      <c r="C40" s="111"/>
      <c r="D40" s="94" t="s">
        <v>18</v>
      </c>
      <c r="E40" s="94" t="s">
        <v>59</v>
      </c>
      <c r="F40" s="116"/>
      <c r="G40" s="94"/>
      <c r="H40" s="130"/>
      <c r="I40" s="130"/>
      <c r="J40" s="130"/>
      <c r="K40" s="141"/>
      <c r="L40" s="94"/>
      <c r="M40" s="94"/>
      <c r="N40" s="126"/>
      <c r="O40" s="126"/>
    </row>
    <row r="41" spans="3:15" ht="25.8">
      <c r="C41" s="106"/>
      <c r="D41" s="94" t="s">
        <v>18</v>
      </c>
      <c r="E41" s="94" t="s">
        <v>59</v>
      </c>
      <c r="F41" s="116"/>
      <c r="G41" s="95"/>
      <c r="H41" s="133"/>
      <c r="I41" s="133"/>
      <c r="J41" s="133"/>
      <c r="K41" s="141"/>
      <c r="L41" s="95"/>
      <c r="M41" s="95"/>
      <c r="N41" s="126"/>
      <c r="O41" s="126"/>
    </row>
    <row r="42" spans="3:15" ht="25.8">
      <c r="C42" s="111"/>
      <c r="D42" s="94" t="s">
        <v>18</v>
      </c>
      <c r="E42" s="94" t="s">
        <v>59</v>
      </c>
      <c r="F42" s="116"/>
      <c r="G42" s="94"/>
      <c r="H42" s="130"/>
      <c r="I42" s="130"/>
      <c r="J42" s="130"/>
      <c r="K42" s="141"/>
      <c r="L42" s="94"/>
      <c r="M42" s="94"/>
      <c r="N42" s="126"/>
      <c r="O42" s="126"/>
    </row>
    <row r="43" spans="3:15" ht="25.8">
      <c r="C43" s="111"/>
      <c r="D43" s="94" t="s">
        <v>18</v>
      </c>
      <c r="E43" s="94" t="s">
        <v>59</v>
      </c>
      <c r="F43" s="116"/>
      <c r="G43" s="94"/>
      <c r="H43" s="130"/>
      <c r="I43" s="130"/>
      <c r="J43" s="130"/>
      <c r="K43" s="141"/>
      <c r="L43" s="94"/>
      <c r="M43" s="94"/>
      <c r="N43" s="126"/>
      <c r="O43" s="126"/>
    </row>
    <row r="44" spans="3:15" ht="25.8">
      <c r="C44" s="106"/>
      <c r="D44" s="94" t="s">
        <v>18</v>
      </c>
      <c r="E44" s="94" t="s">
        <v>59</v>
      </c>
      <c r="F44" s="116"/>
      <c r="G44" s="95"/>
      <c r="H44" s="133"/>
      <c r="I44" s="133"/>
      <c r="J44" s="133"/>
      <c r="K44" s="141"/>
      <c r="L44" s="95"/>
      <c r="M44" s="95"/>
      <c r="N44" s="126"/>
      <c r="O44" s="126"/>
    </row>
    <row r="45" spans="3:15" ht="25.8">
      <c r="C45" s="106"/>
      <c r="D45" s="94" t="s">
        <v>18</v>
      </c>
      <c r="E45" s="94" t="s">
        <v>59</v>
      </c>
      <c r="F45" s="116"/>
      <c r="G45" s="95"/>
      <c r="H45" s="133"/>
      <c r="I45" s="133"/>
      <c r="J45" s="133"/>
      <c r="K45" s="141"/>
      <c r="L45" s="95"/>
      <c r="M45" s="95"/>
      <c r="N45" s="126"/>
      <c r="O45" s="126"/>
    </row>
    <row r="46" spans="3:15" ht="25.8">
      <c r="C46" s="111"/>
      <c r="D46" s="94" t="s">
        <v>18</v>
      </c>
      <c r="E46" s="94" t="s">
        <v>59</v>
      </c>
      <c r="F46" s="116"/>
      <c r="G46" s="94"/>
      <c r="H46" s="130"/>
      <c r="I46" s="130"/>
      <c r="J46" s="130"/>
      <c r="K46" s="141"/>
      <c r="L46" s="94"/>
      <c r="M46" s="94"/>
      <c r="N46" s="126"/>
      <c r="O46" s="126"/>
    </row>
    <row r="47" spans="3:15" ht="25.8">
      <c r="C47" s="111"/>
      <c r="D47" s="94" t="s">
        <v>18</v>
      </c>
      <c r="E47" s="94" t="s">
        <v>59</v>
      </c>
      <c r="F47" s="116"/>
      <c r="G47" s="94"/>
      <c r="H47" s="130"/>
      <c r="I47" s="130"/>
      <c r="J47" s="130"/>
      <c r="K47" s="141"/>
      <c r="L47" s="94"/>
      <c r="M47" s="94"/>
      <c r="N47" s="126"/>
      <c r="O47" s="126"/>
    </row>
    <row r="48" spans="3:15" ht="25.8">
      <c r="C48" s="111"/>
      <c r="D48" s="94" t="s">
        <v>18</v>
      </c>
      <c r="E48" s="94" t="s">
        <v>59</v>
      </c>
      <c r="F48" s="116"/>
      <c r="G48" s="94"/>
      <c r="H48" s="130"/>
      <c r="I48" s="130"/>
      <c r="J48" s="130"/>
      <c r="K48" s="141"/>
      <c r="L48" s="94"/>
      <c r="M48" s="94"/>
      <c r="N48" s="126"/>
      <c r="O48" s="126"/>
    </row>
    <row r="49" spans="3:13" ht="25.8">
      <c r="C49" s="111"/>
      <c r="D49" s="94" t="s">
        <v>18</v>
      </c>
      <c r="E49" s="94" t="s">
        <v>59</v>
      </c>
      <c r="F49" s="116"/>
      <c r="G49" s="94"/>
      <c r="H49" s="130"/>
      <c r="I49" s="130"/>
      <c r="J49" s="130"/>
      <c r="K49" s="141"/>
      <c r="L49" s="35"/>
      <c r="M49" s="35"/>
    </row>
    <row r="50" spans="3:13" ht="25.8">
      <c r="C50" s="111"/>
      <c r="D50" s="94" t="s">
        <v>18</v>
      </c>
      <c r="E50" s="94" t="s">
        <v>59</v>
      </c>
      <c r="F50" s="116"/>
      <c r="G50" s="94"/>
      <c r="H50" s="130"/>
      <c r="I50" s="94"/>
      <c r="J50" s="130"/>
      <c r="K50" s="141"/>
      <c r="L50" s="35"/>
      <c r="M50" s="35"/>
    </row>
    <row r="51" spans="3:13" ht="25.8">
      <c r="C51" s="94"/>
      <c r="D51" s="94" t="s">
        <v>18</v>
      </c>
      <c r="E51" s="94" t="s">
        <v>59</v>
      </c>
      <c r="F51" s="116"/>
      <c r="G51" s="94"/>
      <c r="H51" s="94"/>
      <c r="I51" s="94"/>
      <c r="J51" s="130"/>
      <c r="K51" s="141"/>
      <c r="L51" s="35"/>
      <c r="M51" s="35"/>
    </row>
    <row r="52" spans="3:13" ht="25.8">
      <c r="C52" s="94"/>
      <c r="D52" s="94" t="s">
        <v>18</v>
      </c>
      <c r="E52" s="94" t="s">
        <v>59</v>
      </c>
      <c r="F52" s="116"/>
      <c r="G52" s="94"/>
      <c r="H52" s="94"/>
      <c r="I52" s="94"/>
      <c r="J52" s="130"/>
      <c r="K52" s="141"/>
      <c r="L52" s="35"/>
      <c r="M52" s="35"/>
    </row>
    <row r="53" spans="3:13" ht="25.8">
      <c r="C53" s="94"/>
      <c r="D53" s="94" t="s">
        <v>18</v>
      </c>
      <c r="E53" s="94" t="s">
        <v>59</v>
      </c>
      <c r="F53" s="116"/>
      <c r="G53" s="94"/>
      <c r="H53" s="94"/>
      <c r="I53" s="94"/>
      <c r="J53" s="130"/>
      <c r="K53" s="141"/>
      <c r="L53" s="35"/>
      <c r="M53" s="35"/>
    </row>
    <row r="54" spans="3:13" ht="25.8">
      <c r="C54" s="94"/>
      <c r="D54" s="94" t="s">
        <v>18</v>
      </c>
      <c r="E54" s="94" t="s">
        <v>59</v>
      </c>
      <c r="F54" s="116"/>
      <c r="G54" s="94"/>
      <c r="H54" s="94"/>
      <c r="I54" s="94"/>
      <c r="J54" s="130"/>
      <c r="K54" s="141"/>
      <c r="L54" s="35"/>
      <c r="M54" s="35"/>
    </row>
    <row r="55" spans="3:13" ht="25.8">
      <c r="C55" s="94"/>
      <c r="D55" s="94" t="s">
        <v>18</v>
      </c>
      <c r="E55" s="94" t="s">
        <v>59</v>
      </c>
      <c r="F55" s="116"/>
      <c r="G55" s="94"/>
      <c r="H55" s="94"/>
      <c r="I55" s="94"/>
      <c r="J55" s="130"/>
      <c r="K55" s="141"/>
      <c r="L55" s="35"/>
      <c r="M55" s="35"/>
    </row>
    <row r="56" spans="3:13" ht="25.8">
      <c r="C56" s="94"/>
      <c r="D56" s="94" t="s">
        <v>18</v>
      </c>
      <c r="E56" s="94" t="s">
        <v>59</v>
      </c>
      <c r="F56" s="116"/>
      <c r="G56" s="94"/>
      <c r="H56" s="94"/>
      <c r="I56" s="94"/>
      <c r="J56" s="130"/>
      <c r="K56" s="141"/>
      <c r="L56" s="35"/>
      <c r="M56" s="35"/>
    </row>
    <row r="57" spans="3:13" ht="25.8">
      <c r="C57" s="94"/>
      <c r="D57" s="94" t="s">
        <v>18</v>
      </c>
      <c r="E57" s="94" t="s">
        <v>59</v>
      </c>
      <c r="F57" s="116"/>
      <c r="G57" s="94"/>
      <c r="H57" s="94"/>
      <c r="I57" s="94"/>
      <c r="J57" s="130"/>
      <c r="K57" s="141"/>
      <c r="L57" s="35"/>
      <c r="M57" s="35"/>
    </row>
    <row r="58" spans="3:13" ht="25.8">
      <c r="C58" s="94"/>
      <c r="D58" s="94" t="s">
        <v>18</v>
      </c>
      <c r="E58" s="94" t="s">
        <v>59</v>
      </c>
      <c r="F58" s="116"/>
      <c r="G58" s="94"/>
      <c r="H58" s="94"/>
      <c r="I58" s="94"/>
      <c r="J58" s="130"/>
      <c r="K58" s="141"/>
      <c r="L58" s="35"/>
      <c r="M58" s="35"/>
    </row>
    <row r="59" spans="3:13" ht="25.8">
      <c r="C59" s="94"/>
      <c r="D59" s="94" t="s">
        <v>18</v>
      </c>
      <c r="E59" s="94" t="s">
        <v>59</v>
      </c>
      <c r="F59" s="116"/>
      <c r="G59" s="94"/>
      <c r="H59" s="94"/>
      <c r="I59" s="94"/>
      <c r="J59" s="130"/>
      <c r="K59" s="141"/>
      <c r="L59" s="35"/>
      <c r="M59" s="35"/>
    </row>
    <row r="60" spans="3:13" ht="25.8">
      <c r="C60" s="35"/>
      <c r="D60" s="94" t="s">
        <v>18</v>
      </c>
      <c r="E60" s="94" t="s">
        <v>59</v>
      </c>
      <c r="F60" s="99"/>
      <c r="G60" s="35"/>
      <c r="H60" s="35"/>
      <c r="I60" s="35"/>
      <c r="J60" s="36"/>
      <c r="L60" s="35"/>
      <c r="M60" s="35"/>
    </row>
    <row r="61" spans="3:13" ht="25.8">
      <c r="C61" s="35"/>
      <c r="D61" s="94" t="s">
        <v>18</v>
      </c>
      <c r="E61" s="94" t="s">
        <v>59</v>
      </c>
      <c r="F61" s="99"/>
      <c r="G61" s="35"/>
      <c r="H61" s="35"/>
      <c r="I61" s="35"/>
      <c r="J61" s="36"/>
      <c r="L61" s="35"/>
      <c r="M61" s="35"/>
    </row>
    <row r="62" spans="3:13" ht="25.8">
      <c r="C62" s="35"/>
      <c r="D62" s="94" t="s">
        <v>18</v>
      </c>
      <c r="E62" s="94" t="s">
        <v>59</v>
      </c>
      <c r="F62" s="99"/>
      <c r="G62" s="35"/>
      <c r="H62" s="35"/>
      <c r="I62" s="35"/>
      <c r="J62" s="36"/>
      <c r="L62" s="35"/>
      <c r="M62" s="35"/>
    </row>
    <row r="63" spans="3:13" ht="25.8">
      <c r="C63" s="35"/>
      <c r="D63" s="94" t="s">
        <v>18</v>
      </c>
      <c r="E63" s="94" t="s">
        <v>59</v>
      </c>
      <c r="F63" s="99"/>
      <c r="G63" s="35"/>
      <c r="H63" s="35"/>
      <c r="I63" s="35"/>
      <c r="J63" s="36"/>
      <c r="L63" s="35"/>
      <c r="M63" s="35"/>
    </row>
    <row r="64" spans="3:13" ht="25.8">
      <c r="C64" s="35"/>
      <c r="D64" s="94" t="s">
        <v>18</v>
      </c>
      <c r="E64" s="94" t="s">
        <v>59</v>
      </c>
      <c r="F64" s="99"/>
      <c r="G64" s="35"/>
      <c r="H64" s="35"/>
      <c r="I64" s="35"/>
      <c r="J64" s="36"/>
      <c r="L64" s="35"/>
      <c r="M64" s="35"/>
    </row>
    <row r="65" spans="3:13" ht="25.8">
      <c r="C65" s="35"/>
      <c r="D65" s="94" t="s">
        <v>18</v>
      </c>
      <c r="E65" s="94" t="s">
        <v>59</v>
      </c>
      <c r="F65" s="99"/>
      <c r="G65" s="35"/>
      <c r="H65" s="35"/>
      <c r="I65" s="35"/>
      <c r="J65" s="36"/>
      <c r="L65" s="35"/>
      <c r="M65" s="35"/>
    </row>
    <row r="66" spans="3:13" ht="25.8">
      <c r="C66" s="35"/>
      <c r="D66" s="94" t="s">
        <v>18</v>
      </c>
      <c r="E66" s="94" t="s">
        <v>59</v>
      </c>
      <c r="F66" s="99"/>
      <c r="G66" s="35"/>
      <c r="H66" s="35"/>
      <c r="I66" s="35"/>
      <c r="J66" s="36"/>
      <c r="L66" s="35"/>
      <c r="M66" s="35"/>
    </row>
    <row r="67" spans="3:13" ht="25.8">
      <c r="C67" s="35"/>
      <c r="D67" s="94" t="s">
        <v>18</v>
      </c>
      <c r="E67" s="94" t="s">
        <v>59</v>
      </c>
      <c r="F67" s="99"/>
      <c r="G67" s="35"/>
      <c r="H67" s="35"/>
      <c r="I67" s="35"/>
      <c r="J67" s="36"/>
      <c r="L67" s="35"/>
      <c r="M67" s="35"/>
    </row>
    <row r="68" spans="3:13" ht="25.8">
      <c r="C68" s="35"/>
      <c r="D68" s="94" t="s">
        <v>18</v>
      </c>
      <c r="E68" s="94" t="s">
        <v>59</v>
      </c>
      <c r="F68" s="99"/>
      <c r="G68" s="35"/>
      <c r="H68" s="35"/>
      <c r="I68" s="35"/>
      <c r="J68" s="36"/>
      <c r="L68" s="35"/>
      <c r="M68" s="35"/>
    </row>
    <row r="69" spans="3:13" ht="25.8">
      <c r="C69" s="35"/>
      <c r="D69" s="94" t="s">
        <v>18</v>
      </c>
      <c r="E69" s="94" t="s">
        <v>59</v>
      </c>
      <c r="F69" s="99"/>
      <c r="G69" s="35"/>
      <c r="H69" s="35"/>
      <c r="I69" s="35"/>
      <c r="J69" s="36"/>
      <c r="L69" s="35"/>
      <c r="M69" s="35"/>
    </row>
    <row r="70" spans="3:13" ht="25.8">
      <c r="C70" s="35"/>
      <c r="D70" s="94" t="s">
        <v>18</v>
      </c>
      <c r="E70" s="94" t="s">
        <v>59</v>
      </c>
      <c r="F70" s="99"/>
      <c r="G70" s="35"/>
      <c r="H70" s="35"/>
      <c r="I70" s="35"/>
      <c r="J70" s="36"/>
      <c r="L70" s="35"/>
      <c r="M70" s="35"/>
    </row>
    <row r="71" spans="3:13" ht="25.8">
      <c r="C71" s="35"/>
      <c r="D71" s="94" t="s">
        <v>18</v>
      </c>
      <c r="E71" s="94" t="s">
        <v>59</v>
      </c>
      <c r="F71" s="99"/>
      <c r="G71" s="35"/>
      <c r="H71" s="35"/>
      <c r="I71" s="35"/>
      <c r="J71" s="36"/>
      <c r="L71" s="35"/>
      <c r="M71" s="35"/>
    </row>
    <row r="72" spans="3:13" ht="25.8">
      <c r="C72" s="35"/>
      <c r="D72" s="94" t="s">
        <v>18</v>
      </c>
      <c r="E72" s="94" t="s">
        <v>59</v>
      </c>
      <c r="F72" s="99"/>
      <c r="G72" s="35"/>
      <c r="H72" s="35"/>
      <c r="I72" s="35"/>
      <c r="J72" s="36"/>
      <c r="L72" s="35"/>
      <c r="M72" s="35"/>
    </row>
    <row r="73" spans="3:13" ht="25.8">
      <c r="C73" s="35"/>
      <c r="D73" s="94" t="s">
        <v>18</v>
      </c>
      <c r="E73" s="94" t="s">
        <v>59</v>
      </c>
      <c r="F73" s="99"/>
      <c r="G73" s="35"/>
      <c r="H73" s="35"/>
      <c r="I73" s="35"/>
      <c r="J73" s="36"/>
      <c r="L73" s="35"/>
      <c r="M73" s="35"/>
    </row>
    <row r="74" spans="3:13" ht="25.8">
      <c r="C74" s="35"/>
      <c r="D74" s="94" t="s">
        <v>18</v>
      </c>
      <c r="E74" s="94" t="s">
        <v>59</v>
      </c>
      <c r="F74" s="99"/>
      <c r="G74" s="35"/>
      <c r="H74" s="35"/>
      <c r="I74" s="35"/>
      <c r="J74" s="36"/>
      <c r="L74" s="35"/>
      <c r="M74" s="35"/>
    </row>
    <row r="75" spans="3:13" ht="25.8">
      <c r="C75" s="35"/>
      <c r="D75" s="94" t="s">
        <v>18</v>
      </c>
      <c r="E75" s="94" t="s">
        <v>59</v>
      </c>
      <c r="F75" s="99"/>
      <c r="G75" s="35"/>
      <c r="H75" s="35"/>
      <c r="I75" s="35"/>
      <c r="J75" s="36"/>
      <c r="L75" s="35"/>
      <c r="M75" s="35"/>
    </row>
    <row r="76" spans="3:13" ht="25.8">
      <c r="C76" s="35"/>
      <c r="D76" s="94" t="s">
        <v>18</v>
      </c>
      <c r="E76" s="94" t="s">
        <v>59</v>
      </c>
      <c r="F76" s="99"/>
      <c r="G76" s="35"/>
      <c r="H76" s="35"/>
      <c r="I76" s="35"/>
      <c r="J76" s="36"/>
      <c r="L76" s="35"/>
      <c r="M76" s="35"/>
    </row>
    <row r="77" spans="3:13" ht="25.8">
      <c r="C77" s="35"/>
      <c r="D77" s="94" t="s">
        <v>18</v>
      </c>
      <c r="E77" s="94" t="s">
        <v>59</v>
      </c>
      <c r="F77" s="99"/>
      <c r="G77" s="35"/>
      <c r="H77" s="35"/>
      <c r="I77" s="35"/>
      <c r="J77" s="36"/>
      <c r="L77" s="35"/>
      <c r="M77" s="35"/>
    </row>
    <row r="78" spans="3:13" ht="25.8">
      <c r="C78" s="35"/>
      <c r="D78" s="94" t="s">
        <v>18</v>
      </c>
      <c r="E78" s="94" t="s">
        <v>59</v>
      </c>
      <c r="F78" s="99"/>
      <c r="G78" s="35"/>
      <c r="H78" s="35"/>
      <c r="I78" s="35"/>
      <c r="J78" s="36"/>
      <c r="L78" s="35"/>
      <c r="M78" s="35"/>
    </row>
    <row r="79" spans="3:13" ht="25.8">
      <c r="C79" s="35"/>
      <c r="D79" s="94" t="s">
        <v>18</v>
      </c>
      <c r="E79" s="94" t="s">
        <v>59</v>
      </c>
      <c r="F79" s="99"/>
      <c r="G79" s="35"/>
      <c r="H79" s="35"/>
      <c r="I79" s="35"/>
      <c r="J79" s="36"/>
      <c r="L79" s="35"/>
      <c r="M79" s="35"/>
    </row>
    <row r="80" spans="3:13" ht="25.8">
      <c r="C80" s="35"/>
      <c r="D80" s="94" t="s">
        <v>18</v>
      </c>
      <c r="E80" s="94" t="s">
        <v>59</v>
      </c>
      <c r="F80" s="99"/>
      <c r="G80" s="35"/>
      <c r="H80" s="35"/>
      <c r="I80" s="35"/>
      <c r="J80" s="36"/>
      <c r="L80" s="35"/>
      <c r="M80" s="35"/>
    </row>
    <row r="81" spans="3:13" ht="25.8">
      <c r="C81" s="35"/>
      <c r="D81" s="94" t="s">
        <v>18</v>
      </c>
      <c r="E81" s="94" t="s">
        <v>59</v>
      </c>
      <c r="F81" s="99"/>
      <c r="G81" s="35"/>
      <c r="H81" s="35"/>
      <c r="I81" s="35"/>
      <c r="J81" s="36"/>
      <c r="L81" s="35"/>
      <c r="M81" s="35"/>
    </row>
    <row r="82" spans="3:13" ht="25.8">
      <c r="C82" s="35"/>
      <c r="D82" s="94" t="s">
        <v>18</v>
      </c>
      <c r="E82" s="94" t="s">
        <v>59</v>
      </c>
      <c r="F82" s="99"/>
      <c r="G82" s="35"/>
      <c r="H82" s="35"/>
      <c r="I82" s="35"/>
      <c r="J82" s="36"/>
      <c r="L82" s="35"/>
      <c r="M82" s="35"/>
    </row>
    <row r="83" spans="3:13" ht="25.8">
      <c r="C83" s="35"/>
      <c r="D83" s="94" t="s">
        <v>18</v>
      </c>
      <c r="E83" s="94" t="s">
        <v>59</v>
      </c>
      <c r="F83" s="99"/>
      <c r="G83" s="35"/>
      <c r="H83" s="35"/>
      <c r="I83" s="35"/>
      <c r="J83" s="36"/>
      <c r="L83" s="35"/>
      <c r="M83" s="35"/>
    </row>
    <row r="84" spans="3:13" ht="25.8">
      <c r="C84" s="35"/>
      <c r="D84" s="94" t="s">
        <v>18</v>
      </c>
      <c r="E84" s="94" t="s">
        <v>59</v>
      </c>
      <c r="F84" s="99"/>
      <c r="G84" s="35"/>
      <c r="H84" s="35"/>
      <c r="I84" s="35"/>
      <c r="J84" s="36"/>
      <c r="L84" s="35"/>
      <c r="M84" s="35"/>
    </row>
    <row r="85" spans="3:13" ht="25.8">
      <c r="C85" s="35"/>
      <c r="D85" s="94" t="s">
        <v>18</v>
      </c>
      <c r="E85" s="94" t="s">
        <v>59</v>
      </c>
      <c r="F85" s="99"/>
      <c r="G85" s="35"/>
      <c r="H85" s="35"/>
      <c r="I85" s="35"/>
      <c r="J85" s="36"/>
      <c r="L85" s="35"/>
      <c r="M85" s="35"/>
    </row>
    <row r="86" spans="3:13" ht="25.8">
      <c r="C86" s="35"/>
      <c r="D86" s="94" t="s">
        <v>18</v>
      </c>
      <c r="E86" s="94" t="s">
        <v>59</v>
      </c>
      <c r="F86" s="99"/>
      <c r="G86" s="35"/>
      <c r="H86" s="35"/>
      <c r="I86" s="35"/>
      <c r="J86" s="36"/>
      <c r="L86" s="35"/>
      <c r="M86" s="35"/>
    </row>
    <row r="87" spans="3:13" ht="25.8">
      <c r="C87" s="35"/>
      <c r="D87" s="94" t="s">
        <v>18</v>
      </c>
      <c r="E87" s="94" t="s">
        <v>59</v>
      </c>
      <c r="F87" s="99"/>
      <c r="G87" s="35"/>
      <c r="H87" s="35"/>
      <c r="I87" s="35"/>
      <c r="J87" s="36"/>
      <c r="L87" s="35"/>
      <c r="M87" s="35"/>
    </row>
    <row r="88" spans="3:13" ht="25.8">
      <c r="C88" s="35"/>
      <c r="D88" s="94" t="s">
        <v>18</v>
      </c>
      <c r="E88" s="94" t="s">
        <v>59</v>
      </c>
      <c r="F88" s="99"/>
      <c r="G88" s="35"/>
      <c r="H88" s="35"/>
      <c r="I88" s="35"/>
      <c r="J88" s="36"/>
      <c r="L88" s="35"/>
      <c r="M88" s="35"/>
    </row>
    <row r="89" spans="3:13" ht="25.8">
      <c r="C89" s="35"/>
      <c r="D89" s="94" t="s">
        <v>18</v>
      </c>
      <c r="E89" s="94" t="s">
        <v>59</v>
      </c>
      <c r="F89" s="99"/>
      <c r="G89" s="35"/>
      <c r="H89" s="35"/>
      <c r="I89" s="35"/>
      <c r="J89" s="36"/>
      <c r="L89" s="35"/>
      <c r="M89" s="35"/>
    </row>
    <row r="90" spans="3:13" ht="25.8">
      <c r="C90" s="35"/>
      <c r="D90" s="94" t="s">
        <v>18</v>
      </c>
      <c r="E90" s="94" t="s">
        <v>59</v>
      </c>
      <c r="F90" s="99"/>
      <c r="G90" s="35"/>
      <c r="H90" s="35"/>
      <c r="I90" s="35"/>
      <c r="J90" s="36"/>
      <c r="L90" s="35"/>
      <c r="M90" s="35"/>
    </row>
    <row r="91" spans="3:13" ht="25.8">
      <c r="C91" s="35"/>
      <c r="D91" s="94" t="s">
        <v>18</v>
      </c>
      <c r="E91" s="94" t="s">
        <v>59</v>
      </c>
      <c r="F91" s="99"/>
      <c r="G91" s="35"/>
      <c r="H91" s="35"/>
      <c r="I91" s="35"/>
      <c r="J91" s="36"/>
      <c r="L91" s="35"/>
      <c r="M91" s="35"/>
    </row>
    <row r="92" spans="3:13" ht="25.8">
      <c r="C92" s="35"/>
      <c r="D92" s="94" t="s">
        <v>18</v>
      </c>
      <c r="E92" s="94" t="s">
        <v>59</v>
      </c>
      <c r="F92" s="99"/>
      <c r="G92" s="35"/>
      <c r="H92" s="35"/>
      <c r="I92" s="35"/>
      <c r="J92" s="36"/>
      <c r="L92" s="35"/>
      <c r="M92" s="35"/>
    </row>
    <row r="93" spans="3:13" ht="25.8">
      <c r="C93" s="35"/>
      <c r="D93" s="94" t="s">
        <v>18</v>
      </c>
      <c r="E93" s="94" t="s">
        <v>59</v>
      </c>
      <c r="F93" s="99"/>
      <c r="G93" s="35"/>
      <c r="H93" s="35"/>
      <c r="I93" s="35"/>
      <c r="J93" s="36"/>
      <c r="L93" s="35"/>
      <c r="M93" s="35"/>
    </row>
    <row r="94" spans="3:13" ht="25.8">
      <c r="C94" s="35"/>
      <c r="D94" s="94" t="s">
        <v>18</v>
      </c>
      <c r="E94" s="94" t="s">
        <v>59</v>
      </c>
      <c r="F94" s="99"/>
      <c r="G94" s="35"/>
      <c r="H94" s="35"/>
      <c r="I94" s="35"/>
      <c r="J94" s="36"/>
      <c r="L94" s="35"/>
      <c r="M94" s="35"/>
    </row>
    <row r="95" spans="3:13" ht="25.8">
      <c r="C95" s="35"/>
      <c r="D95" s="94" t="s">
        <v>18</v>
      </c>
      <c r="E95" s="94" t="s">
        <v>59</v>
      </c>
      <c r="F95" s="99"/>
      <c r="G95" s="35"/>
      <c r="H95" s="35"/>
      <c r="I95" s="35"/>
      <c r="J95" s="36"/>
      <c r="L95" s="35"/>
      <c r="M95" s="35"/>
    </row>
    <row r="96" spans="3:13" ht="25.8">
      <c r="C96" s="35"/>
      <c r="D96" s="94" t="s">
        <v>18</v>
      </c>
      <c r="E96" s="94" t="s">
        <v>59</v>
      </c>
      <c r="F96" s="99"/>
      <c r="G96" s="35"/>
      <c r="H96" s="35"/>
      <c r="I96" s="35"/>
      <c r="J96" s="36"/>
      <c r="L96" s="35"/>
      <c r="M96" s="35"/>
    </row>
    <row r="97" spans="3:13" ht="25.8">
      <c r="C97" s="35"/>
      <c r="D97" s="94" t="s">
        <v>18</v>
      </c>
      <c r="E97" s="94" t="s">
        <v>59</v>
      </c>
      <c r="F97" s="99"/>
      <c r="G97" s="35"/>
      <c r="H97" s="35"/>
      <c r="I97" s="35"/>
      <c r="J97" s="36"/>
      <c r="L97" s="35"/>
      <c r="M97" s="35"/>
    </row>
    <row r="98" spans="3:13" ht="25.8">
      <c r="C98" s="35"/>
      <c r="D98" s="94" t="s">
        <v>18</v>
      </c>
      <c r="E98" s="94" t="s">
        <v>59</v>
      </c>
      <c r="F98" s="99"/>
      <c r="G98" s="35"/>
      <c r="H98" s="35"/>
      <c r="I98" s="35"/>
      <c r="J98" s="36"/>
      <c r="L98" s="35"/>
      <c r="M98" s="35"/>
    </row>
    <row r="99" spans="3:13" ht="25.8">
      <c r="C99" s="35"/>
      <c r="D99" s="94" t="s">
        <v>18</v>
      </c>
      <c r="E99" s="94" t="s">
        <v>59</v>
      </c>
      <c r="F99" s="99"/>
      <c r="G99" s="35"/>
      <c r="H99" s="35"/>
      <c r="I99" s="35"/>
      <c r="J99" s="36"/>
      <c r="L99" s="35"/>
      <c r="M99" s="35"/>
    </row>
    <row r="100" spans="3:13" ht="25.8">
      <c r="C100" s="35"/>
      <c r="D100" s="94" t="s">
        <v>18</v>
      </c>
      <c r="E100" s="94" t="s">
        <v>59</v>
      </c>
      <c r="F100" s="99"/>
      <c r="G100" s="35"/>
      <c r="H100" s="35"/>
      <c r="I100" s="35"/>
      <c r="J100" s="36"/>
      <c r="L100" s="35"/>
      <c r="M100" s="35"/>
    </row>
    <row r="101" spans="3:13" ht="25.8">
      <c r="C101" s="35"/>
      <c r="D101" s="94" t="s">
        <v>18</v>
      </c>
      <c r="E101" s="94" t="s">
        <v>59</v>
      </c>
      <c r="F101" s="99"/>
      <c r="G101" s="35"/>
      <c r="H101" s="35"/>
      <c r="I101" s="35"/>
      <c r="J101" s="36"/>
      <c r="L101" s="35"/>
      <c r="M101" s="35"/>
    </row>
    <row r="102" spans="3:13" ht="25.8">
      <c r="C102" s="35"/>
      <c r="D102" s="94" t="s">
        <v>18</v>
      </c>
      <c r="E102" s="94" t="s">
        <v>59</v>
      </c>
      <c r="F102" s="99"/>
      <c r="G102" s="35"/>
      <c r="H102" s="35"/>
      <c r="I102" s="35"/>
      <c r="J102" s="36"/>
      <c r="L102" s="35"/>
      <c r="M102" s="35"/>
    </row>
    <row r="103" spans="3:13" ht="25.8">
      <c r="C103" s="35"/>
      <c r="D103" s="94" t="s">
        <v>18</v>
      </c>
      <c r="E103" s="94" t="s">
        <v>59</v>
      </c>
      <c r="F103" s="99"/>
      <c r="G103" s="35"/>
      <c r="H103" s="35"/>
      <c r="I103" s="35"/>
      <c r="J103" s="36"/>
      <c r="L103" s="35"/>
      <c r="M103" s="35"/>
    </row>
    <row r="104" spans="3:13" ht="25.8">
      <c r="C104" s="35"/>
      <c r="D104" s="94" t="s">
        <v>18</v>
      </c>
      <c r="E104" s="94" t="s">
        <v>59</v>
      </c>
      <c r="F104" s="99"/>
      <c r="G104" s="35"/>
      <c r="H104" s="35"/>
      <c r="I104" s="35"/>
      <c r="J104" s="36"/>
      <c r="L104" s="35"/>
      <c r="M104" s="35"/>
    </row>
    <row r="105" spans="3:13" ht="25.8">
      <c r="C105" s="35"/>
      <c r="D105" s="94" t="s">
        <v>18</v>
      </c>
      <c r="E105" s="94" t="s">
        <v>59</v>
      </c>
      <c r="F105" s="99"/>
      <c r="G105" s="35"/>
      <c r="H105" s="35"/>
      <c r="I105" s="35"/>
      <c r="J105" s="36"/>
      <c r="L105" s="35"/>
      <c r="M105" s="35"/>
    </row>
    <row r="106" spans="3:13" ht="25.8">
      <c r="C106" s="35"/>
      <c r="D106" s="94" t="s">
        <v>18</v>
      </c>
      <c r="E106" s="94" t="s">
        <v>59</v>
      </c>
      <c r="F106" s="99"/>
      <c r="G106" s="35"/>
      <c r="H106" s="35"/>
      <c r="I106" s="35"/>
      <c r="J106" s="36"/>
      <c r="L106" s="35"/>
      <c r="M106" s="35"/>
    </row>
    <row r="107" spans="3:13" ht="25.8">
      <c r="C107" s="35"/>
      <c r="D107" s="94" t="s">
        <v>18</v>
      </c>
      <c r="E107" s="94" t="s">
        <v>59</v>
      </c>
      <c r="F107" s="99"/>
      <c r="G107" s="35"/>
      <c r="H107" s="35"/>
      <c r="I107" s="35"/>
      <c r="J107" s="36"/>
      <c r="L107" s="35"/>
      <c r="M107" s="35"/>
    </row>
    <row r="108" spans="3:13" ht="25.8">
      <c r="C108" s="35"/>
      <c r="D108" s="94" t="s">
        <v>18</v>
      </c>
      <c r="E108" s="94" t="s">
        <v>59</v>
      </c>
      <c r="F108" s="99"/>
      <c r="G108" s="35"/>
      <c r="H108" s="35"/>
      <c r="I108" s="35"/>
      <c r="J108" s="36"/>
      <c r="L108" s="35"/>
      <c r="M108" s="35"/>
    </row>
    <row r="109" spans="3:13" ht="25.8">
      <c r="C109" s="35"/>
      <c r="D109" s="94" t="s">
        <v>18</v>
      </c>
      <c r="E109" s="94" t="s">
        <v>59</v>
      </c>
      <c r="F109" s="99"/>
      <c r="G109" s="35"/>
      <c r="H109" s="35"/>
      <c r="I109" s="35"/>
      <c r="J109" s="36"/>
      <c r="L109" s="35"/>
      <c r="M109" s="35"/>
    </row>
    <row r="110" spans="3:13" ht="25.8">
      <c r="C110" s="35"/>
      <c r="D110" s="94" t="s">
        <v>18</v>
      </c>
      <c r="E110" s="94" t="s">
        <v>59</v>
      </c>
      <c r="F110" s="99"/>
      <c r="G110" s="35"/>
      <c r="H110" s="35"/>
      <c r="I110" s="35"/>
      <c r="J110" s="36"/>
      <c r="L110" s="35"/>
      <c r="M110" s="35"/>
    </row>
    <row r="111" spans="3:13" ht="25.8">
      <c r="C111" s="35"/>
      <c r="D111" s="94" t="s">
        <v>18</v>
      </c>
      <c r="E111" s="94" t="s">
        <v>59</v>
      </c>
      <c r="F111" s="99"/>
      <c r="G111" s="35"/>
      <c r="H111" s="35"/>
      <c r="I111" s="35"/>
      <c r="J111" s="36"/>
      <c r="L111" s="35"/>
      <c r="M111" s="35"/>
    </row>
    <row r="112" spans="3:13" ht="25.8">
      <c r="C112" s="35"/>
      <c r="D112" s="94" t="s">
        <v>18</v>
      </c>
      <c r="E112" s="94" t="s">
        <v>59</v>
      </c>
      <c r="F112" s="99"/>
      <c r="G112" s="35"/>
      <c r="H112" s="35"/>
      <c r="I112" s="35"/>
      <c r="J112" s="36"/>
      <c r="L112" s="35"/>
      <c r="M112" s="35"/>
    </row>
    <row r="113" spans="3:13" ht="25.8">
      <c r="C113" s="35"/>
      <c r="D113" s="94" t="s">
        <v>18</v>
      </c>
      <c r="E113" s="94" t="s">
        <v>59</v>
      </c>
      <c r="F113" s="99"/>
      <c r="G113" s="35"/>
      <c r="H113" s="35"/>
      <c r="I113" s="35"/>
      <c r="J113" s="36"/>
      <c r="L113" s="35"/>
      <c r="M113" s="35"/>
    </row>
    <row r="114" spans="3:13" ht="25.8">
      <c r="C114" s="35"/>
      <c r="D114" s="94" t="s">
        <v>18</v>
      </c>
      <c r="E114" s="94" t="s">
        <v>59</v>
      </c>
      <c r="F114" s="99"/>
      <c r="G114" s="35"/>
      <c r="H114" s="35"/>
      <c r="I114" s="35"/>
      <c r="J114" s="36"/>
      <c r="L114" s="35"/>
      <c r="M114" s="35"/>
    </row>
    <row r="115" spans="3:13" ht="25.8">
      <c r="C115" s="35"/>
      <c r="D115" s="94" t="s">
        <v>18</v>
      </c>
      <c r="E115" s="94" t="s">
        <v>59</v>
      </c>
      <c r="F115" s="99"/>
      <c r="G115" s="35"/>
      <c r="H115" s="35"/>
      <c r="I115" s="35"/>
      <c r="J115" s="36"/>
      <c r="L115" s="35"/>
      <c r="M115" s="35"/>
    </row>
    <row r="116" spans="3:13" ht="25.8">
      <c r="C116" s="35"/>
      <c r="D116" s="94" t="s">
        <v>18</v>
      </c>
      <c r="E116" s="94" t="s">
        <v>59</v>
      </c>
      <c r="F116" s="99"/>
      <c r="G116" s="35"/>
      <c r="H116" s="35"/>
      <c r="I116" s="35"/>
      <c r="J116" s="36"/>
      <c r="L116" s="35"/>
      <c r="M116" s="35"/>
    </row>
    <row r="117" spans="3:13" ht="25.8">
      <c r="C117" s="35"/>
      <c r="D117" s="94" t="s">
        <v>18</v>
      </c>
      <c r="E117" s="94" t="s">
        <v>59</v>
      </c>
      <c r="F117" s="99"/>
      <c r="G117" s="35"/>
      <c r="H117" s="35"/>
      <c r="I117" s="35"/>
      <c r="J117" s="36"/>
      <c r="L117" s="35"/>
      <c r="M117" s="35"/>
    </row>
    <row r="118" spans="3:13" ht="25.8">
      <c r="C118" s="35"/>
      <c r="D118" s="94" t="s">
        <v>18</v>
      </c>
      <c r="E118" s="94" t="s">
        <v>59</v>
      </c>
      <c r="F118" s="99"/>
      <c r="G118" s="35"/>
      <c r="H118" s="35"/>
      <c r="I118" s="35"/>
      <c r="J118" s="36"/>
      <c r="L118" s="35"/>
      <c r="M118" s="35"/>
    </row>
    <row r="119" spans="3:13" ht="25.8">
      <c r="C119" s="35"/>
      <c r="D119" s="94" t="s">
        <v>18</v>
      </c>
      <c r="E119" s="94" t="s">
        <v>59</v>
      </c>
      <c r="F119" s="99"/>
      <c r="G119" s="35"/>
      <c r="H119" s="35"/>
      <c r="I119" s="35"/>
      <c r="J119" s="36"/>
      <c r="L119" s="35"/>
      <c r="M119" s="35"/>
    </row>
    <row r="120" spans="3:13" ht="25.8">
      <c r="C120" s="35"/>
      <c r="D120" s="94" t="s">
        <v>18</v>
      </c>
      <c r="E120" s="94" t="s">
        <v>59</v>
      </c>
      <c r="F120" s="99"/>
      <c r="G120" s="35"/>
      <c r="H120" s="35"/>
      <c r="I120" s="35"/>
      <c r="J120" s="36"/>
      <c r="L120" s="35"/>
      <c r="M120" s="35"/>
    </row>
    <row r="121" spans="3:13" ht="25.8">
      <c r="C121" s="35"/>
      <c r="D121" s="94" t="s">
        <v>18</v>
      </c>
      <c r="E121" s="94" t="s">
        <v>59</v>
      </c>
      <c r="F121" s="99"/>
      <c r="G121" s="35"/>
      <c r="H121" s="35"/>
      <c r="I121" s="35"/>
      <c r="J121" s="36"/>
      <c r="L121" s="35"/>
      <c r="M121" s="35"/>
    </row>
    <row r="122" spans="3:13" ht="25.8">
      <c r="C122" s="35"/>
      <c r="D122" s="94" t="s">
        <v>18</v>
      </c>
      <c r="E122" s="94" t="s">
        <v>59</v>
      </c>
      <c r="F122" s="99"/>
      <c r="G122" s="35"/>
      <c r="H122" s="35"/>
      <c r="I122" s="35"/>
      <c r="J122" s="36"/>
      <c r="L122" s="35"/>
      <c r="M122" s="35"/>
    </row>
    <row r="123" spans="3:13" ht="25.8">
      <c r="C123" s="35"/>
      <c r="D123" s="94" t="s">
        <v>18</v>
      </c>
      <c r="E123" s="94" t="s">
        <v>59</v>
      </c>
      <c r="F123" s="99"/>
      <c r="G123" s="35"/>
      <c r="H123" s="35"/>
      <c r="I123" s="35"/>
      <c r="J123" s="36"/>
      <c r="L123" s="35"/>
      <c r="M123" s="35"/>
    </row>
    <row r="124" spans="3:13" ht="25.8">
      <c r="C124" s="35"/>
      <c r="D124" s="94" t="s">
        <v>18</v>
      </c>
      <c r="E124" s="94" t="s">
        <v>59</v>
      </c>
      <c r="F124" s="99"/>
      <c r="G124" s="35"/>
      <c r="H124" s="35"/>
      <c r="I124" s="35"/>
      <c r="J124" s="36"/>
      <c r="L124" s="35"/>
      <c r="M124" s="35"/>
    </row>
    <row r="125" spans="3:13" ht="25.8">
      <c r="C125" s="35"/>
      <c r="D125" s="94" t="s">
        <v>18</v>
      </c>
      <c r="E125" s="94" t="s">
        <v>59</v>
      </c>
      <c r="F125" s="99"/>
      <c r="G125" s="35"/>
      <c r="H125" s="35"/>
      <c r="I125" s="35"/>
      <c r="J125" s="36"/>
      <c r="L125" s="35"/>
      <c r="M125" s="35"/>
    </row>
    <row r="126" spans="3:13" ht="25.8">
      <c r="C126" s="35"/>
      <c r="D126" s="94" t="s">
        <v>18</v>
      </c>
      <c r="E126" s="94" t="s">
        <v>59</v>
      </c>
      <c r="F126" s="99"/>
      <c r="G126" s="35"/>
      <c r="H126" s="35"/>
      <c r="I126" s="35"/>
      <c r="J126" s="36"/>
      <c r="L126" s="35"/>
      <c r="M126" s="35"/>
    </row>
    <row r="127" spans="3:13" ht="25.8">
      <c r="C127" s="35"/>
      <c r="D127" s="94" t="s">
        <v>18</v>
      </c>
      <c r="E127" s="94" t="s">
        <v>59</v>
      </c>
      <c r="F127" s="99"/>
      <c r="G127" s="35"/>
      <c r="H127" s="35"/>
      <c r="I127" s="35"/>
      <c r="J127" s="36"/>
      <c r="L127" s="35"/>
      <c r="M127" s="35"/>
    </row>
    <row r="128" spans="3:13" ht="25.8">
      <c r="C128" s="35"/>
      <c r="D128" s="94" t="s">
        <v>18</v>
      </c>
      <c r="E128" s="94" t="s">
        <v>59</v>
      </c>
      <c r="F128" s="99"/>
      <c r="G128" s="35"/>
      <c r="H128" s="35"/>
      <c r="I128" s="35"/>
      <c r="J128" s="36"/>
      <c r="L128" s="35"/>
      <c r="M128" s="35"/>
    </row>
    <row r="129" spans="3:13" ht="25.8">
      <c r="C129" s="35"/>
      <c r="D129" s="94" t="s">
        <v>18</v>
      </c>
      <c r="E129" s="94" t="s">
        <v>59</v>
      </c>
      <c r="F129" s="99"/>
      <c r="G129" s="35"/>
      <c r="H129" s="35"/>
      <c r="I129" s="35"/>
      <c r="J129" s="36"/>
      <c r="L129" s="35"/>
      <c r="M129" s="35"/>
    </row>
    <row r="130" spans="3:13" ht="25.8">
      <c r="C130" s="35"/>
      <c r="D130" s="94" t="s">
        <v>18</v>
      </c>
      <c r="E130" s="94" t="s">
        <v>59</v>
      </c>
      <c r="F130" s="99"/>
      <c r="G130" s="35"/>
      <c r="H130" s="35"/>
      <c r="I130" s="35"/>
      <c r="J130" s="36"/>
      <c r="L130" s="35"/>
      <c r="M130" s="35"/>
    </row>
    <row r="131" spans="3:13" ht="25.8">
      <c r="C131" s="35"/>
      <c r="D131" s="94" t="s">
        <v>18</v>
      </c>
      <c r="E131" s="94" t="s">
        <v>59</v>
      </c>
      <c r="F131" s="99"/>
      <c r="G131" s="35"/>
      <c r="H131" s="35"/>
      <c r="I131" s="35"/>
      <c r="J131" s="36"/>
      <c r="L131" s="35"/>
      <c r="M131" s="35"/>
    </row>
    <row r="132" spans="3:13" ht="25.8">
      <c r="C132" s="35"/>
      <c r="D132" s="94" t="s">
        <v>18</v>
      </c>
      <c r="E132" s="94" t="s">
        <v>59</v>
      </c>
      <c r="F132" s="99"/>
      <c r="G132" s="35"/>
      <c r="H132" s="35"/>
      <c r="I132" s="35"/>
      <c r="J132" s="36"/>
      <c r="L132" s="35"/>
      <c r="M132" s="35"/>
    </row>
    <row r="133" spans="3:13" ht="25.8">
      <c r="C133" s="35"/>
      <c r="D133" s="94" t="s">
        <v>18</v>
      </c>
      <c r="E133" s="94" t="s">
        <v>59</v>
      </c>
      <c r="F133" s="99"/>
      <c r="G133" s="35"/>
      <c r="H133" s="35"/>
      <c r="I133" s="35"/>
      <c r="J133" s="36"/>
      <c r="L133" s="35"/>
      <c r="M133" s="35"/>
    </row>
    <row r="134" spans="3:13" ht="25.8">
      <c r="C134" s="35"/>
      <c r="D134" s="94" t="s">
        <v>18</v>
      </c>
      <c r="E134" s="94" t="s">
        <v>59</v>
      </c>
      <c r="F134" s="99"/>
      <c r="G134" s="35"/>
      <c r="H134" s="35"/>
      <c r="I134" s="35"/>
      <c r="J134" s="36"/>
      <c r="L134" s="35"/>
      <c r="M134" s="35"/>
    </row>
    <row r="135" spans="3:13" ht="25.8">
      <c r="C135" s="35"/>
      <c r="D135" s="94" t="s">
        <v>18</v>
      </c>
      <c r="E135" s="94" t="s">
        <v>59</v>
      </c>
      <c r="F135" s="99"/>
      <c r="G135" s="35"/>
      <c r="H135" s="35"/>
      <c r="I135" s="35"/>
      <c r="J135" s="36"/>
      <c r="L135" s="35"/>
      <c r="M135" s="35"/>
    </row>
    <row r="136" spans="3:13" ht="25.8">
      <c r="C136" s="35"/>
      <c r="D136" s="94" t="s">
        <v>18</v>
      </c>
      <c r="E136" s="94" t="s">
        <v>59</v>
      </c>
      <c r="F136" s="99"/>
      <c r="G136" s="35"/>
      <c r="H136" s="35"/>
      <c r="I136" s="35"/>
      <c r="J136" s="36"/>
      <c r="L136" s="35"/>
      <c r="M136" s="35"/>
    </row>
    <row r="137" spans="3:13" ht="25.8">
      <c r="C137" s="35"/>
      <c r="D137" s="94" t="s">
        <v>18</v>
      </c>
      <c r="E137" s="94" t="s">
        <v>59</v>
      </c>
      <c r="F137" s="99"/>
      <c r="G137" s="35"/>
      <c r="H137" s="35"/>
      <c r="I137" s="35"/>
      <c r="J137" s="36"/>
      <c r="L137" s="35"/>
      <c r="M137" s="35"/>
    </row>
    <row r="138" spans="3:13" ht="25.8">
      <c r="C138" s="35"/>
      <c r="D138" s="94" t="s">
        <v>18</v>
      </c>
      <c r="E138" s="94" t="s">
        <v>59</v>
      </c>
      <c r="F138" s="99"/>
      <c r="G138" s="35"/>
      <c r="H138" s="35"/>
      <c r="I138" s="35"/>
      <c r="J138" s="36"/>
      <c r="L138" s="35"/>
      <c r="M138" s="35"/>
    </row>
    <row r="139" spans="3:13" ht="25.8">
      <c r="C139" s="35"/>
      <c r="D139" s="94" t="s">
        <v>18</v>
      </c>
      <c r="E139" s="94" t="s">
        <v>59</v>
      </c>
      <c r="F139" s="99"/>
      <c r="G139" s="35"/>
      <c r="H139" s="35"/>
      <c r="I139" s="35"/>
      <c r="J139" s="36"/>
      <c r="L139" s="35"/>
      <c r="M139" s="35"/>
    </row>
    <row r="140" spans="3:13" ht="25.8">
      <c r="C140" s="35"/>
      <c r="D140" s="94" t="s">
        <v>18</v>
      </c>
      <c r="E140" s="94" t="s">
        <v>59</v>
      </c>
      <c r="F140" s="99"/>
      <c r="G140" s="35"/>
      <c r="H140" s="35"/>
      <c r="I140" s="35"/>
      <c r="J140" s="36"/>
      <c r="L140" s="35"/>
      <c r="M140" s="35"/>
    </row>
    <row r="141" spans="3:13" ht="25.8">
      <c r="C141" s="35"/>
      <c r="D141" s="94" t="s">
        <v>18</v>
      </c>
      <c r="E141" s="94" t="s">
        <v>59</v>
      </c>
      <c r="F141" s="99"/>
      <c r="G141" s="35"/>
      <c r="H141" s="35"/>
      <c r="I141" s="35"/>
      <c r="J141" s="36"/>
      <c r="L141" s="35"/>
      <c r="M141" s="35"/>
    </row>
    <row r="142" spans="3:13" ht="25.8">
      <c r="C142" s="35"/>
      <c r="D142" s="94" t="s">
        <v>18</v>
      </c>
      <c r="E142" s="94" t="s">
        <v>59</v>
      </c>
      <c r="F142" s="99"/>
      <c r="G142" s="35"/>
      <c r="H142" s="35"/>
      <c r="I142" s="35"/>
      <c r="J142" s="36"/>
      <c r="L142" s="35"/>
      <c r="M142" s="35"/>
    </row>
    <row r="143" spans="3:13" ht="25.8">
      <c r="C143" s="35"/>
      <c r="D143" s="94" t="s">
        <v>18</v>
      </c>
      <c r="E143" s="94" t="s">
        <v>59</v>
      </c>
      <c r="F143" s="99"/>
      <c r="G143" s="35"/>
      <c r="H143" s="35"/>
      <c r="I143" s="35"/>
      <c r="J143" s="36"/>
      <c r="L143" s="35"/>
      <c r="M143" s="35"/>
    </row>
    <row r="144" spans="3:13" ht="25.8">
      <c r="C144" s="35"/>
      <c r="D144" s="94" t="s">
        <v>18</v>
      </c>
      <c r="E144" s="94" t="s">
        <v>59</v>
      </c>
      <c r="F144" s="99"/>
      <c r="G144" s="35"/>
      <c r="H144" s="35"/>
      <c r="I144" s="35"/>
      <c r="J144" s="36"/>
      <c r="L144" s="35"/>
      <c r="M144" s="35"/>
    </row>
    <row r="145" spans="3:13" ht="25.8">
      <c r="C145" s="35"/>
      <c r="D145" s="94" t="s">
        <v>18</v>
      </c>
      <c r="E145" s="94" t="s">
        <v>59</v>
      </c>
      <c r="F145" s="99"/>
      <c r="G145" s="35"/>
      <c r="H145" s="35"/>
      <c r="I145" s="35"/>
      <c r="J145" s="36"/>
      <c r="L145" s="35"/>
      <c r="M145" s="35"/>
    </row>
    <row r="146" spans="3:13" ht="25.8">
      <c r="C146" s="35"/>
      <c r="D146" s="94" t="s">
        <v>18</v>
      </c>
      <c r="E146" s="94" t="s">
        <v>59</v>
      </c>
      <c r="F146" s="99"/>
      <c r="G146" s="35"/>
      <c r="H146" s="35"/>
      <c r="I146" s="35"/>
      <c r="J146" s="36"/>
      <c r="L146" s="35"/>
      <c r="M146" s="35"/>
    </row>
    <row r="147" spans="3:13" ht="25.8">
      <c r="C147" s="35"/>
      <c r="D147" s="94" t="s">
        <v>18</v>
      </c>
      <c r="E147" s="94" t="s">
        <v>59</v>
      </c>
      <c r="F147" s="99"/>
      <c r="G147" s="35"/>
      <c r="H147" s="35"/>
      <c r="I147" s="35"/>
      <c r="J147" s="36"/>
      <c r="L147" s="35"/>
      <c r="M147" s="35"/>
    </row>
    <row r="148" spans="3:13" ht="25.8">
      <c r="C148" s="35"/>
      <c r="D148" s="94" t="s">
        <v>18</v>
      </c>
      <c r="E148" s="94" t="s">
        <v>59</v>
      </c>
      <c r="F148" s="99"/>
      <c r="G148" s="35"/>
      <c r="H148" s="35"/>
      <c r="I148" s="35"/>
      <c r="J148" s="36"/>
      <c r="L148" s="35"/>
      <c r="M148" s="35"/>
    </row>
    <row r="149" spans="3:13" ht="25.8">
      <c r="C149" s="35"/>
      <c r="D149" s="94" t="s">
        <v>18</v>
      </c>
      <c r="E149" s="94" t="s">
        <v>59</v>
      </c>
      <c r="F149" s="99"/>
      <c r="G149" s="35"/>
      <c r="H149" s="35"/>
      <c r="I149" s="35"/>
      <c r="J149" s="36"/>
      <c r="L149" s="35"/>
      <c r="M149" s="35"/>
    </row>
    <row r="150" spans="3:13" ht="25.8">
      <c r="C150" s="35"/>
      <c r="D150" s="94" t="s">
        <v>18</v>
      </c>
      <c r="E150" s="94" t="s">
        <v>59</v>
      </c>
      <c r="F150" s="99"/>
      <c r="G150" s="35"/>
      <c r="H150" s="35"/>
      <c r="I150" s="35"/>
      <c r="J150" s="36"/>
      <c r="L150" s="35"/>
      <c r="M150" s="35"/>
    </row>
    <row r="151" spans="3:13" ht="25.8">
      <c r="C151" s="35"/>
      <c r="D151" s="94" t="s">
        <v>18</v>
      </c>
      <c r="E151" s="94" t="s">
        <v>59</v>
      </c>
      <c r="F151" s="99"/>
      <c r="G151" s="35"/>
      <c r="H151" s="35"/>
      <c r="I151" s="35"/>
      <c r="J151" s="36"/>
      <c r="L151" s="35"/>
      <c r="M151" s="35"/>
    </row>
    <row r="152" spans="3:13" ht="25.8">
      <c r="C152" s="35"/>
      <c r="D152" s="94" t="s">
        <v>18</v>
      </c>
      <c r="E152" s="94" t="s">
        <v>59</v>
      </c>
      <c r="F152" s="99"/>
      <c r="G152" s="35"/>
      <c r="H152" s="35"/>
      <c r="I152" s="35"/>
      <c r="J152" s="36"/>
      <c r="L152" s="35"/>
      <c r="M152" s="35"/>
    </row>
    <row r="153" spans="3:13" ht="25.8">
      <c r="C153" s="35"/>
      <c r="D153" s="94" t="s">
        <v>18</v>
      </c>
      <c r="E153" s="94" t="s">
        <v>59</v>
      </c>
      <c r="F153" s="99"/>
      <c r="G153" s="35"/>
      <c r="H153" s="35"/>
      <c r="I153" s="35"/>
      <c r="J153" s="36"/>
      <c r="L153" s="35"/>
      <c r="M153" s="35"/>
    </row>
    <row r="154" spans="3:13" ht="25.8">
      <c r="C154" s="35"/>
      <c r="D154" s="94" t="s">
        <v>18</v>
      </c>
      <c r="E154" s="94" t="s">
        <v>59</v>
      </c>
      <c r="F154" s="99"/>
      <c r="G154" s="35"/>
      <c r="H154" s="35"/>
      <c r="I154" s="35"/>
      <c r="J154" s="36"/>
      <c r="L154" s="35"/>
      <c r="M154" s="35"/>
    </row>
    <row r="155" spans="3:13" ht="25.8">
      <c r="C155" s="35"/>
      <c r="D155" s="94" t="s">
        <v>18</v>
      </c>
      <c r="E155" s="94" t="s">
        <v>59</v>
      </c>
      <c r="F155" s="99"/>
      <c r="G155" s="35"/>
      <c r="H155" s="35"/>
      <c r="I155" s="35"/>
      <c r="J155" s="36"/>
      <c r="L155" s="35"/>
      <c r="M155" s="35"/>
    </row>
    <row r="156" spans="3:13" ht="25.8">
      <c r="C156" s="35"/>
      <c r="D156" s="94" t="s">
        <v>18</v>
      </c>
      <c r="E156" s="94" t="s">
        <v>59</v>
      </c>
      <c r="F156" s="99"/>
      <c r="G156" s="35"/>
      <c r="H156" s="35"/>
      <c r="I156" s="35"/>
      <c r="J156" s="36"/>
      <c r="L156" s="35"/>
      <c r="M156" s="35"/>
    </row>
    <row r="157" spans="3:13" ht="25.8">
      <c r="C157" s="35"/>
      <c r="D157" s="94" t="s">
        <v>18</v>
      </c>
      <c r="E157" s="94" t="s">
        <v>59</v>
      </c>
      <c r="F157" s="99"/>
      <c r="G157" s="35"/>
      <c r="H157" s="35"/>
      <c r="I157" s="35"/>
      <c r="J157" s="36"/>
      <c r="L157" s="35"/>
      <c r="M157" s="35"/>
    </row>
    <row r="158" spans="3:13" ht="25.8">
      <c r="C158" s="35"/>
      <c r="D158" s="94" t="s">
        <v>18</v>
      </c>
      <c r="E158" s="94" t="s">
        <v>59</v>
      </c>
      <c r="F158" s="99"/>
      <c r="G158" s="35"/>
      <c r="H158" s="35"/>
      <c r="I158" s="35"/>
      <c r="J158" s="36"/>
      <c r="L158" s="35"/>
      <c r="M158" s="35"/>
    </row>
    <row r="159" spans="3:13" ht="25.8">
      <c r="C159" s="35"/>
      <c r="D159" s="94" t="s">
        <v>18</v>
      </c>
      <c r="E159" s="94" t="s">
        <v>59</v>
      </c>
      <c r="F159" s="99"/>
      <c r="G159" s="35"/>
      <c r="H159" s="35"/>
      <c r="I159" s="35"/>
      <c r="J159" s="36"/>
      <c r="L159" s="35"/>
      <c r="M159" s="35"/>
    </row>
    <row r="160" spans="3:13" ht="25.8">
      <c r="C160" s="35"/>
      <c r="D160" s="94" t="s">
        <v>18</v>
      </c>
      <c r="E160" s="94" t="s">
        <v>59</v>
      </c>
      <c r="F160" s="99"/>
      <c r="G160" s="35"/>
      <c r="H160" s="35"/>
      <c r="I160" s="35"/>
      <c r="J160" s="36"/>
      <c r="L160" s="35"/>
      <c r="M160" s="35"/>
    </row>
    <row r="161" spans="3:13" ht="25.8">
      <c r="C161" s="35"/>
      <c r="D161" s="94" t="s">
        <v>18</v>
      </c>
      <c r="E161" s="94" t="s">
        <v>59</v>
      </c>
      <c r="F161" s="99"/>
      <c r="G161" s="35"/>
      <c r="H161" s="35"/>
      <c r="I161" s="35"/>
      <c r="J161" s="36"/>
      <c r="L161" s="35"/>
      <c r="M161" s="35"/>
    </row>
    <row r="162" spans="3:13" ht="25.8">
      <c r="C162" s="35"/>
      <c r="D162" s="94" t="s">
        <v>18</v>
      </c>
      <c r="E162" s="94" t="s">
        <v>59</v>
      </c>
      <c r="F162" s="99"/>
      <c r="G162" s="35"/>
      <c r="H162" s="35"/>
      <c r="I162" s="35"/>
      <c r="J162" s="36"/>
      <c r="L162" s="35"/>
      <c r="M162" s="35"/>
    </row>
    <row r="163" spans="3:13" ht="25.8">
      <c r="C163" s="35"/>
      <c r="D163" s="94" t="s">
        <v>18</v>
      </c>
      <c r="E163" s="94" t="s">
        <v>59</v>
      </c>
      <c r="F163" s="99"/>
      <c r="G163" s="35"/>
      <c r="H163" s="35"/>
      <c r="I163" s="35"/>
      <c r="J163" s="36"/>
      <c r="L163" s="35"/>
      <c r="M163" s="35"/>
    </row>
    <row r="164" spans="3:13" ht="25.8">
      <c r="C164" s="35"/>
      <c r="D164" s="94" t="s">
        <v>18</v>
      </c>
      <c r="E164" s="94" t="s">
        <v>59</v>
      </c>
      <c r="F164" s="99"/>
      <c r="G164" s="35"/>
      <c r="H164" s="35"/>
      <c r="I164" s="35"/>
      <c r="J164" s="36"/>
      <c r="L164" s="35"/>
      <c r="M164" s="35"/>
    </row>
    <row r="165" spans="3:13" ht="25.8">
      <c r="C165" s="35"/>
      <c r="D165" s="94" t="s">
        <v>18</v>
      </c>
      <c r="E165" s="94" t="s">
        <v>59</v>
      </c>
      <c r="F165" s="99"/>
      <c r="G165" s="35"/>
      <c r="H165" s="35"/>
      <c r="I165" s="35"/>
      <c r="J165" s="36"/>
      <c r="L165" s="35"/>
      <c r="M165" s="35"/>
    </row>
    <row r="166" spans="3:13" ht="25.8">
      <c r="C166" s="35"/>
      <c r="D166" s="94" t="s">
        <v>18</v>
      </c>
      <c r="E166" s="94" t="s">
        <v>59</v>
      </c>
      <c r="F166" s="99"/>
      <c r="G166" s="35"/>
      <c r="H166" s="35"/>
      <c r="I166" s="35"/>
      <c r="J166" s="36"/>
      <c r="L166" s="35"/>
      <c r="M166" s="35"/>
    </row>
    <row r="167" spans="3:13" ht="25.8">
      <c r="C167" s="35"/>
      <c r="D167" s="94" t="s">
        <v>18</v>
      </c>
      <c r="E167" s="94" t="s">
        <v>59</v>
      </c>
      <c r="F167" s="99"/>
      <c r="G167" s="35"/>
      <c r="H167" s="35"/>
      <c r="I167" s="35"/>
      <c r="J167" s="36"/>
      <c r="L167" s="35"/>
      <c r="M167" s="35"/>
    </row>
    <row r="168" spans="3:13" ht="25.8">
      <c r="C168" s="35"/>
      <c r="D168" s="94" t="s">
        <v>18</v>
      </c>
      <c r="E168" s="94" t="s">
        <v>59</v>
      </c>
      <c r="F168" s="99"/>
      <c r="G168" s="35"/>
      <c r="H168" s="35"/>
      <c r="I168" s="35"/>
      <c r="J168" s="36"/>
      <c r="L168" s="35"/>
      <c r="M168" s="35"/>
    </row>
    <row r="169" spans="3:13" ht="25.8">
      <c r="C169" s="35"/>
      <c r="D169" s="94" t="s">
        <v>18</v>
      </c>
      <c r="E169" s="94" t="s">
        <v>59</v>
      </c>
      <c r="F169" s="99"/>
      <c r="G169" s="35"/>
      <c r="H169" s="35"/>
      <c r="I169" s="35"/>
      <c r="J169" s="36"/>
      <c r="L169" s="35"/>
      <c r="M169" s="35"/>
    </row>
    <row r="170" spans="3:13" ht="25.8">
      <c r="C170" s="35"/>
      <c r="D170" s="94" t="s">
        <v>18</v>
      </c>
      <c r="E170" s="94" t="s">
        <v>59</v>
      </c>
      <c r="F170" s="99"/>
      <c r="G170" s="35"/>
      <c r="H170" s="35"/>
      <c r="I170" s="35"/>
      <c r="J170" s="36"/>
      <c r="L170" s="35"/>
      <c r="M170" s="35"/>
    </row>
    <row r="171" spans="3:13" ht="25.8">
      <c r="C171" s="35"/>
      <c r="D171" s="94" t="s">
        <v>18</v>
      </c>
      <c r="E171" s="94" t="s">
        <v>59</v>
      </c>
      <c r="F171" s="99"/>
      <c r="G171" s="35"/>
      <c r="H171" s="35"/>
      <c r="I171" s="35"/>
      <c r="J171" s="36"/>
      <c r="L171" s="35"/>
      <c r="M171" s="35"/>
    </row>
    <row r="172" spans="3:13" ht="25.8">
      <c r="C172" s="35"/>
      <c r="D172" s="94" t="s">
        <v>18</v>
      </c>
      <c r="E172" s="94" t="s">
        <v>59</v>
      </c>
      <c r="F172" s="99"/>
      <c r="G172" s="35"/>
      <c r="H172" s="35"/>
      <c r="I172" s="35"/>
      <c r="J172" s="36"/>
      <c r="L172" s="35"/>
      <c r="M172" s="35"/>
    </row>
    <row r="173" spans="3:13" ht="25.8">
      <c r="C173" s="35"/>
      <c r="D173" s="94" t="s">
        <v>18</v>
      </c>
      <c r="E173" s="94" t="s">
        <v>59</v>
      </c>
      <c r="F173" s="99"/>
      <c r="G173" s="35"/>
      <c r="H173" s="35"/>
      <c r="I173" s="35"/>
      <c r="J173" s="36"/>
      <c r="L173" s="35"/>
      <c r="M173" s="35"/>
    </row>
    <row r="174" spans="3:13" ht="25.8">
      <c r="C174" s="35"/>
      <c r="D174" s="94" t="s">
        <v>18</v>
      </c>
      <c r="E174" s="94" t="s">
        <v>59</v>
      </c>
      <c r="F174" s="99"/>
      <c r="G174" s="35"/>
      <c r="H174" s="35"/>
      <c r="I174" s="35"/>
      <c r="J174" s="36"/>
      <c r="L174" s="35"/>
      <c r="M174" s="35"/>
    </row>
    <row r="175" spans="3:13" ht="25.8">
      <c r="C175" s="35"/>
      <c r="D175" s="94" t="s">
        <v>18</v>
      </c>
      <c r="E175" s="94" t="s">
        <v>59</v>
      </c>
      <c r="F175" s="99"/>
      <c r="G175" s="35"/>
      <c r="H175" s="35"/>
      <c r="I175" s="35"/>
      <c r="J175" s="36"/>
      <c r="L175" s="35"/>
      <c r="M175" s="35"/>
    </row>
    <row r="176" spans="3:13" ht="25.8">
      <c r="C176" s="35"/>
      <c r="D176" s="94" t="s">
        <v>18</v>
      </c>
      <c r="E176" s="94" t="s">
        <v>59</v>
      </c>
      <c r="F176" s="99"/>
      <c r="G176" s="35"/>
      <c r="H176" s="35"/>
      <c r="I176" s="35"/>
      <c r="J176" s="36"/>
      <c r="L176" s="35"/>
      <c r="M176" s="35"/>
    </row>
    <row r="177" spans="3:13" ht="25.8">
      <c r="C177" s="35"/>
      <c r="D177" s="94" t="s">
        <v>18</v>
      </c>
      <c r="E177" s="94" t="s">
        <v>59</v>
      </c>
      <c r="F177" s="99"/>
      <c r="G177" s="35"/>
      <c r="H177" s="35"/>
      <c r="I177" s="35"/>
      <c r="J177" s="36"/>
      <c r="L177" s="35"/>
      <c r="M177" s="35"/>
    </row>
    <row r="178" spans="3:13" ht="25.8">
      <c r="C178" s="35"/>
      <c r="D178" s="94" t="s">
        <v>18</v>
      </c>
      <c r="E178" s="94" t="s">
        <v>59</v>
      </c>
      <c r="F178" s="99"/>
      <c r="G178" s="35"/>
      <c r="H178" s="35"/>
      <c r="I178" s="35"/>
      <c r="J178" s="36"/>
      <c r="L178" s="35"/>
      <c r="M178" s="35"/>
    </row>
    <row r="179" spans="3:13" ht="25.8">
      <c r="C179" s="35"/>
      <c r="D179" s="94" t="s">
        <v>18</v>
      </c>
      <c r="E179" s="94" t="s">
        <v>59</v>
      </c>
      <c r="F179" s="99"/>
      <c r="G179" s="35"/>
      <c r="H179" s="35"/>
      <c r="I179" s="35"/>
      <c r="J179" s="36"/>
      <c r="L179" s="35"/>
      <c r="M179" s="35"/>
    </row>
    <row r="180" spans="3:13" ht="25.8">
      <c r="C180" s="35"/>
      <c r="D180" s="94" t="s">
        <v>18</v>
      </c>
      <c r="E180" s="94" t="s">
        <v>59</v>
      </c>
      <c r="F180" s="99"/>
      <c r="G180" s="35"/>
      <c r="H180" s="35"/>
      <c r="I180" s="35"/>
      <c r="J180" s="36"/>
      <c r="L180" s="35"/>
      <c r="M180" s="35"/>
    </row>
    <row r="181" spans="3:13" ht="25.8">
      <c r="C181" s="35"/>
      <c r="D181" s="94" t="s">
        <v>18</v>
      </c>
      <c r="E181" s="94" t="s">
        <v>59</v>
      </c>
      <c r="F181" s="99"/>
      <c r="G181" s="35"/>
      <c r="H181" s="35"/>
      <c r="I181" s="35"/>
      <c r="J181" s="36"/>
      <c r="L181" s="35"/>
      <c r="M181" s="35"/>
    </row>
    <row r="182" spans="3:13" ht="25.8">
      <c r="C182" s="35"/>
      <c r="D182" s="94" t="s">
        <v>18</v>
      </c>
      <c r="E182" s="94" t="s">
        <v>59</v>
      </c>
      <c r="F182" s="99"/>
      <c r="G182" s="35"/>
      <c r="H182" s="35"/>
      <c r="I182" s="35"/>
      <c r="J182" s="36"/>
      <c r="L182" s="35"/>
      <c r="M182" s="35"/>
    </row>
    <row r="183" spans="3:13" ht="25.8">
      <c r="C183" s="35"/>
      <c r="D183" s="94" t="s">
        <v>18</v>
      </c>
      <c r="E183" s="94" t="s">
        <v>59</v>
      </c>
      <c r="F183" s="99"/>
      <c r="G183" s="35"/>
      <c r="H183" s="35"/>
      <c r="I183" s="35"/>
      <c r="J183" s="36"/>
      <c r="L183" s="35"/>
      <c r="M183" s="35"/>
    </row>
    <row r="184" spans="3:13" ht="25.8">
      <c r="C184" s="35"/>
      <c r="D184" s="94" t="s">
        <v>18</v>
      </c>
      <c r="E184" s="94" t="s">
        <v>59</v>
      </c>
      <c r="F184" s="99"/>
      <c r="G184" s="35"/>
      <c r="H184" s="35"/>
      <c r="I184" s="35"/>
      <c r="J184" s="36"/>
      <c r="L184" s="35"/>
      <c r="M184" s="35"/>
    </row>
    <row r="185" spans="3:13" ht="25.8">
      <c r="C185" s="35"/>
      <c r="D185" s="94" t="s">
        <v>18</v>
      </c>
      <c r="E185" s="94" t="s">
        <v>59</v>
      </c>
      <c r="F185" s="99"/>
      <c r="G185" s="35"/>
      <c r="H185" s="35"/>
      <c r="I185" s="35"/>
      <c r="J185" s="36"/>
      <c r="L185" s="35"/>
      <c r="M185" s="35"/>
    </row>
    <row r="186" spans="3:13" ht="25.8">
      <c r="C186" s="35"/>
      <c r="D186" s="94" t="s">
        <v>18</v>
      </c>
      <c r="E186" s="94" t="s">
        <v>59</v>
      </c>
      <c r="F186" s="99"/>
      <c r="G186" s="35"/>
      <c r="H186" s="35"/>
      <c r="I186" s="35"/>
      <c r="J186" s="36"/>
      <c r="L186" s="35"/>
      <c r="M186" s="35"/>
    </row>
    <row r="187" spans="3:13" ht="25.8">
      <c r="C187" s="35"/>
      <c r="D187" s="94" t="s">
        <v>18</v>
      </c>
      <c r="E187" s="94" t="s">
        <v>59</v>
      </c>
      <c r="F187" s="99"/>
      <c r="G187" s="35"/>
      <c r="H187" s="35"/>
      <c r="I187" s="35"/>
      <c r="J187" s="36"/>
      <c r="L187" s="35"/>
      <c r="M187" s="35"/>
    </row>
    <row r="188" spans="3:13" ht="25.8">
      <c r="C188" s="35"/>
      <c r="D188" s="94" t="s">
        <v>18</v>
      </c>
      <c r="E188" s="94" t="s">
        <v>59</v>
      </c>
      <c r="F188" s="99"/>
      <c r="G188" s="35"/>
      <c r="H188" s="35"/>
      <c r="I188" s="35"/>
      <c r="J188" s="36"/>
      <c r="L188" s="35"/>
      <c r="M188" s="35"/>
    </row>
    <row r="189" spans="3:13" ht="25.8">
      <c r="C189" s="35"/>
      <c r="D189" s="94" t="s">
        <v>18</v>
      </c>
      <c r="E189" s="94" t="s">
        <v>59</v>
      </c>
      <c r="F189" s="99"/>
      <c r="G189" s="35"/>
      <c r="H189" s="35"/>
      <c r="I189" s="35"/>
      <c r="J189" s="36"/>
      <c r="L189" s="35"/>
      <c r="M189" s="35"/>
    </row>
    <row r="190" spans="3:13" ht="25.8">
      <c r="C190" s="35"/>
      <c r="D190" s="94" t="s">
        <v>18</v>
      </c>
      <c r="E190" s="94" t="s">
        <v>59</v>
      </c>
      <c r="F190" s="99"/>
      <c r="G190" s="35"/>
      <c r="H190" s="35"/>
      <c r="I190" s="35"/>
      <c r="J190" s="36"/>
      <c r="L190" s="35"/>
      <c r="M190" s="35"/>
    </row>
    <row r="191" spans="3:13" ht="25.8">
      <c r="C191" s="35"/>
      <c r="D191" s="94" t="s">
        <v>18</v>
      </c>
      <c r="E191" s="94" t="s">
        <v>59</v>
      </c>
      <c r="F191" s="99"/>
      <c r="G191" s="35"/>
      <c r="H191" s="35"/>
      <c r="I191" s="35"/>
      <c r="J191" s="36"/>
      <c r="L191" s="35"/>
      <c r="M191" s="35"/>
    </row>
    <row r="192" spans="3:13" ht="25.8">
      <c r="C192" s="35"/>
      <c r="D192" s="94" t="s">
        <v>18</v>
      </c>
      <c r="E192" s="94" t="s">
        <v>59</v>
      </c>
      <c r="F192" s="99"/>
      <c r="G192" s="35"/>
      <c r="H192" s="35"/>
      <c r="I192" s="35"/>
      <c r="J192" s="36"/>
      <c r="L192" s="35"/>
      <c r="M192" s="35"/>
    </row>
    <row r="193" spans="3:13" ht="25.8">
      <c r="C193" s="35"/>
      <c r="D193" s="94" t="s">
        <v>18</v>
      </c>
      <c r="E193" s="94" t="s">
        <v>59</v>
      </c>
      <c r="F193" s="99"/>
      <c r="G193" s="35"/>
      <c r="H193" s="35"/>
      <c r="I193" s="35"/>
      <c r="J193" s="36"/>
      <c r="L193" s="35"/>
      <c r="M193" s="35"/>
    </row>
    <row r="194" spans="3:13" ht="25.8">
      <c r="C194" s="35"/>
      <c r="D194" s="94" t="s">
        <v>18</v>
      </c>
      <c r="E194" s="94" t="s">
        <v>59</v>
      </c>
      <c r="F194" s="99"/>
      <c r="G194" s="35"/>
      <c r="H194" s="35"/>
      <c r="I194" s="35"/>
      <c r="J194" s="36"/>
      <c r="L194" s="35"/>
      <c r="M194" s="35"/>
    </row>
    <row r="195" spans="3:13" ht="25.8">
      <c r="C195" s="35"/>
      <c r="D195" s="94" t="s">
        <v>18</v>
      </c>
      <c r="E195" s="94" t="s">
        <v>59</v>
      </c>
      <c r="F195" s="99"/>
      <c r="G195" s="35"/>
      <c r="H195" s="35"/>
      <c r="I195" s="35"/>
      <c r="J195" s="36"/>
      <c r="L195" s="35"/>
      <c r="M195" s="35"/>
    </row>
    <row r="196" spans="3:13" ht="25.8">
      <c r="C196" s="35"/>
      <c r="D196" s="94" t="s">
        <v>18</v>
      </c>
      <c r="E196" s="94" t="s">
        <v>59</v>
      </c>
      <c r="F196" s="99"/>
      <c r="G196" s="35"/>
      <c r="H196" s="35"/>
      <c r="I196" s="35"/>
      <c r="J196" s="36"/>
      <c r="L196" s="35"/>
      <c r="M196" s="35"/>
    </row>
    <row r="197" spans="3:13" ht="25.8">
      <c r="C197" s="35"/>
      <c r="D197" s="94" t="s">
        <v>18</v>
      </c>
      <c r="E197" s="94" t="s">
        <v>59</v>
      </c>
      <c r="F197" s="99"/>
      <c r="G197" s="35"/>
      <c r="H197" s="35"/>
      <c r="I197" s="35"/>
      <c r="J197" s="36"/>
      <c r="L197" s="35"/>
      <c r="M197" s="35"/>
    </row>
    <row r="198" spans="3:13" ht="25.8">
      <c r="C198" s="35"/>
      <c r="D198" s="94" t="s">
        <v>18</v>
      </c>
      <c r="E198" s="94" t="s">
        <v>59</v>
      </c>
      <c r="F198" s="99"/>
      <c r="G198" s="35"/>
      <c r="H198" s="35"/>
      <c r="I198" s="35"/>
      <c r="J198" s="36"/>
      <c r="L198" s="35"/>
      <c r="M198" s="35"/>
    </row>
    <row r="199" spans="3:13" ht="25.8">
      <c r="C199" s="35"/>
      <c r="D199" s="94" t="s">
        <v>18</v>
      </c>
      <c r="E199" s="94" t="s">
        <v>59</v>
      </c>
      <c r="F199" s="99"/>
      <c r="G199" s="35"/>
      <c r="H199" s="35"/>
      <c r="I199" s="35"/>
      <c r="J199" s="36"/>
      <c r="L199" s="35"/>
      <c r="M199" s="35"/>
    </row>
    <row r="200" spans="3:13" ht="25.8">
      <c r="C200" s="35"/>
      <c r="D200" s="94" t="s">
        <v>18</v>
      </c>
      <c r="E200" s="94" t="s">
        <v>59</v>
      </c>
      <c r="F200" s="99"/>
      <c r="G200" s="35"/>
      <c r="H200" s="35"/>
      <c r="I200" s="35"/>
      <c r="J200" s="36"/>
      <c r="L200" s="35"/>
      <c r="M200" s="35"/>
    </row>
    <row r="201" spans="3:13" ht="25.8">
      <c r="C201" s="35"/>
      <c r="D201" s="94" t="s">
        <v>18</v>
      </c>
      <c r="E201" s="94" t="s">
        <v>59</v>
      </c>
      <c r="F201" s="99"/>
      <c r="G201" s="35"/>
      <c r="H201" s="35"/>
      <c r="I201" s="35"/>
      <c r="J201" s="36"/>
      <c r="L201" s="35"/>
      <c r="M201" s="35"/>
    </row>
    <row r="202" spans="3:13" ht="25.8">
      <c r="C202" s="35"/>
      <c r="D202" s="94" t="s">
        <v>18</v>
      </c>
      <c r="E202" s="94" t="s">
        <v>59</v>
      </c>
      <c r="F202" s="99"/>
      <c r="G202" s="35"/>
      <c r="H202" s="35"/>
      <c r="I202" s="35"/>
      <c r="J202" s="36"/>
      <c r="L202" s="35"/>
      <c r="M202" s="35"/>
    </row>
    <row r="203" spans="3:13" ht="25.8">
      <c r="C203" s="35"/>
      <c r="D203" s="94" t="s">
        <v>18</v>
      </c>
      <c r="E203" s="94" t="s">
        <v>59</v>
      </c>
      <c r="F203" s="99"/>
      <c r="G203" s="35"/>
      <c r="H203" s="35"/>
      <c r="I203" s="35"/>
      <c r="J203" s="36"/>
      <c r="L203" s="35"/>
      <c r="M203" s="35"/>
    </row>
    <row r="204" spans="3:13" ht="25.8">
      <c r="C204" s="35"/>
      <c r="D204" s="94" t="s">
        <v>18</v>
      </c>
      <c r="E204" s="94" t="s">
        <v>59</v>
      </c>
      <c r="F204" s="99"/>
      <c r="G204" s="35"/>
      <c r="H204" s="35"/>
      <c r="I204" s="35"/>
      <c r="J204" s="36"/>
      <c r="L204" s="35"/>
      <c r="M204" s="35"/>
    </row>
    <row r="205" spans="3:13" ht="25.8">
      <c r="C205" s="35"/>
      <c r="D205" s="94" t="s">
        <v>18</v>
      </c>
      <c r="E205" s="94" t="s">
        <v>59</v>
      </c>
      <c r="F205" s="99"/>
      <c r="G205" s="35"/>
      <c r="H205" s="35"/>
      <c r="I205" s="35"/>
      <c r="J205" s="36"/>
      <c r="L205" s="35"/>
      <c r="M205" s="35"/>
    </row>
    <row r="206" spans="3:13" ht="25.8">
      <c r="C206" s="35"/>
      <c r="D206" s="94" t="s">
        <v>18</v>
      </c>
      <c r="E206" s="94" t="s">
        <v>59</v>
      </c>
      <c r="F206" s="99"/>
      <c r="G206" s="35"/>
      <c r="H206" s="35"/>
      <c r="I206" s="35"/>
      <c r="J206" s="36"/>
      <c r="L206" s="35"/>
      <c r="M206" s="35"/>
    </row>
    <row r="207" spans="3:13" ht="25.8">
      <c r="C207" s="35"/>
      <c r="D207" s="94" t="s">
        <v>18</v>
      </c>
      <c r="E207" s="94" t="s">
        <v>59</v>
      </c>
      <c r="F207" s="99"/>
      <c r="G207" s="35"/>
      <c r="H207" s="35"/>
      <c r="I207" s="35"/>
      <c r="J207" s="36"/>
      <c r="L207" s="35"/>
      <c r="M207" s="35"/>
    </row>
    <row r="208" spans="3:13" ht="25.8">
      <c r="C208" s="35"/>
      <c r="D208" s="94" t="s">
        <v>18</v>
      </c>
      <c r="E208" s="94" t="s">
        <v>59</v>
      </c>
      <c r="F208" s="99"/>
      <c r="G208" s="35"/>
      <c r="H208" s="35"/>
      <c r="I208" s="35"/>
      <c r="J208" s="36"/>
      <c r="L208" s="35"/>
      <c r="M208" s="35"/>
    </row>
    <row r="209" spans="3:13" ht="25.8">
      <c r="C209" s="35"/>
      <c r="D209" s="94" t="s">
        <v>18</v>
      </c>
      <c r="E209" s="94" t="s">
        <v>59</v>
      </c>
      <c r="F209" s="99"/>
      <c r="G209" s="35"/>
      <c r="H209" s="35"/>
      <c r="I209" s="35"/>
      <c r="J209" s="36"/>
      <c r="L209" s="35"/>
      <c r="M209" s="35"/>
    </row>
    <row r="210" spans="3:13" ht="25.8">
      <c r="C210" s="35"/>
      <c r="D210" s="94" t="s">
        <v>18</v>
      </c>
      <c r="E210" s="94" t="s">
        <v>59</v>
      </c>
      <c r="F210" s="99"/>
      <c r="G210" s="35"/>
      <c r="H210" s="35"/>
      <c r="I210" s="35"/>
      <c r="J210" s="36"/>
      <c r="L210" s="35"/>
      <c r="M210" s="35"/>
    </row>
    <row r="211" spans="3:13" ht="25.8">
      <c r="C211" s="35"/>
      <c r="D211" s="94" t="s">
        <v>18</v>
      </c>
      <c r="E211" s="94" t="s">
        <v>59</v>
      </c>
      <c r="F211" s="99"/>
      <c r="G211" s="35"/>
      <c r="H211" s="35"/>
      <c r="I211" s="35"/>
      <c r="J211" s="36"/>
      <c r="L211" s="35"/>
      <c r="M211" s="35"/>
    </row>
    <row r="212" spans="3:13" ht="25.8">
      <c r="C212" s="35"/>
      <c r="D212" s="94" t="s">
        <v>18</v>
      </c>
      <c r="E212" s="94" t="s">
        <v>59</v>
      </c>
      <c r="F212" s="99"/>
      <c r="G212" s="35"/>
      <c r="H212" s="35"/>
      <c r="I212" s="35"/>
      <c r="J212" s="36"/>
      <c r="L212" s="35"/>
      <c r="M212" s="35"/>
    </row>
    <row r="213" spans="3:13" ht="25.8">
      <c r="C213" s="35"/>
      <c r="D213" s="94" t="s">
        <v>18</v>
      </c>
      <c r="E213" s="94" t="s">
        <v>59</v>
      </c>
      <c r="F213" s="99"/>
      <c r="G213" s="35"/>
      <c r="H213" s="35"/>
      <c r="I213" s="35"/>
      <c r="J213" s="36"/>
      <c r="L213" s="35"/>
      <c r="M213" s="35"/>
    </row>
    <row r="214" spans="3:13" ht="25.8">
      <c r="C214" s="35"/>
      <c r="D214" s="94" t="s">
        <v>18</v>
      </c>
      <c r="E214" s="94" t="s">
        <v>59</v>
      </c>
      <c r="F214" s="99"/>
      <c r="G214" s="35"/>
      <c r="H214" s="35"/>
      <c r="I214" s="35"/>
      <c r="J214" s="36"/>
      <c r="L214" s="35"/>
      <c r="M214" s="35"/>
    </row>
    <row r="215" spans="3:13" ht="25.8">
      <c r="C215" s="35"/>
      <c r="D215" s="94" t="s">
        <v>18</v>
      </c>
      <c r="E215" s="94" t="s">
        <v>59</v>
      </c>
      <c r="F215" s="99"/>
      <c r="G215" s="35"/>
      <c r="H215" s="35"/>
      <c r="I215" s="35"/>
      <c r="J215" s="36"/>
      <c r="L215" s="35"/>
      <c r="M215" s="35"/>
    </row>
    <row r="216" spans="3:13" ht="25.8">
      <c r="C216" s="35"/>
      <c r="D216" s="94" t="s">
        <v>18</v>
      </c>
      <c r="E216" s="94" t="s">
        <v>59</v>
      </c>
      <c r="F216" s="99"/>
      <c r="G216" s="35"/>
      <c r="H216" s="35"/>
      <c r="I216" s="35"/>
      <c r="J216" s="36"/>
      <c r="L216" s="35"/>
      <c r="M216" s="35"/>
    </row>
    <row r="217" spans="3:13" ht="25.8">
      <c r="C217" s="35"/>
      <c r="D217" s="94" t="s">
        <v>18</v>
      </c>
      <c r="E217" s="94" t="s">
        <v>59</v>
      </c>
      <c r="F217" s="99"/>
      <c r="G217" s="35"/>
      <c r="H217" s="35"/>
      <c r="I217" s="35"/>
      <c r="J217" s="36"/>
      <c r="L217" s="35"/>
      <c r="M217" s="35"/>
    </row>
    <row r="218" spans="3:13" ht="25.8">
      <c r="C218" s="35"/>
      <c r="D218" s="94" t="s">
        <v>18</v>
      </c>
      <c r="E218" s="94" t="s">
        <v>59</v>
      </c>
      <c r="F218" s="99"/>
      <c r="G218" s="35"/>
      <c r="H218" s="35"/>
      <c r="I218" s="35"/>
      <c r="J218" s="36"/>
      <c r="L218" s="35"/>
      <c r="M218" s="35"/>
    </row>
    <row r="219" spans="3:13" ht="25.8">
      <c r="C219" s="35"/>
      <c r="D219" s="94" t="s">
        <v>18</v>
      </c>
      <c r="E219" s="94" t="s">
        <v>59</v>
      </c>
      <c r="F219" s="99"/>
      <c r="G219" s="35"/>
      <c r="H219" s="35"/>
      <c r="I219" s="35"/>
      <c r="J219" s="36"/>
      <c r="L219" s="35"/>
      <c r="M219" s="35"/>
    </row>
    <row r="220" spans="3:13" ht="25.8">
      <c r="C220" s="35"/>
      <c r="D220" s="94" t="s">
        <v>18</v>
      </c>
      <c r="E220" s="94" t="s">
        <v>59</v>
      </c>
      <c r="F220" s="99"/>
      <c r="G220" s="35"/>
      <c r="H220" s="35"/>
      <c r="I220" s="35"/>
      <c r="J220" s="36"/>
      <c r="L220" s="35"/>
      <c r="M220" s="35"/>
    </row>
    <row r="221" spans="3:13" ht="25.8">
      <c r="C221" s="35"/>
      <c r="D221" s="94" t="s">
        <v>18</v>
      </c>
      <c r="E221" s="94" t="s">
        <v>59</v>
      </c>
      <c r="F221" s="99"/>
      <c r="G221" s="35"/>
      <c r="H221" s="35"/>
      <c r="I221" s="35"/>
      <c r="J221" s="36"/>
      <c r="L221" s="35"/>
      <c r="M221" s="35"/>
    </row>
    <row r="222" spans="3:13" ht="25.8">
      <c r="C222" s="35"/>
      <c r="D222" s="94" t="s">
        <v>18</v>
      </c>
      <c r="E222" s="94" t="s">
        <v>59</v>
      </c>
      <c r="F222" s="99"/>
      <c r="G222" s="35"/>
      <c r="H222" s="35"/>
      <c r="I222" s="35"/>
      <c r="J222" s="36"/>
      <c r="L222" s="35"/>
      <c r="M222" s="35"/>
    </row>
    <row r="223" spans="3:13" ht="25.8">
      <c r="C223" s="35"/>
      <c r="D223" s="94" t="s">
        <v>18</v>
      </c>
      <c r="E223" s="94" t="s">
        <v>59</v>
      </c>
      <c r="F223" s="99"/>
      <c r="G223" s="35"/>
      <c r="H223" s="35"/>
      <c r="I223" s="35"/>
      <c r="J223" s="36"/>
      <c r="L223" s="35"/>
      <c r="M223" s="35"/>
    </row>
    <row r="224" spans="3:13" ht="25.8">
      <c r="C224" s="35"/>
      <c r="D224" s="94" t="s">
        <v>18</v>
      </c>
      <c r="E224" s="94" t="s">
        <v>59</v>
      </c>
      <c r="F224" s="99"/>
      <c r="G224" s="35"/>
      <c r="H224" s="35"/>
      <c r="I224" s="35"/>
      <c r="J224" s="36"/>
      <c r="L224" s="35"/>
      <c r="M224" s="35"/>
    </row>
    <row r="225" spans="3:13" ht="25.8">
      <c r="C225" s="35"/>
      <c r="D225" s="94" t="s">
        <v>18</v>
      </c>
      <c r="E225" s="94" t="s">
        <v>59</v>
      </c>
      <c r="F225" s="99"/>
      <c r="G225" s="35"/>
      <c r="H225" s="35"/>
      <c r="I225" s="35"/>
      <c r="J225" s="36"/>
      <c r="L225" s="35"/>
      <c r="M225" s="35"/>
    </row>
    <row r="226" spans="3:13" ht="25.8">
      <c r="C226" s="35"/>
      <c r="D226" s="94" t="s">
        <v>18</v>
      </c>
      <c r="E226" s="94" t="s">
        <v>59</v>
      </c>
      <c r="F226" s="99"/>
      <c r="G226" s="35"/>
      <c r="H226" s="35"/>
      <c r="I226" s="35"/>
      <c r="J226" s="36"/>
      <c r="L226" s="35"/>
      <c r="M226" s="35"/>
    </row>
    <row r="227" spans="3:13" ht="25.8">
      <c r="C227" s="35"/>
      <c r="D227" s="94" t="s">
        <v>18</v>
      </c>
      <c r="E227" s="94" t="s">
        <v>59</v>
      </c>
      <c r="F227" s="99"/>
      <c r="G227" s="35"/>
      <c r="H227" s="35"/>
      <c r="I227" s="35"/>
      <c r="J227" s="36"/>
      <c r="L227" s="35"/>
      <c r="M227" s="35"/>
    </row>
    <row r="228" spans="3:13" ht="25.8">
      <c r="C228" s="35"/>
      <c r="D228" s="94" t="s">
        <v>18</v>
      </c>
      <c r="E228" s="94" t="s">
        <v>59</v>
      </c>
      <c r="F228" s="99"/>
      <c r="G228" s="35"/>
      <c r="H228" s="35"/>
      <c r="I228" s="35"/>
      <c r="J228" s="36"/>
      <c r="L228" s="35"/>
      <c r="M228" s="35"/>
    </row>
    <row r="229" spans="3:13" ht="25.8">
      <c r="C229" s="35"/>
      <c r="D229" s="94" t="s">
        <v>18</v>
      </c>
      <c r="E229" s="94" t="s">
        <v>59</v>
      </c>
      <c r="F229" s="99"/>
      <c r="G229" s="35"/>
      <c r="H229" s="35"/>
      <c r="I229" s="35"/>
      <c r="J229" s="36"/>
      <c r="L229" s="35"/>
      <c r="M229" s="35"/>
    </row>
    <row r="230" spans="3:13" ht="25.8">
      <c r="C230" s="35"/>
      <c r="D230" s="94" t="s">
        <v>18</v>
      </c>
      <c r="E230" s="94" t="s">
        <v>59</v>
      </c>
      <c r="F230" s="99"/>
      <c r="G230" s="35"/>
      <c r="H230" s="35"/>
      <c r="I230" s="35"/>
      <c r="J230" s="36"/>
      <c r="L230" s="35"/>
      <c r="M230" s="35"/>
    </row>
    <row r="231" spans="3:13" ht="25.8">
      <c r="C231" s="35"/>
      <c r="D231" s="94" t="s">
        <v>18</v>
      </c>
      <c r="E231" s="94" t="s">
        <v>59</v>
      </c>
      <c r="F231" s="99"/>
      <c r="G231" s="35"/>
      <c r="H231" s="35"/>
      <c r="I231" s="35"/>
      <c r="J231" s="36"/>
      <c r="L231" s="35"/>
      <c r="M231" s="35"/>
    </row>
    <row r="232" spans="3:13" ht="25.8">
      <c r="C232" s="35"/>
      <c r="D232" s="94" t="s">
        <v>18</v>
      </c>
      <c r="E232" s="94" t="s">
        <v>59</v>
      </c>
      <c r="F232" s="99"/>
      <c r="G232" s="35"/>
      <c r="H232" s="35"/>
      <c r="I232" s="35"/>
      <c r="J232" s="36"/>
      <c r="L232" s="35"/>
      <c r="M232" s="35"/>
    </row>
    <row r="233" spans="3:13" ht="25.8">
      <c r="C233" s="35"/>
      <c r="D233" s="94" t="s">
        <v>18</v>
      </c>
      <c r="E233" s="94" t="s">
        <v>59</v>
      </c>
      <c r="F233" s="99"/>
      <c r="G233" s="35"/>
      <c r="H233" s="35"/>
      <c r="I233" s="35"/>
      <c r="J233" s="36"/>
      <c r="L233" s="35"/>
      <c r="M233" s="35"/>
    </row>
    <row r="234" spans="3:13" ht="25.8">
      <c r="C234" s="35"/>
      <c r="D234" s="94" t="s">
        <v>18</v>
      </c>
      <c r="E234" s="94" t="s">
        <v>59</v>
      </c>
      <c r="F234" s="99"/>
      <c r="G234" s="35"/>
      <c r="H234" s="35"/>
      <c r="I234" s="35"/>
      <c r="J234" s="36"/>
      <c r="L234" s="35"/>
      <c r="M234" s="35"/>
    </row>
    <row r="235" spans="3:13" ht="25.8">
      <c r="C235" s="35"/>
      <c r="D235" s="94" t="s">
        <v>18</v>
      </c>
      <c r="E235" s="94" t="s">
        <v>59</v>
      </c>
      <c r="F235" s="99"/>
      <c r="G235" s="35"/>
      <c r="H235" s="35"/>
      <c r="I235" s="35"/>
      <c r="J235" s="36"/>
      <c r="L235" s="35"/>
      <c r="M235" s="35"/>
    </row>
    <row r="236" spans="3:13" ht="25.8">
      <c r="C236" s="35"/>
      <c r="D236" s="94" t="s">
        <v>18</v>
      </c>
      <c r="E236" s="94" t="s">
        <v>59</v>
      </c>
      <c r="F236" s="99"/>
      <c r="G236" s="35"/>
      <c r="H236" s="35"/>
      <c r="I236" s="35"/>
      <c r="J236" s="36"/>
      <c r="L236" s="35"/>
      <c r="M236" s="35"/>
    </row>
    <row r="237" spans="3:13" ht="25.8">
      <c r="C237" s="35"/>
      <c r="D237" s="94" t="s">
        <v>18</v>
      </c>
      <c r="E237" s="94" t="s">
        <v>59</v>
      </c>
      <c r="F237" s="99"/>
      <c r="G237" s="35"/>
      <c r="H237" s="35"/>
      <c r="I237" s="35"/>
      <c r="J237" s="36"/>
      <c r="L237" s="35"/>
      <c r="M237" s="35"/>
    </row>
    <row r="238" spans="3:13" ht="25.8">
      <c r="C238" s="35"/>
      <c r="D238" s="94" t="s">
        <v>18</v>
      </c>
      <c r="E238" s="94" t="s">
        <v>59</v>
      </c>
      <c r="F238" s="99"/>
      <c r="G238" s="35"/>
      <c r="H238" s="35"/>
      <c r="I238" s="35"/>
      <c r="J238" s="36"/>
      <c r="L238" s="35"/>
      <c r="M238" s="35"/>
    </row>
    <row r="239" spans="3:13" ht="25.8">
      <c r="C239" s="35"/>
      <c r="D239" s="94" t="s">
        <v>18</v>
      </c>
      <c r="E239" s="94" t="s">
        <v>59</v>
      </c>
      <c r="F239" s="99"/>
      <c r="G239" s="35"/>
      <c r="H239" s="35"/>
      <c r="I239" s="35"/>
      <c r="J239" s="36"/>
      <c r="L239" s="35"/>
      <c r="M239" s="35"/>
    </row>
    <row r="240" spans="3:13" ht="25.8">
      <c r="C240" s="35"/>
      <c r="D240" s="94" t="s">
        <v>18</v>
      </c>
      <c r="E240" s="94" t="s">
        <v>59</v>
      </c>
      <c r="F240" s="99"/>
      <c r="G240" s="35"/>
      <c r="H240" s="35"/>
      <c r="I240" s="35"/>
      <c r="J240" s="36"/>
      <c r="L240" s="35"/>
      <c r="M240" s="35"/>
    </row>
    <row r="241" spans="3:13" ht="25.8">
      <c r="C241" s="35"/>
      <c r="D241" s="94" t="s">
        <v>18</v>
      </c>
      <c r="E241" s="94" t="s">
        <v>59</v>
      </c>
      <c r="F241" s="99"/>
      <c r="G241" s="35"/>
      <c r="H241" s="35"/>
      <c r="I241" s="35"/>
      <c r="J241" s="36"/>
      <c r="L241" s="35"/>
      <c r="M241" s="35"/>
    </row>
    <row r="242" spans="3:13" ht="25.8">
      <c r="C242" s="35"/>
      <c r="D242" s="94" t="s">
        <v>18</v>
      </c>
      <c r="E242" s="94" t="s">
        <v>59</v>
      </c>
      <c r="F242" s="99"/>
      <c r="G242" s="35"/>
      <c r="H242" s="35"/>
      <c r="I242" s="35"/>
      <c r="J242" s="36"/>
      <c r="L242" s="35"/>
      <c r="M242" s="35"/>
    </row>
    <row r="243" spans="3:13" ht="25.8">
      <c r="C243" s="35"/>
      <c r="D243" s="94" t="s">
        <v>18</v>
      </c>
      <c r="E243" s="94" t="s">
        <v>59</v>
      </c>
      <c r="F243" s="99"/>
      <c r="G243" s="35"/>
      <c r="H243" s="35"/>
      <c r="I243" s="35"/>
      <c r="J243" s="36"/>
      <c r="L243" s="35"/>
      <c r="M243" s="35"/>
    </row>
    <row r="244" spans="3:13" ht="25.8">
      <c r="C244" s="35"/>
      <c r="D244" s="94" t="s">
        <v>18</v>
      </c>
      <c r="E244" s="94" t="s">
        <v>59</v>
      </c>
      <c r="F244" s="99"/>
      <c r="G244" s="35"/>
      <c r="H244" s="35"/>
      <c r="I244" s="35"/>
      <c r="J244" s="36"/>
      <c r="L244" s="35"/>
      <c r="M244" s="35"/>
    </row>
    <row r="245" spans="3:13" ht="25.8">
      <c r="C245" s="35"/>
      <c r="D245" s="94" t="s">
        <v>18</v>
      </c>
      <c r="E245" s="94" t="s">
        <v>59</v>
      </c>
      <c r="F245" s="99"/>
      <c r="G245" s="35"/>
      <c r="H245" s="35"/>
      <c r="I245" s="35"/>
      <c r="J245" s="36"/>
      <c r="L245" s="35"/>
      <c r="M245" s="35"/>
    </row>
    <row r="246" spans="3:13" ht="25.8">
      <c r="C246" s="35"/>
      <c r="D246" s="94" t="s">
        <v>18</v>
      </c>
      <c r="E246" s="94" t="s">
        <v>59</v>
      </c>
      <c r="F246" s="99"/>
      <c r="G246" s="35"/>
      <c r="H246" s="35"/>
      <c r="I246" s="35"/>
      <c r="J246" s="36"/>
      <c r="L246" s="35"/>
      <c r="M246" s="35"/>
    </row>
    <row r="247" spans="3:13" ht="25.8">
      <c r="C247" s="35"/>
      <c r="D247" s="94" t="s">
        <v>18</v>
      </c>
      <c r="E247" s="94" t="s">
        <v>59</v>
      </c>
      <c r="F247" s="99"/>
      <c r="G247" s="35"/>
      <c r="H247" s="35"/>
      <c r="I247" s="35"/>
      <c r="J247" s="36"/>
      <c r="L247" s="35"/>
      <c r="M247" s="35"/>
    </row>
    <row r="248" spans="3:13" ht="25.8">
      <c r="C248" s="35"/>
      <c r="D248" s="94" t="s">
        <v>18</v>
      </c>
      <c r="E248" s="94" t="s">
        <v>59</v>
      </c>
      <c r="F248" s="99"/>
      <c r="G248" s="35"/>
      <c r="H248" s="35"/>
      <c r="I248" s="35"/>
      <c r="J248" s="36"/>
      <c r="L248" s="35"/>
      <c r="M248" s="35"/>
    </row>
    <row r="249" spans="3:13" ht="25.8">
      <c r="C249" s="35"/>
      <c r="D249" s="94" t="s">
        <v>18</v>
      </c>
      <c r="E249" s="94" t="s">
        <v>59</v>
      </c>
      <c r="F249" s="99"/>
      <c r="G249" s="35"/>
      <c r="H249" s="35"/>
      <c r="I249" s="35"/>
      <c r="J249" s="36"/>
      <c r="L249" s="35"/>
      <c r="M249" s="35"/>
    </row>
    <row r="250" spans="3:13" ht="25.8">
      <c r="C250" s="35"/>
      <c r="D250" s="94" t="s">
        <v>18</v>
      </c>
      <c r="E250" s="94" t="s">
        <v>59</v>
      </c>
      <c r="F250" s="99"/>
      <c r="G250" s="35"/>
      <c r="H250" s="35"/>
      <c r="I250" s="35"/>
      <c r="J250" s="36"/>
      <c r="L250" s="35"/>
      <c r="M250" s="35"/>
    </row>
    <row r="251" spans="3:13" ht="25.8">
      <c r="C251" s="35"/>
      <c r="D251" s="94" t="s">
        <v>18</v>
      </c>
      <c r="E251" s="94" t="s">
        <v>59</v>
      </c>
      <c r="F251" s="99"/>
      <c r="G251" s="35"/>
      <c r="H251" s="35"/>
      <c r="I251" s="35"/>
      <c r="J251" s="36"/>
      <c r="L251" s="35"/>
      <c r="M251" s="35"/>
    </row>
    <row r="252" spans="3:13" ht="25.8">
      <c r="C252" s="35"/>
      <c r="D252" s="94" t="s">
        <v>18</v>
      </c>
      <c r="E252" s="94" t="s">
        <v>59</v>
      </c>
      <c r="F252" s="99"/>
      <c r="G252" s="35"/>
      <c r="H252" s="35"/>
      <c r="I252" s="35"/>
      <c r="J252" s="36"/>
      <c r="L252" s="35"/>
      <c r="M252" s="35"/>
    </row>
    <row r="253" spans="3:13" ht="25.8">
      <c r="C253" s="35"/>
      <c r="D253" s="94" t="s">
        <v>18</v>
      </c>
      <c r="E253" s="94" t="s">
        <v>59</v>
      </c>
      <c r="F253" s="99"/>
      <c r="G253" s="35"/>
      <c r="H253" s="35"/>
      <c r="I253" s="35"/>
      <c r="J253" s="36"/>
      <c r="L253" s="35"/>
      <c r="M253" s="35"/>
    </row>
    <row r="254" spans="3:13" ht="25.8">
      <c r="C254" s="35"/>
      <c r="D254" s="94" t="s">
        <v>18</v>
      </c>
      <c r="E254" s="94" t="s">
        <v>59</v>
      </c>
      <c r="F254" s="99"/>
      <c r="G254" s="35"/>
      <c r="H254" s="35"/>
      <c r="I254" s="35"/>
      <c r="J254" s="36"/>
      <c r="L254" s="35"/>
      <c r="M254" s="35"/>
    </row>
    <row r="255" spans="3:13" ht="25.8">
      <c r="C255" s="35"/>
      <c r="D255" s="94" t="s">
        <v>18</v>
      </c>
      <c r="E255" s="94" t="s">
        <v>59</v>
      </c>
      <c r="F255" s="99"/>
      <c r="G255" s="35"/>
      <c r="H255" s="35"/>
      <c r="I255" s="35"/>
      <c r="J255" s="36"/>
      <c r="L255" s="35"/>
      <c r="M255" s="35"/>
    </row>
    <row r="256" spans="3:13" ht="25.8">
      <c r="C256" s="35"/>
      <c r="D256" s="94" t="s">
        <v>18</v>
      </c>
      <c r="E256" s="94" t="s">
        <v>59</v>
      </c>
      <c r="F256" s="99"/>
      <c r="G256" s="35"/>
      <c r="H256" s="35"/>
      <c r="I256" s="35"/>
      <c r="J256" s="36"/>
      <c r="L256" s="35"/>
      <c r="M256" s="35"/>
    </row>
    <row r="257" spans="3:13" ht="25.8">
      <c r="C257" s="35"/>
      <c r="D257" s="94" t="s">
        <v>18</v>
      </c>
      <c r="E257" s="94" t="s">
        <v>59</v>
      </c>
      <c r="F257" s="99"/>
      <c r="G257" s="35"/>
      <c r="H257" s="35"/>
      <c r="I257" s="35"/>
      <c r="J257" s="36"/>
      <c r="L257" s="35"/>
      <c r="M257" s="35"/>
    </row>
    <row r="258" spans="3:13" ht="25.8">
      <c r="C258" s="35"/>
      <c r="D258" s="94" t="s">
        <v>18</v>
      </c>
      <c r="E258" s="94" t="s">
        <v>59</v>
      </c>
      <c r="F258" s="99"/>
      <c r="G258" s="35"/>
      <c r="H258" s="35"/>
      <c r="I258" s="35"/>
      <c r="J258" s="36"/>
      <c r="L258" s="35"/>
      <c r="M258" s="35"/>
    </row>
    <row r="259" spans="3:13" ht="25.8">
      <c r="C259" s="35"/>
      <c r="D259" s="94" t="s">
        <v>18</v>
      </c>
      <c r="E259" s="94" t="s">
        <v>59</v>
      </c>
      <c r="F259" s="99"/>
      <c r="G259" s="35"/>
      <c r="H259" s="35"/>
      <c r="I259" s="35"/>
      <c r="J259" s="36"/>
      <c r="L259" s="35"/>
      <c r="M259" s="35"/>
    </row>
    <row r="260" spans="3:13" ht="25.8">
      <c r="C260" s="35"/>
      <c r="D260" s="94" t="s">
        <v>18</v>
      </c>
      <c r="E260" s="94" t="s">
        <v>59</v>
      </c>
      <c r="F260" s="99"/>
      <c r="G260" s="35"/>
      <c r="H260" s="35"/>
      <c r="I260" s="35"/>
      <c r="J260" s="36"/>
      <c r="L260" s="35"/>
      <c r="M260" s="35"/>
    </row>
    <row r="261" spans="3:13" ht="25.8">
      <c r="C261" s="35"/>
      <c r="D261" s="94" t="s">
        <v>18</v>
      </c>
      <c r="E261" s="94" t="s">
        <v>59</v>
      </c>
      <c r="F261" s="99"/>
      <c r="G261" s="35"/>
      <c r="H261" s="35"/>
      <c r="I261" s="35"/>
      <c r="J261" s="36"/>
      <c r="L261" s="35"/>
      <c r="M261" s="35"/>
    </row>
    <row r="262" spans="3:13" ht="25.8">
      <c r="C262" s="35"/>
      <c r="D262" s="94" t="s">
        <v>18</v>
      </c>
      <c r="E262" s="94" t="s">
        <v>59</v>
      </c>
      <c r="F262" s="99"/>
      <c r="G262" s="35"/>
      <c r="H262" s="35"/>
      <c r="I262" s="35"/>
      <c r="J262" s="36"/>
      <c r="L262" s="35"/>
      <c r="M262" s="35"/>
    </row>
    <row r="263" spans="3:13" ht="25.8">
      <c r="C263" s="35"/>
      <c r="D263" s="94" t="s">
        <v>18</v>
      </c>
      <c r="E263" s="94" t="s">
        <v>59</v>
      </c>
      <c r="F263" s="99"/>
      <c r="G263" s="35"/>
      <c r="H263" s="35"/>
      <c r="I263" s="35"/>
      <c r="J263" s="36"/>
      <c r="L263" s="35"/>
      <c r="M263" s="35"/>
    </row>
    <row r="264" spans="3:13" ht="25.8">
      <c r="C264" s="35"/>
      <c r="D264" s="94" t="s">
        <v>18</v>
      </c>
      <c r="E264" s="94" t="s">
        <v>59</v>
      </c>
      <c r="F264" s="99"/>
      <c r="G264" s="35"/>
      <c r="H264" s="35"/>
      <c r="I264" s="35"/>
      <c r="J264" s="36"/>
      <c r="L264" s="35"/>
      <c r="M264" s="35"/>
    </row>
    <row r="265" spans="3:13" ht="25.8">
      <c r="C265" s="35"/>
      <c r="D265" s="94" t="s">
        <v>18</v>
      </c>
      <c r="E265" s="94" t="s">
        <v>59</v>
      </c>
      <c r="F265" s="99"/>
      <c r="G265" s="35"/>
      <c r="H265" s="35"/>
      <c r="I265" s="35"/>
      <c r="J265" s="36"/>
      <c r="L265" s="35"/>
      <c r="M265" s="35"/>
    </row>
    <row r="266" spans="3:13" ht="25.8">
      <c r="C266" s="35"/>
      <c r="D266" s="94" t="s">
        <v>18</v>
      </c>
      <c r="E266" s="94" t="s">
        <v>59</v>
      </c>
      <c r="F266" s="99"/>
      <c r="G266" s="35"/>
      <c r="H266" s="35"/>
      <c r="I266" s="35"/>
      <c r="J266" s="36"/>
      <c r="L266" s="35"/>
      <c r="M266" s="35"/>
    </row>
    <row r="267" spans="3:13" ht="25.8">
      <c r="C267" s="35"/>
      <c r="D267" s="94" t="s">
        <v>18</v>
      </c>
      <c r="E267" s="94" t="s">
        <v>59</v>
      </c>
      <c r="F267" s="99"/>
      <c r="G267" s="35"/>
      <c r="H267" s="35"/>
      <c r="I267" s="35"/>
      <c r="J267" s="36"/>
      <c r="L267" s="35"/>
      <c r="M267" s="35"/>
    </row>
    <row r="268" spans="3:13" ht="25.8">
      <c r="C268" s="35"/>
      <c r="D268" s="94" t="s">
        <v>18</v>
      </c>
      <c r="E268" s="94" t="s">
        <v>59</v>
      </c>
      <c r="F268" s="99"/>
      <c r="G268" s="35"/>
      <c r="H268" s="35"/>
      <c r="I268" s="35"/>
      <c r="J268" s="36"/>
      <c r="L268" s="35"/>
      <c r="M268" s="35"/>
    </row>
    <row r="269" spans="3:13" ht="25.8">
      <c r="C269" s="35"/>
      <c r="D269" s="94" t="s">
        <v>18</v>
      </c>
      <c r="E269" s="94" t="s">
        <v>59</v>
      </c>
      <c r="F269" s="99"/>
      <c r="G269" s="35"/>
      <c r="H269" s="35"/>
      <c r="I269" s="35"/>
      <c r="J269" s="36"/>
      <c r="L269" s="35"/>
      <c r="M269" s="35"/>
    </row>
    <row r="270" spans="3:13" ht="25.8">
      <c r="C270" s="35"/>
      <c r="D270" s="94" t="s">
        <v>18</v>
      </c>
      <c r="E270" s="94" t="s">
        <v>59</v>
      </c>
      <c r="F270" s="99"/>
      <c r="G270" s="35"/>
      <c r="H270" s="35"/>
      <c r="I270" s="35"/>
      <c r="J270" s="36"/>
      <c r="L270" s="35"/>
      <c r="M270" s="35"/>
    </row>
    <row r="271" spans="3:13" ht="25.8">
      <c r="C271" s="35"/>
      <c r="D271" s="94" t="s">
        <v>18</v>
      </c>
      <c r="E271" s="94" t="s">
        <v>59</v>
      </c>
      <c r="F271" s="99"/>
      <c r="G271" s="35"/>
      <c r="H271" s="35"/>
      <c r="I271" s="35"/>
      <c r="J271" s="36"/>
      <c r="L271" s="35"/>
      <c r="M271" s="35"/>
    </row>
    <row r="272" spans="3:13" ht="25.8">
      <c r="C272" s="35"/>
      <c r="D272" s="94" t="s">
        <v>18</v>
      </c>
      <c r="E272" s="94" t="s">
        <v>59</v>
      </c>
      <c r="F272" s="99"/>
      <c r="G272" s="35"/>
      <c r="H272" s="35"/>
      <c r="I272" s="35"/>
      <c r="J272" s="36"/>
      <c r="L272" s="35"/>
      <c r="M272" s="35"/>
    </row>
    <row r="273" spans="3:13" ht="25.8">
      <c r="C273" s="35"/>
      <c r="D273" s="94" t="s">
        <v>18</v>
      </c>
      <c r="E273" s="94" t="s">
        <v>59</v>
      </c>
      <c r="F273" s="99"/>
      <c r="G273" s="35"/>
      <c r="H273" s="35"/>
      <c r="I273" s="35"/>
      <c r="J273" s="36"/>
      <c r="L273" s="35"/>
      <c r="M273" s="35"/>
    </row>
    <row r="274" spans="3:13" ht="25.8">
      <c r="C274" s="35"/>
      <c r="D274" s="94" t="s">
        <v>18</v>
      </c>
      <c r="E274" s="94" t="s">
        <v>59</v>
      </c>
      <c r="F274" s="99"/>
      <c r="G274" s="35"/>
      <c r="H274" s="35"/>
      <c r="I274" s="35"/>
      <c r="J274" s="36"/>
      <c r="L274" s="35"/>
      <c r="M274" s="35"/>
    </row>
    <row r="275" spans="3:13" ht="25.8">
      <c r="C275" s="35"/>
      <c r="D275" s="94" t="s">
        <v>18</v>
      </c>
      <c r="E275" s="94" t="s">
        <v>59</v>
      </c>
      <c r="F275" s="99"/>
      <c r="G275" s="35"/>
      <c r="H275" s="35"/>
      <c r="I275" s="35"/>
      <c r="J275" s="36"/>
      <c r="L275" s="35"/>
      <c r="M275" s="35"/>
    </row>
    <row r="276" spans="3:13" ht="25.8">
      <c r="C276" s="35"/>
      <c r="D276" s="94" t="s">
        <v>18</v>
      </c>
      <c r="E276" s="94" t="s">
        <v>59</v>
      </c>
      <c r="F276" s="99"/>
      <c r="G276" s="35"/>
      <c r="H276" s="35"/>
      <c r="I276" s="35"/>
      <c r="J276" s="36"/>
      <c r="L276" s="35"/>
      <c r="M276" s="35"/>
    </row>
    <row r="277" spans="3:13" ht="25.8">
      <c r="C277" s="35"/>
      <c r="D277" s="94" t="s">
        <v>18</v>
      </c>
      <c r="E277" s="94" t="s">
        <v>59</v>
      </c>
      <c r="F277" s="99"/>
      <c r="G277" s="35"/>
      <c r="H277" s="35"/>
      <c r="I277" s="35"/>
      <c r="J277" s="36"/>
      <c r="L277" s="35"/>
      <c r="M277" s="35"/>
    </row>
    <row r="278" spans="3:13" ht="25.8">
      <c r="C278" s="35"/>
      <c r="D278" s="94" t="s">
        <v>18</v>
      </c>
      <c r="E278" s="94" t="s">
        <v>59</v>
      </c>
      <c r="F278" s="99"/>
      <c r="G278" s="35"/>
      <c r="H278" s="35"/>
      <c r="I278" s="35"/>
      <c r="J278" s="36"/>
      <c r="L278" s="35"/>
      <c r="M278" s="35"/>
    </row>
    <row r="279" spans="3:13" ht="25.8">
      <c r="C279" s="35"/>
      <c r="D279" s="94" t="s">
        <v>18</v>
      </c>
      <c r="E279" s="94" t="s">
        <v>59</v>
      </c>
      <c r="F279" s="99"/>
      <c r="G279" s="35"/>
      <c r="H279" s="35"/>
      <c r="I279" s="35"/>
      <c r="J279" s="36"/>
      <c r="L279" s="35"/>
      <c r="M279" s="35"/>
    </row>
    <row r="280" spans="3:13" ht="25.8">
      <c r="C280" s="35"/>
      <c r="D280" s="94" t="s">
        <v>18</v>
      </c>
      <c r="E280" s="94" t="s">
        <v>59</v>
      </c>
      <c r="F280" s="99"/>
      <c r="G280" s="35"/>
      <c r="H280" s="35"/>
      <c r="I280" s="35"/>
      <c r="J280" s="36"/>
      <c r="L280" s="35"/>
      <c r="M280" s="35"/>
    </row>
    <row r="281" spans="3:13" ht="25.8">
      <c r="C281" s="35"/>
      <c r="D281" s="94" t="s">
        <v>18</v>
      </c>
      <c r="E281" s="94" t="s">
        <v>59</v>
      </c>
      <c r="F281" s="99"/>
      <c r="G281" s="35"/>
      <c r="H281" s="35"/>
      <c r="I281" s="35"/>
      <c r="J281" s="36"/>
      <c r="L281" s="35"/>
      <c r="M281" s="35"/>
    </row>
    <row r="282" spans="3:13" ht="25.8">
      <c r="C282" s="35"/>
      <c r="D282" s="94" t="s">
        <v>18</v>
      </c>
      <c r="E282" s="94" t="s">
        <v>59</v>
      </c>
      <c r="F282" s="99"/>
      <c r="G282" s="35"/>
      <c r="H282" s="35"/>
      <c r="I282" s="35"/>
      <c r="J282" s="36"/>
      <c r="L282" s="35"/>
      <c r="M282" s="35"/>
    </row>
    <row r="283" spans="3:13" ht="25.8">
      <c r="C283" s="35"/>
      <c r="D283" s="94" t="s">
        <v>18</v>
      </c>
      <c r="E283" s="94" t="s">
        <v>59</v>
      </c>
      <c r="F283" s="99"/>
      <c r="G283" s="35"/>
      <c r="H283" s="35"/>
      <c r="I283" s="35"/>
      <c r="J283" s="36"/>
      <c r="L283" s="35"/>
      <c r="M283" s="35"/>
    </row>
    <row r="284" spans="3:13" ht="25.8">
      <c r="C284" s="35"/>
      <c r="D284" s="94" t="s">
        <v>18</v>
      </c>
      <c r="E284" s="94" t="s">
        <v>59</v>
      </c>
      <c r="F284" s="99"/>
      <c r="G284" s="35"/>
      <c r="H284" s="35"/>
      <c r="I284" s="35"/>
      <c r="J284" s="36"/>
      <c r="L284" s="35"/>
      <c r="M284" s="35"/>
    </row>
    <row r="285" spans="3:13" ht="25.8">
      <c r="C285" s="35"/>
      <c r="D285" s="94" t="s">
        <v>18</v>
      </c>
      <c r="E285" s="94" t="s">
        <v>59</v>
      </c>
      <c r="F285" s="99"/>
      <c r="G285" s="35"/>
      <c r="H285" s="35"/>
      <c r="I285" s="35"/>
      <c r="J285" s="36"/>
      <c r="L285" s="35"/>
      <c r="M285" s="35"/>
    </row>
    <row r="286" spans="3:13" ht="25.8">
      <c r="C286" s="35"/>
      <c r="D286" s="94" t="s">
        <v>18</v>
      </c>
      <c r="E286" s="94" t="s">
        <v>59</v>
      </c>
      <c r="F286" s="99"/>
      <c r="G286" s="35"/>
      <c r="H286" s="35"/>
      <c r="I286" s="35"/>
      <c r="J286" s="36"/>
      <c r="L286" s="35"/>
      <c r="M286" s="35"/>
    </row>
    <row r="287" spans="3:13" ht="25.8">
      <c r="C287" s="35"/>
      <c r="D287" s="94" t="s">
        <v>18</v>
      </c>
      <c r="E287" s="94" t="s">
        <v>59</v>
      </c>
      <c r="F287" s="99"/>
      <c r="G287" s="35"/>
      <c r="H287" s="35"/>
      <c r="I287" s="35"/>
      <c r="J287" s="36"/>
      <c r="L287" s="35"/>
      <c r="M287" s="35"/>
    </row>
    <row r="288" spans="3:13" ht="25.8">
      <c r="C288" s="35"/>
      <c r="D288" s="94" t="s">
        <v>18</v>
      </c>
      <c r="E288" s="94" t="s">
        <v>59</v>
      </c>
      <c r="F288" s="99"/>
      <c r="G288" s="35"/>
      <c r="H288" s="35"/>
      <c r="I288" s="35"/>
      <c r="J288" s="36"/>
      <c r="L288" s="35"/>
      <c r="M288" s="35"/>
    </row>
    <row r="289" spans="3:13" ht="25.8">
      <c r="C289" s="35"/>
      <c r="D289" s="94" t="s">
        <v>18</v>
      </c>
      <c r="E289" s="94" t="s">
        <v>59</v>
      </c>
      <c r="F289" s="99"/>
      <c r="G289" s="35"/>
      <c r="H289" s="35"/>
      <c r="I289" s="35"/>
      <c r="J289" s="36"/>
      <c r="L289" s="35"/>
      <c r="M289" s="35"/>
    </row>
    <row r="290" spans="3:13" ht="25.8">
      <c r="C290" s="35"/>
      <c r="D290" s="94" t="s">
        <v>18</v>
      </c>
      <c r="E290" s="94" t="s">
        <v>59</v>
      </c>
      <c r="F290" s="99"/>
      <c r="G290" s="35"/>
      <c r="H290" s="35"/>
      <c r="I290" s="35"/>
      <c r="J290" s="36"/>
      <c r="L290" s="35"/>
      <c r="M290" s="35"/>
    </row>
    <row r="291" spans="3:13" ht="25.8">
      <c r="C291" s="35"/>
      <c r="D291" s="94" t="s">
        <v>18</v>
      </c>
      <c r="E291" s="94" t="s">
        <v>59</v>
      </c>
      <c r="F291" s="99"/>
      <c r="G291" s="35"/>
      <c r="H291" s="35"/>
      <c r="I291" s="35"/>
      <c r="J291" s="36"/>
      <c r="L291" s="35"/>
      <c r="M291" s="35"/>
    </row>
    <row r="292" spans="3:13" ht="25.8">
      <c r="C292" s="35"/>
      <c r="D292" s="94" t="s">
        <v>18</v>
      </c>
      <c r="E292" s="94" t="s">
        <v>59</v>
      </c>
      <c r="F292" s="99"/>
      <c r="G292" s="35"/>
      <c r="H292" s="35"/>
      <c r="I292" s="35"/>
      <c r="J292" s="36"/>
      <c r="L292" s="35"/>
      <c r="M292" s="35"/>
    </row>
    <row r="293" spans="3:13" ht="25.8">
      <c r="C293" s="35"/>
      <c r="D293" s="94" t="s">
        <v>18</v>
      </c>
      <c r="E293" s="94" t="s">
        <v>59</v>
      </c>
      <c r="F293" s="99"/>
      <c r="G293" s="35"/>
      <c r="H293" s="35"/>
      <c r="I293" s="35"/>
      <c r="J293" s="36"/>
      <c r="L293" s="35"/>
      <c r="M293" s="35"/>
    </row>
    <row r="294" spans="3:13" ht="25.8">
      <c r="C294" s="35"/>
      <c r="D294" s="94" t="s">
        <v>18</v>
      </c>
      <c r="E294" s="94" t="s">
        <v>59</v>
      </c>
      <c r="F294" s="99"/>
      <c r="G294" s="35"/>
      <c r="H294" s="35"/>
      <c r="I294" s="35"/>
      <c r="J294" s="36"/>
      <c r="L294" s="35"/>
      <c r="M294" s="35"/>
    </row>
    <row r="295" spans="3:13" ht="25.8">
      <c r="C295" s="35"/>
      <c r="D295" s="94" t="s">
        <v>18</v>
      </c>
      <c r="E295" s="94" t="s">
        <v>59</v>
      </c>
      <c r="F295" s="99"/>
      <c r="G295" s="35"/>
      <c r="H295" s="35"/>
      <c r="I295" s="35"/>
      <c r="J295" s="36"/>
      <c r="L295" s="35"/>
      <c r="M295" s="35"/>
    </row>
    <row r="296" spans="3:13" ht="25.8">
      <c r="C296" s="35"/>
      <c r="D296" s="94" t="s">
        <v>18</v>
      </c>
      <c r="E296" s="94" t="s">
        <v>59</v>
      </c>
      <c r="F296" s="99"/>
      <c r="G296" s="35"/>
      <c r="H296" s="35"/>
      <c r="I296" s="35"/>
      <c r="J296" s="36"/>
      <c r="L296" s="35"/>
      <c r="M296" s="35"/>
    </row>
    <row r="297" spans="3:13" ht="25.8">
      <c r="C297" s="35"/>
      <c r="D297" s="94" t="s">
        <v>18</v>
      </c>
      <c r="E297" s="94" t="s">
        <v>59</v>
      </c>
      <c r="F297" s="99"/>
      <c r="G297" s="35"/>
      <c r="H297" s="35"/>
      <c r="I297" s="35"/>
      <c r="J297" s="36"/>
      <c r="L297" s="35"/>
      <c r="M297" s="35"/>
    </row>
    <row r="298" spans="3:13" ht="25.8">
      <c r="C298" s="35"/>
      <c r="D298" s="94" t="s">
        <v>18</v>
      </c>
      <c r="E298" s="94" t="s">
        <v>59</v>
      </c>
      <c r="F298" s="99"/>
      <c r="G298" s="35"/>
      <c r="H298" s="35"/>
      <c r="I298" s="35"/>
      <c r="J298" s="36"/>
      <c r="L298" s="35"/>
      <c r="M298" s="35"/>
    </row>
    <row r="299" spans="3:13" ht="25.8">
      <c r="C299" s="35"/>
      <c r="D299" s="94" t="s">
        <v>18</v>
      </c>
      <c r="E299" s="94" t="s">
        <v>59</v>
      </c>
      <c r="F299" s="99"/>
      <c r="G299" s="35"/>
      <c r="H299" s="35"/>
      <c r="I299" s="35"/>
      <c r="J299" s="36"/>
      <c r="L299" s="35"/>
      <c r="M299" s="35"/>
    </row>
    <row r="300" spans="3:13" ht="25.8">
      <c r="C300" s="35"/>
      <c r="D300" s="94" t="s">
        <v>18</v>
      </c>
      <c r="E300" s="94" t="s">
        <v>59</v>
      </c>
      <c r="F300" s="99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105" priority="3" operator="containsText" text="Red KOP">
      <formula>NOT(ISERROR(SEARCH("Red KOP",F1)))</formula>
    </cfRule>
    <cfRule type="containsText" dxfId="104" priority="4" operator="containsText" text="Blue KOP">
      <formula>NOT(ISERROR(SEARCH("Blue KOP",F1)))</formula>
    </cfRule>
    <cfRule type="containsText" dxfId="103" priority="5" operator="containsText" text="Purple">
      <formula>NOT(ISERROR(SEARCH("Purple",F1)))</formula>
    </cfRule>
    <cfRule type="containsText" dxfId="102" priority="6" operator="containsText" text="Green">
      <formula>NOT(ISERROR(SEARCH("Green",F1)))</formula>
    </cfRule>
    <cfRule type="containsText" dxfId="101" priority="7" operator="containsText" text="Red">
      <formula>NOT(ISERROR(SEARCH("Red",F1)))</formula>
    </cfRule>
    <cfRule type="containsText" dxfId="100" priority="8" operator="containsText" text="White 50G">
      <formula>NOT(ISERROR(SEARCH("White 50G",F1)))</formula>
    </cfRule>
    <cfRule type="containsText" dxfId="99" priority="9" operator="containsText" text="White 25G">
      <formula>NOT(ISERROR(SEARCH("White 25G",F1)))</formula>
    </cfRule>
    <cfRule type="containsText" dxfId="98" priority="10" operator="containsText" text="Green Popp">
      <formula>NOT(ISERROR(SEARCH("Green Popp",F1)))</formula>
    </cfRule>
    <cfRule type="containsText" dxfId="97" priority="11" operator="containsText" text="Blue Popp">
      <formula>NOT(ISERROR(SEARCH("Blue Popp",F1)))</formula>
    </cfRule>
    <cfRule type="containsText" dxfId="96" priority="12" operator="containsText" text="Purple Popp">
      <formula>NOT(ISERROR(SEARCH("Purple Popp",F1)))</formula>
    </cfRule>
  </conditionalFormatting>
  <conditionalFormatting sqref="J1:J1048576">
    <cfRule type="beginsWith" dxfId="95" priority="2" operator="beginsWith" text="0">
      <formula>LEFT(J1,LEN("0"))="0"</formula>
    </cfRule>
  </conditionalFormatting>
  <conditionalFormatting sqref="I1:I1048576">
    <cfRule type="beginsWith" dxfId="94" priority="1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7:F1048576 F2:F5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N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4" ht="25.8">
      <c r="C2" s="144" t="s">
        <v>7</v>
      </c>
      <c r="D2" s="144"/>
      <c r="E2" s="144"/>
      <c r="F2" s="144"/>
      <c r="G2" s="144"/>
      <c r="H2" s="144"/>
      <c r="I2" s="144"/>
      <c r="J2" s="144"/>
      <c r="K2" s="1"/>
    </row>
    <row r="3" spans="3:14" ht="27.75" customHeight="1">
      <c r="C3" s="144"/>
      <c r="D3" s="144"/>
      <c r="E3" s="144"/>
      <c r="F3" s="144"/>
      <c r="G3" s="144"/>
      <c r="H3" s="144"/>
      <c r="I3" s="144"/>
      <c r="J3" s="144"/>
      <c r="K3" s="1"/>
      <c r="L3" s="135" t="s">
        <v>16</v>
      </c>
      <c r="M3" s="135"/>
    </row>
    <row r="4" spans="3:14" ht="27.75" customHeight="1">
      <c r="C4" s="144"/>
      <c r="D4" s="144"/>
      <c r="E4" s="144"/>
      <c r="F4" s="144"/>
      <c r="G4" s="144"/>
      <c r="H4" s="144"/>
      <c r="I4" s="144"/>
      <c r="J4" s="144"/>
      <c r="K4" s="1"/>
      <c r="L4" s="136"/>
      <c r="M4" s="136"/>
    </row>
    <row r="5" spans="3:14" ht="25.8">
      <c r="C5" s="134"/>
      <c r="D5" s="134"/>
      <c r="E5" s="134"/>
      <c r="F5" s="134"/>
      <c r="G5" s="134"/>
      <c r="H5" s="134"/>
      <c r="I5" s="134"/>
      <c r="J5" s="134"/>
      <c r="K5" s="1"/>
      <c r="L5" s="90"/>
      <c r="M5" s="90"/>
    </row>
    <row r="6" spans="3:14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98" t="s">
        <v>15</v>
      </c>
      <c r="K6" s="1"/>
      <c r="L6" s="122" t="s">
        <v>1</v>
      </c>
      <c r="M6" s="123" t="s">
        <v>0</v>
      </c>
    </row>
    <row r="7" spans="3:14" ht="25.8">
      <c r="C7" s="37">
        <v>46174</v>
      </c>
      <c r="D7" s="94" t="s">
        <v>23</v>
      </c>
      <c r="E7" s="94" t="s">
        <v>4</v>
      </c>
      <c r="F7" s="116" t="s">
        <v>24</v>
      </c>
      <c r="G7" s="94" t="s">
        <v>25</v>
      </c>
      <c r="H7" s="94" t="s">
        <v>89</v>
      </c>
      <c r="I7" s="130">
        <v>101</v>
      </c>
      <c r="J7" s="130">
        <v>101</v>
      </c>
      <c r="K7" s="1"/>
      <c r="L7" s="35"/>
      <c r="M7" s="35"/>
    </row>
    <row r="8" spans="3:14" ht="25.8">
      <c r="C8" s="37">
        <v>46174</v>
      </c>
      <c r="D8" s="94" t="s">
        <v>23</v>
      </c>
      <c r="E8" s="94" t="s">
        <v>4</v>
      </c>
      <c r="F8" s="116" t="s">
        <v>37</v>
      </c>
      <c r="G8" s="94" t="s">
        <v>25</v>
      </c>
      <c r="H8" s="94" t="s">
        <v>89</v>
      </c>
      <c r="I8" s="130">
        <v>62</v>
      </c>
      <c r="J8" s="130">
        <v>62</v>
      </c>
      <c r="K8" s="1"/>
      <c r="L8" s="35"/>
      <c r="M8" s="35"/>
    </row>
    <row r="9" spans="3:14" ht="25.8">
      <c r="C9" s="37">
        <v>46174</v>
      </c>
      <c r="D9" s="94" t="s">
        <v>23</v>
      </c>
      <c r="E9" s="94" t="s">
        <v>4</v>
      </c>
      <c r="F9" s="116" t="s">
        <v>31</v>
      </c>
      <c r="G9" s="94" t="s">
        <v>25</v>
      </c>
      <c r="H9" s="94" t="s">
        <v>89</v>
      </c>
      <c r="I9" s="130">
        <v>0</v>
      </c>
      <c r="J9" s="130">
        <v>0</v>
      </c>
      <c r="K9" s="1"/>
      <c r="L9" s="35"/>
      <c r="M9" s="35"/>
    </row>
    <row r="10" spans="3:14" ht="25.8">
      <c r="C10" s="37">
        <v>46174</v>
      </c>
      <c r="D10" s="94" t="s">
        <v>23</v>
      </c>
      <c r="E10" s="94" t="s">
        <v>4</v>
      </c>
      <c r="F10" s="116" t="s">
        <v>40</v>
      </c>
      <c r="G10" s="94" t="s">
        <v>25</v>
      </c>
      <c r="H10" s="94" t="s">
        <v>89</v>
      </c>
      <c r="I10" s="130">
        <v>0</v>
      </c>
      <c r="J10" s="130">
        <v>0</v>
      </c>
      <c r="K10" s="1"/>
      <c r="L10" s="35"/>
      <c r="M10" s="35"/>
    </row>
    <row r="11" spans="3:14" ht="25.8">
      <c r="C11" s="37">
        <v>46174</v>
      </c>
      <c r="D11" s="94" t="s">
        <v>23</v>
      </c>
      <c r="E11" s="94" t="s">
        <v>4</v>
      </c>
      <c r="F11" s="116" t="s">
        <v>70</v>
      </c>
      <c r="G11" s="94" t="s">
        <v>25</v>
      </c>
      <c r="H11" s="94" t="s">
        <v>89</v>
      </c>
      <c r="I11" s="130">
        <v>11</v>
      </c>
      <c r="J11" s="130">
        <v>11</v>
      </c>
      <c r="K11" s="1"/>
      <c r="L11" s="35"/>
      <c r="M11" s="35"/>
    </row>
    <row r="12" spans="3:14" ht="25.8">
      <c r="C12" s="37">
        <v>46174</v>
      </c>
      <c r="D12" s="94" t="s">
        <v>23</v>
      </c>
      <c r="E12" s="94" t="s">
        <v>4</v>
      </c>
      <c r="F12" s="116" t="s">
        <v>28</v>
      </c>
      <c r="G12" s="94" t="s">
        <v>25</v>
      </c>
      <c r="H12" s="94" t="s">
        <v>89</v>
      </c>
      <c r="I12" s="130">
        <v>3</v>
      </c>
      <c r="J12" s="130">
        <v>3</v>
      </c>
      <c r="K12" s="1"/>
      <c r="L12" s="35"/>
      <c r="M12" s="35"/>
    </row>
    <row r="13" spans="3:14" ht="25.8">
      <c r="C13" s="37">
        <v>46174</v>
      </c>
      <c r="D13" s="94" t="s">
        <v>23</v>
      </c>
      <c r="E13" s="94" t="s">
        <v>4</v>
      </c>
      <c r="F13" s="116" t="s">
        <v>36</v>
      </c>
      <c r="G13" s="94" t="s">
        <v>25</v>
      </c>
      <c r="H13" s="94" t="s">
        <v>89</v>
      </c>
      <c r="I13" s="130">
        <v>2</v>
      </c>
      <c r="J13" s="130">
        <v>2</v>
      </c>
      <c r="K13" s="1"/>
      <c r="L13" s="94"/>
      <c r="M13" s="94"/>
      <c r="N13" s="126"/>
    </row>
    <row r="14" spans="3:14" ht="25.8">
      <c r="C14" s="37">
        <v>46174</v>
      </c>
      <c r="D14" s="94" t="s">
        <v>23</v>
      </c>
      <c r="E14" s="94" t="s">
        <v>4</v>
      </c>
      <c r="F14" s="116" t="s">
        <v>71</v>
      </c>
      <c r="G14" s="94" t="s">
        <v>25</v>
      </c>
      <c r="H14" s="94" t="s">
        <v>89</v>
      </c>
      <c r="I14" s="130">
        <v>35</v>
      </c>
      <c r="J14" s="130">
        <v>35</v>
      </c>
      <c r="K14" s="1"/>
      <c r="L14" s="94"/>
      <c r="M14" s="94"/>
      <c r="N14" s="126"/>
    </row>
    <row r="15" spans="3:14" ht="25.8">
      <c r="C15" s="111"/>
      <c r="D15" s="94" t="s">
        <v>23</v>
      </c>
      <c r="E15" s="94" t="s">
        <v>4</v>
      </c>
      <c r="F15" s="116"/>
      <c r="G15" s="94"/>
      <c r="H15" s="94"/>
      <c r="I15" s="130"/>
      <c r="J15" s="130"/>
      <c r="K15" s="1"/>
      <c r="L15" s="94"/>
      <c r="M15" s="94"/>
      <c r="N15" s="126"/>
    </row>
    <row r="16" spans="3:14" ht="25.8">
      <c r="C16" s="111"/>
      <c r="D16" s="94" t="s">
        <v>23</v>
      </c>
      <c r="E16" s="94" t="s">
        <v>4</v>
      </c>
      <c r="F16" s="116"/>
      <c r="G16" s="94"/>
      <c r="H16" s="94"/>
      <c r="I16" s="130"/>
      <c r="J16" s="130"/>
      <c r="K16" s="1"/>
      <c r="L16" s="94"/>
      <c r="M16" s="94"/>
      <c r="N16" s="126"/>
    </row>
    <row r="17" spans="3:14" ht="25.8">
      <c r="C17" s="111"/>
      <c r="D17" s="94" t="s">
        <v>23</v>
      </c>
      <c r="E17" s="94" t="s">
        <v>4</v>
      </c>
      <c r="F17" s="116"/>
      <c r="G17" s="94"/>
      <c r="H17" s="94"/>
      <c r="I17" s="130"/>
      <c r="J17" s="130"/>
      <c r="K17" s="1"/>
      <c r="L17" s="94"/>
      <c r="M17" s="94"/>
      <c r="N17" s="126"/>
    </row>
    <row r="18" spans="3:14" ht="25.8">
      <c r="C18" s="106"/>
      <c r="D18" s="94" t="s">
        <v>23</v>
      </c>
      <c r="E18" s="94" t="s">
        <v>4</v>
      </c>
      <c r="F18" s="116"/>
      <c r="G18" s="94"/>
      <c r="H18" s="94"/>
      <c r="I18" s="130"/>
      <c r="J18" s="130"/>
      <c r="K18" s="1"/>
      <c r="L18" s="94"/>
      <c r="M18" s="94"/>
      <c r="N18" s="126"/>
    </row>
    <row r="19" spans="3:14" ht="25.8">
      <c r="C19" s="111"/>
      <c r="D19" s="94" t="s">
        <v>23</v>
      </c>
      <c r="E19" s="94" t="s">
        <v>4</v>
      </c>
      <c r="F19" s="116"/>
      <c r="G19" s="94"/>
      <c r="H19" s="94"/>
      <c r="I19" s="130"/>
      <c r="J19" s="130"/>
      <c r="K19" s="1"/>
      <c r="L19" s="94"/>
      <c r="M19" s="94"/>
      <c r="N19" s="126"/>
    </row>
    <row r="20" spans="3:14" ht="25.8">
      <c r="C20" s="106"/>
      <c r="D20" s="94" t="s">
        <v>23</v>
      </c>
      <c r="E20" s="94" t="s">
        <v>4</v>
      </c>
      <c r="F20" s="116"/>
      <c r="G20" s="94"/>
      <c r="H20" s="94"/>
      <c r="I20" s="130"/>
      <c r="J20" s="130"/>
      <c r="K20" s="1"/>
      <c r="L20" s="94"/>
      <c r="M20" s="94"/>
      <c r="N20" s="126"/>
    </row>
    <row r="21" spans="3:14" ht="26.25" customHeight="1">
      <c r="C21" s="106"/>
      <c r="D21" s="94" t="s">
        <v>23</v>
      </c>
      <c r="E21" s="94" t="s">
        <v>4</v>
      </c>
      <c r="F21" s="116"/>
      <c r="G21" s="94"/>
      <c r="H21" s="94"/>
      <c r="I21" s="130"/>
      <c r="J21" s="130"/>
      <c r="K21" s="1"/>
      <c r="L21" s="94"/>
      <c r="M21" s="94"/>
      <c r="N21" s="126"/>
    </row>
    <row r="22" spans="3:14" ht="26.25" customHeight="1">
      <c r="C22" s="106"/>
      <c r="D22" s="94" t="s">
        <v>23</v>
      </c>
      <c r="E22" s="94" t="s">
        <v>4</v>
      </c>
      <c r="F22" s="116"/>
      <c r="G22" s="94"/>
      <c r="H22" s="94"/>
      <c r="I22" s="130"/>
      <c r="J22" s="130"/>
      <c r="K22" s="1"/>
      <c r="L22" s="94"/>
      <c r="M22" s="94"/>
      <c r="N22" s="126"/>
    </row>
    <row r="23" spans="3:14" ht="26.25" customHeight="1">
      <c r="C23" s="106"/>
      <c r="D23" s="94" t="s">
        <v>23</v>
      </c>
      <c r="E23" s="94" t="s">
        <v>4</v>
      </c>
      <c r="F23" s="116"/>
      <c r="G23" s="94"/>
      <c r="H23" s="94"/>
      <c r="I23" s="130"/>
      <c r="J23" s="130"/>
      <c r="K23" s="1"/>
      <c r="L23" s="94"/>
      <c r="M23" s="94"/>
      <c r="N23" s="126"/>
    </row>
    <row r="24" spans="3:14" ht="26.25" customHeight="1">
      <c r="C24" s="106"/>
      <c r="D24" s="94" t="s">
        <v>23</v>
      </c>
      <c r="E24" s="94" t="s">
        <v>4</v>
      </c>
      <c r="F24" s="116"/>
      <c r="G24" s="94"/>
      <c r="H24" s="94"/>
      <c r="I24" s="130"/>
      <c r="J24" s="130"/>
      <c r="K24" s="1"/>
      <c r="L24" s="94"/>
      <c r="M24" s="94"/>
      <c r="N24" s="126"/>
    </row>
    <row r="25" spans="3:14" ht="26.25" customHeight="1">
      <c r="C25" s="106"/>
      <c r="D25" s="94" t="s">
        <v>23</v>
      </c>
      <c r="E25" s="94" t="s">
        <v>4</v>
      </c>
      <c r="F25" s="116"/>
      <c r="G25" s="94"/>
      <c r="H25" s="94"/>
      <c r="I25" s="130"/>
      <c r="J25" s="130"/>
      <c r="K25" s="1"/>
      <c r="L25" s="94"/>
      <c r="M25" s="94"/>
      <c r="N25" s="126"/>
    </row>
    <row r="26" spans="3:14" ht="26.25" customHeight="1">
      <c r="C26" s="106"/>
      <c r="D26" s="94" t="s">
        <v>23</v>
      </c>
      <c r="E26" s="94" t="s">
        <v>4</v>
      </c>
      <c r="F26" s="116"/>
      <c r="G26" s="94"/>
      <c r="H26" s="94"/>
      <c r="I26" s="130"/>
      <c r="J26" s="130"/>
      <c r="K26" s="1"/>
      <c r="L26" s="94"/>
      <c r="M26" s="94"/>
      <c r="N26" s="126"/>
    </row>
    <row r="27" spans="3:14" ht="26.25" customHeight="1">
      <c r="C27" s="111"/>
      <c r="D27" s="94" t="s">
        <v>23</v>
      </c>
      <c r="E27" s="94" t="s">
        <v>4</v>
      </c>
      <c r="F27" s="116"/>
      <c r="G27" s="94"/>
      <c r="H27" s="94"/>
      <c r="I27" s="130"/>
      <c r="J27" s="130"/>
      <c r="K27" s="1"/>
      <c r="L27" s="35"/>
      <c r="M27" s="35"/>
    </row>
    <row r="28" spans="3:14" ht="26.25" customHeight="1">
      <c r="C28" s="111"/>
      <c r="D28" s="94" t="s">
        <v>23</v>
      </c>
      <c r="E28" s="94" t="s">
        <v>4</v>
      </c>
      <c r="F28" s="116"/>
      <c r="G28" s="94"/>
      <c r="H28" s="94"/>
      <c r="I28" s="130"/>
      <c r="J28" s="130"/>
      <c r="K28" s="1"/>
      <c r="L28" s="35"/>
      <c r="M28" s="35"/>
    </row>
    <row r="29" spans="3:14" ht="26.25" customHeight="1">
      <c r="C29" s="111"/>
      <c r="D29" s="94" t="s">
        <v>23</v>
      </c>
      <c r="E29" s="94" t="s">
        <v>4</v>
      </c>
      <c r="F29" s="116"/>
      <c r="G29" s="94"/>
      <c r="H29" s="94"/>
      <c r="I29" s="130"/>
      <c r="J29" s="130"/>
      <c r="K29" s="1"/>
      <c r="L29" s="35"/>
      <c r="M29" s="35"/>
    </row>
    <row r="30" spans="3:14" ht="26.25" customHeight="1">
      <c r="C30" s="111"/>
      <c r="D30" s="94" t="s">
        <v>23</v>
      </c>
      <c r="E30" s="94" t="s">
        <v>4</v>
      </c>
      <c r="F30" s="116"/>
      <c r="G30" s="94"/>
      <c r="H30" s="94"/>
      <c r="I30" s="130"/>
      <c r="J30" s="130"/>
      <c r="K30" s="1"/>
      <c r="L30" s="35"/>
      <c r="M30" s="35"/>
    </row>
    <row r="31" spans="3:14" ht="26.25" customHeight="1">
      <c r="C31" s="111"/>
      <c r="D31" s="94" t="s">
        <v>23</v>
      </c>
      <c r="E31" s="94" t="s">
        <v>4</v>
      </c>
      <c r="F31" s="116"/>
      <c r="G31" s="94"/>
      <c r="H31" s="94"/>
      <c r="I31" s="130"/>
      <c r="J31" s="130"/>
      <c r="K31" s="1"/>
      <c r="L31" s="35"/>
      <c r="M31" s="35"/>
    </row>
    <row r="32" spans="3:14" ht="26.25" customHeight="1">
      <c r="C32" s="111"/>
      <c r="D32" s="94" t="s">
        <v>23</v>
      </c>
      <c r="E32" s="94" t="s">
        <v>4</v>
      </c>
      <c r="F32" s="116"/>
      <c r="G32" s="94"/>
      <c r="H32" s="94"/>
      <c r="I32" s="130"/>
      <c r="J32" s="130"/>
      <c r="K32" s="1"/>
      <c r="L32" s="35"/>
      <c r="M32" s="35"/>
    </row>
    <row r="33" spans="3:13" ht="26.25" customHeight="1">
      <c r="C33" s="111"/>
      <c r="D33" s="94" t="s">
        <v>23</v>
      </c>
      <c r="E33" s="94" t="s">
        <v>4</v>
      </c>
      <c r="F33" s="116"/>
      <c r="G33" s="94"/>
      <c r="H33" s="94"/>
      <c r="I33" s="130"/>
      <c r="J33" s="130"/>
      <c r="K33" s="1"/>
      <c r="L33" s="35"/>
      <c r="M33" s="35"/>
    </row>
    <row r="34" spans="3:13" ht="26.25" customHeight="1">
      <c r="C34" s="111"/>
      <c r="D34" s="94" t="s">
        <v>23</v>
      </c>
      <c r="E34" s="94" t="s">
        <v>4</v>
      </c>
      <c r="F34" s="116"/>
      <c r="G34" s="94"/>
      <c r="H34" s="94"/>
      <c r="I34" s="130"/>
      <c r="J34" s="130"/>
      <c r="K34" s="1"/>
      <c r="L34" s="35"/>
      <c r="M34" s="35"/>
    </row>
    <row r="35" spans="3:13" ht="26.25" customHeight="1">
      <c r="C35" s="111"/>
      <c r="D35" s="94" t="s">
        <v>23</v>
      </c>
      <c r="E35" s="94" t="s">
        <v>4</v>
      </c>
      <c r="F35" s="116"/>
      <c r="G35" s="94"/>
      <c r="H35" s="94"/>
      <c r="I35" s="130"/>
      <c r="J35" s="130"/>
      <c r="K35" s="1"/>
      <c r="L35" s="35"/>
      <c r="M35" s="35"/>
    </row>
    <row r="36" spans="3:13" ht="26.25" customHeight="1">
      <c r="C36" s="111"/>
      <c r="D36" s="94" t="s">
        <v>23</v>
      </c>
      <c r="E36" s="94" t="s">
        <v>4</v>
      </c>
      <c r="F36" s="116"/>
      <c r="G36" s="94"/>
      <c r="H36" s="94"/>
      <c r="I36" s="130"/>
      <c r="J36" s="130"/>
      <c r="K36" s="1"/>
      <c r="L36" s="35"/>
      <c r="M36" s="35"/>
    </row>
    <row r="37" spans="3:13" ht="26.25" customHeight="1">
      <c r="C37" s="111"/>
      <c r="D37" s="94" t="s">
        <v>23</v>
      </c>
      <c r="E37" s="94" t="s">
        <v>4</v>
      </c>
      <c r="F37" s="116"/>
      <c r="G37" s="94"/>
      <c r="H37" s="94"/>
      <c r="I37" s="130"/>
      <c r="J37" s="130"/>
      <c r="K37" s="1"/>
      <c r="L37" s="35"/>
      <c r="M37" s="35"/>
    </row>
    <row r="38" spans="3:13" ht="25.8">
      <c r="C38" s="35"/>
      <c r="D38" s="94" t="s">
        <v>23</v>
      </c>
      <c r="E38" s="94" t="s">
        <v>4</v>
      </c>
      <c r="F38" s="99"/>
      <c r="G38" s="35"/>
      <c r="H38" s="35"/>
      <c r="I38" s="36"/>
      <c r="J38" s="36"/>
      <c r="L38" s="35"/>
      <c r="M38" s="35"/>
    </row>
    <row r="39" spans="3:13" ht="25.8">
      <c r="C39" s="35"/>
      <c r="D39" s="94" t="s">
        <v>23</v>
      </c>
      <c r="E39" s="94" t="s">
        <v>4</v>
      </c>
      <c r="F39" s="99"/>
      <c r="G39" s="35"/>
      <c r="H39" s="35"/>
      <c r="I39" s="36"/>
      <c r="J39" s="36"/>
      <c r="L39" s="35"/>
      <c r="M39" s="35"/>
    </row>
    <row r="40" spans="3:13" ht="25.8">
      <c r="C40" s="35"/>
      <c r="D40" s="94" t="s">
        <v>23</v>
      </c>
      <c r="E40" s="94" t="s">
        <v>4</v>
      </c>
      <c r="F40" s="99"/>
      <c r="G40" s="35"/>
      <c r="H40" s="35"/>
      <c r="I40" s="36"/>
      <c r="J40" s="36"/>
      <c r="L40" s="35"/>
      <c r="M40" s="35"/>
    </row>
    <row r="41" spans="3:13" ht="25.8">
      <c r="C41" s="35"/>
      <c r="D41" s="94" t="s">
        <v>23</v>
      </c>
      <c r="E41" s="94" t="s">
        <v>4</v>
      </c>
      <c r="F41" s="99"/>
      <c r="G41" s="35"/>
      <c r="H41" s="35"/>
      <c r="I41" s="36"/>
      <c r="J41" s="36"/>
      <c r="L41" s="35"/>
      <c r="M41" s="35"/>
    </row>
    <row r="42" spans="3:13" ht="25.8">
      <c r="C42" s="35"/>
      <c r="D42" s="94" t="s">
        <v>23</v>
      </c>
      <c r="E42" s="94" t="s">
        <v>4</v>
      </c>
      <c r="F42" s="99"/>
      <c r="G42" s="35"/>
      <c r="H42" s="35"/>
      <c r="I42" s="36"/>
      <c r="J42" s="36"/>
      <c r="L42" s="35"/>
      <c r="M42" s="35"/>
    </row>
    <row r="43" spans="3:13" ht="25.8">
      <c r="C43" s="35"/>
      <c r="D43" s="94" t="s">
        <v>23</v>
      </c>
      <c r="E43" s="94" t="s">
        <v>4</v>
      </c>
      <c r="F43" s="99"/>
      <c r="G43" s="35"/>
      <c r="H43" s="35"/>
      <c r="I43" s="36"/>
      <c r="J43" s="36"/>
      <c r="L43" s="35"/>
      <c r="M43" s="35"/>
    </row>
    <row r="44" spans="3:13" ht="25.8">
      <c r="C44" s="35"/>
      <c r="D44" s="94" t="s">
        <v>23</v>
      </c>
      <c r="E44" s="94" t="s">
        <v>4</v>
      </c>
      <c r="F44" s="99"/>
      <c r="G44" s="35"/>
      <c r="H44" s="35"/>
      <c r="I44" s="36"/>
      <c r="J44" s="36"/>
      <c r="L44" s="35"/>
      <c r="M44" s="35"/>
    </row>
    <row r="45" spans="3:13" ht="25.8">
      <c r="C45" s="35"/>
      <c r="D45" s="94" t="s">
        <v>23</v>
      </c>
      <c r="E45" s="94" t="s">
        <v>4</v>
      </c>
      <c r="F45" s="99"/>
      <c r="G45" s="35"/>
      <c r="H45" s="35"/>
      <c r="I45" s="36"/>
      <c r="J45" s="36"/>
      <c r="L45" s="35"/>
      <c r="M45" s="35"/>
    </row>
    <row r="46" spans="3:13" ht="25.8">
      <c r="C46" s="35"/>
      <c r="D46" s="94" t="s">
        <v>23</v>
      </c>
      <c r="E46" s="94" t="s">
        <v>4</v>
      </c>
      <c r="F46" s="99"/>
      <c r="G46" s="35"/>
      <c r="H46" s="35"/>
      <c r="I46" s="36"/>
      <c r="J46" s="36"/>
      <c r="L46" s="35"/>
      <c r="M46" s="35"/>
    </row>
    <row r="47" spans="3:13" ht="25.8">
      <c r="C47" s="35"/>
      <c r="D47" s="94" t="s">
        <v>23</v>
      </c>
      <c r="E47" s="94" t="s">
        <v>4</v>
      </c>
      <c r="F47" s="99"/>
      <c r="G47" s="35"/>
      <c r="H47" s="35"/>
      <c r="I47" s="36"/>
      <c r="J47" s="36"/>
      <c r="L47" s="35"/>
      <c r="M47" s="35"/>
    </row>
    <row r="48" spans="3:13" ht="25.8">
      <c r="C48" s="35"/>
      <c r="D48" s="94" t="s">
        <v>23</v>
      </c>
      <c r="E48" s="94" t="s">
        <v>4</v>
      </c>
      <c r="F48" s="99"/>
      <c r="G48" s="35"/>
      <c r="H48" s="35"/>
      <c r="I48" s="36"/>
      <c r="J48" s="36"/>
      <c r="L48" s="35"/>
      <c r="M48" s="35"/>
    </row>
    <row r="49" spans="3:13" ht="25.8">
      <c r="C49" s="35"/>
      <c r="D49" s="94" t="s">
        <v>23</v>
      </c>
      <c r="E49" s="94" t="s">
        <v>4</v>
      </c>
      <c r="F49" s="99"/>
      <c r="G49" s="35"/>
      <c r="H49" s="35"/>
      <c r="I49" s="36"/>
      <c r="J49" s="36"/>
      <c r="L49" s="35"/>
      <c r="M49" s="35"/>
    </row>
    <row r="50" spans="3:13" ht="25.8">
      <c r="C50" s="35"/>
      <c r="D50" s="94" t="s">
        <v>23</v>
      </c>
      <c r="E50" s="94" t="s">
        <v>4</v>
      </c>
      <c r="F50" s="99"/>
      <c r="G50" s="35"/>
      <c r="H50" s="35"/>
      <c r="I50" s="36"/>
      <c r="J50" s="36"/>
      <c r="L50" s="35"/>
      <c r="M50" s="35"/>
    </row>
    <row r="51" spans="3:13" ht="25.8">
      <c r="C51" s="35"/>
      <c r="D51" s="94" t="s">
        <v>23</v>
      </c>
      <c r="E51" s="94" t="s">
        <v>4</v>
      </c>
      <c r="F51" s="99"/>
      <c r="G51" s="35"/>
      <c r="H51" s="35"/>
      <c r="I51" s="36"/>
      <c r="J51" s="36"/>
      <c r="L51" s="35"/>
      <c r="M51" s="35"/>
    </row>
    <row r="52" spans="3:13" ht="25.8">
      <c r="C52" s="35"/>
      <c r="D52" s="94" t="s">
        <v>23</v>
      </c>
      <c r="E52" s="94" t="s">
        <v>4</v>
      </c>
      <c r="F52" s="99"/>
      <c r="G52" s="35"/>
      <c r="H52" s="35"/>
      <c r="I52" s="36"/>
      <c r="J52" s="36"/>
      <c r="L52" s="35"/>
      <c r="M52" s="35"/>
    </row>
    <row r="53" spans="3:13" ht="25.8">
      <c r="C53" s="35"/>
      <c r="D53" s="94" t="s">
        <v>23</v>
      </c>
      <c r="E53" s="94" t="s">
        <v>4</v>
      </c>
      <c r="F53" s="99"/>
      <c r="G53" s="35"/>
      <c r="H53" s="35"/>
      <c r="I53" s="36"/>
      <c r="J53" s="36"/>
      <c r="L53" s="35"/>
      <c r="M53" s="35"/>
    </row>
    <row r="54" spans="3:13" ht="25.8">
      <c r="C54" s="35"/>
      <c r="D54" s="94" t="s">
        <v>23</v>
      </c>
      <c r="E54" s="94" t="s">
        <v>4</v>
      </c>
      <c r="F54" s="99"/>
      <c r="G54" s="35"/>
      <c r="H54" s="35"/>
      <c r="I54" s="36"/>
      <c r="J54" s="36"/>
      <c r="L54" s="35"/>
      <c r="M54" s="35"/>
    </row>
    <row r="55" spans="3:13" ht="25.8">
      <c r="C55" s="35"/>
      <c r="D55" s="94" t="s">
        <v>23</v>
      </c>
      <c r="E55" s="94" t="s">
        <v>4</v>
      </c>
      <c r="F55" s="99"/>
      <c r="G55" s="35"/>
      <c r="H55" s="35"/>
      <c r="I55" s="36"/>
      <c r="J55" s="36"/>
      <c r="L55" s="35"/>
      <c r="M55" s="35"/>
    </row>
    <row r="56" spans="3:13" ht="25.8">
      <c r="C56" s="35"/>
      <c r="D56" s="94" t="s">
        <v>23</v>
      </c>
      <c r="E56" s="94" t="s">
        <v>4</v>
      </c>
      <c r="F56" s="99"/>
      <c r="G56" s="35"/>
      <c r="H56" s="35"/>
      <c r="I56" s="36"/>
      <c r="J56" s="36"/>
      <c r="L56" s="35"/>
      <c r="M56" s="35"/>
    </row>
    <row r="57" spans="3:13" ht="25.8">
      <c r="C57" s="35"/>
      <c r="D57" s="94" t="s">
        <v>23</v>
      </c>
      <c r="E57" s="94" t="s">
        <v>4</v>
      </c>
      <c r="F57" s="99"/>
      <c r="G57" s="35"/>
      <c r="H57" s="35"/>
      <c r="I57" s="36"/>
      <c r="J57" s="36"/>
      <c r="L57" s="35"/>
      <c r="M57" s="35"/>
    </row>
    <row r="58" spans="3:13" ht="25.8">
      <c r="C58" s="35"/>
      <c r="D58" s="94" t="s">
        <v>23</v>
      </c>
      <c r="E58" s="94" t="s">
        <v>4</v>
      </c>
      <c r="F58" s="99"/>
      <c r="G58" s="35"/>
      <c r="H58" s="35"/>
      <c r="I58" s="36"/>
      <c r="J58" s="36"/>
      <c r="L58" s="35"/>
      <c r="M58" s="35"/>
    </row>
    <row r="59" spans="3:13" ht="25.8">
      <c r="C59" s="35"/>
      <c r="D59" s="94" t="s">
        <v>23</v>
      </c>
      <c r="E59" s="94" t="s">
        <v>4</v>
      </c>
      <c r="F59" s="99"/>
      <c r="G59" s="35"/>
      <c r="H59" s="35"/>
      <c r="I59" s="36"/>
      <c r="J59" s="36"/>
      <c r="L59" s="35"/>
      <c r="M59" s="35"/>
    </row>
    <row r="60" spans="3:13" ht="25.8">
      <c r="C60" s="35"/>
      <c r="D60" s="94" t="s">
        <v>23</v>
      </c>
      <c r="E60" s="94" t="s">
        <v>4</v>
      </c>
      <c r="F60" s="99"/>
      <c r="G60" s="35"/>
      <c r="H60" s="35"/>
      <c r="I60" s="36"/>
      <c r="J60" s="36"/>
      <c r="L60" s="35"/>
      <c r="M60" s="35"/>
    </row>
    <row r="61" spans="3:13" ht="25.8">
      <c r="C61" s="35"/>
      <c r="D61" s="94" t="s">
        <v>23</v>
      </c>
      <c r="E61" s="94" t="s">
        <v>4</v>
      </c>
      <c r="F61" s="99"/>
      <c r="G61" s="35"/>
      <c r="H61" s="35"/>
      <c r="I61" s="36"/>
      <c r="J61" s="36"/>
      <c r="L61" s="35"/>
      <c r="M61" s="35"/>
    </row>
    <row r="62" spans="3:13" ht="25.8">
      <c r="C62" s="35"/>
      <c r="D62" s="94" t="s">
        <v>23</v>
      </c>
      <c r="E62" s="94" t="s">
        <v>4</v>
      </c>
      <c r="F62" s="99"/>
      <c r="G62" s="35"/>
      <c r="H62" s="35"/>
      <c r="I62" s="36"/>
      <c r="J62" s="36"/>
      <c r="L62" s="35"/>
      <c r="M62" s="35"/>
    </row>
    <row r="63" spans="3:13" ht="25.8">
      <c r="C63" s="35"/>
      <c r="D63" s="94" t="s">
        <v>23</v>
      </c>
      <c r="E63" s="94" t="s">
        <v>4</v>
      </c>
      <c r="F63" s="99"/>
      <c r="G63" s="35"/>
      <c r="H63" s="35"/>
      <c r="I63" s="36"/>
      <c r="J63" s="36"/>
      <c r="L63" s="35"/>
      <c r="M63" s="35"/>
    </row>
    <row r="64" spans="3:13" ht="25.8">
      <c r="C64" s="35"/>
      <c r="D64" s="94" t="s">
        <v>23</v>
      </c>
      <c r="E64" s="94" t="s">
        <v>4</v>
      </c>
      <c r="F64" s="99"/>
      <c r="G64" s="35"/>
      <c r="H64" s="35"/>
      <c r="I64" s="36"/>
      <c r="J64" s="36"/>
      <c r="L64" s="35"/>
      <c r="M64" s="35"/>
    </row>
    <row r="65" spans="3:13" ht="25.8">
      <c r="C65" s="35"/>
      <c r="D65" s="94" t="s">
        <v>23</v>
      </c>
      <c r="E65" s="94" t="s">
        <v>4</v>
      </c>
      <c r="F65" s="99"/>
      <c r="G65" s="35"/>
      <c r="H65" s="35"/>
      <c r="I65" s="36"/>
      <c r="J65" s="36"/>
      <c r="L65" s="35"/>
      <c r="M65" s="35"/>
    </row>
    <row r="66" spans="3:13" ht="25.8">
      <c r="C66" s="35"/>
      <c r="D66" s="94" t="s">
        <v>23</v>
      </c>
      <c r="E66" s="94" t="s">
        <v>4</v>
      </c>
      <c r="F66" s="99"/>
      <c r="G66" s="35"/>
      <c r="H66" s="35"/>
      <c r="I66" s="36"/>
      <c r="J66" s="36"/>
      <c r="L66" s="35"/>
      <c r="M66" s="35"/>
    </row>
    <row r="67" spans="3:13" ht="25.8">
      <c r="C67" s="35"/>
      <c r="D67" s="94" t="s">
        <v>23</v>
      </c>
      <c r="E67" s="94" t="s">
        <v>4</v>
      </c>
      <c r="F67" s="99"/>
      <c r="G67" s="35"/>
      <c r="H67" s="35"/>
      <c r="I67" s="36"/>
      <c r="J67" s="36"/>
      <c r="L67" s="35"/>
      <c r="M67" s="35"/>
    </row>
    <row r="68" spans="3:13" ht="25.8">
      <c r="C68" s="35"/>
      <c r="D68" s="94" t="s">
        <v>23</v>
      </c>
      <c r="E68" s="94" t="s">
        <v>4</v>
      </c>
      <c r="F68" s="99"/>
      <c r="G68" s="35"/>
      <c r="H68" s="35"/>
      <c r="I68" s="36"/>
      <c r="J68" s="36"/>
      <c r="L68" s="35"/>
      <c r="M68" s="35"/>
    </row>
    <row r="69" spans="3:13" ht="25.8">
      <c r="C69" s="35"/>
      <c r="D69" s="94" t="s">
        <v>23</v>
      </c>
      <c r="E69" s="94" t="s">
        <v>4</v>
      </c>
      <c r="F69" s="99"/>
      <c r="G69" s="35"/>
      <c r="H69" s="35"/>
      <c r="I69" s="36"/>
      <c r="J69" s="36"/>
      <c r="L69" s="35"/>
      <c r="M69" s="35"/>
    </row>
    <row r="70" spans="3:13" ht="25.8">
      <c r="C70" s="35"/>
      <c r="D70" s="94" t="s">
        <v>23</v>
      </c>
      <c r="E70" s="94" t="s">
        <v>4</v>
      </c>
      <c r="F70" s="99"/>
      <c r="G70" s="35"/>
      <c r="H70" s="35"/>
      <c r="I70" s="36"/>
      <c r="J70" s="36"/>
      <c r="L70" s="35"/>
      <c r="M70" s="35"/>
    </row>
    <row r="71" spans="3:13" ht="25.8">
      <c r="C71" s="35"/>
      <c r="D71" s="94" t="s">
        <v>23</v>
      </c>
      <c r="E71" s="94" t="s">
        <v>4</v>
      </c>
      <c r="F71" s="99"/>
      <c r="G71" s="35"/>
      <c r="H71" s="35"/>
      <c r="I71" s="36"/>
      <c r="J71" s="36"/>
      <c r="L71" s="35"/>
      <c r="M71" s="35"/>
    </row>
    <row r="72" spans="3:13" ht="25.8">
      <c r="C72" s="35"/>
      <c r="D72" s="94" t="s">
        <v>23</v>
      </c>
      <c r="E72" s="94" t="s">
        <v>4</v>
      </c>
      <c r="F72" s="99"/>
      <c r="G72" s="35"/>
      <c r="H72" s="35"/>
      <c r="I72" s="36"/>
      <c r="J72" s="36"/>
      <c r="L72" s="35"/>
      <c r="M72" s="35"/>
    </row>
    <row r="73" spans="3:13" ht="25.8">
      <c r="C73" s="35"/>
      <c r="D73" s="94" t="s">
        <v>23</v>
      </c>
      <c r="E73" s="94" t="s">
        <v>4</v>
      </c>
      <c r="F73" s="99"/>
      <c r="G73" s="35"/>
      <c r="H73" s="35"/>
      <c r="I73" s="36"/>
      <c r="J73" s="36"/>
      <c r="L73" s="35"/>
      <c r="M73" s="35"/>
    </row>
    <row r="74" spans="3:13" ht="25.8">
      <c r="C74" s="35"/>
      <c r="D74" s="94" t="s">
        <v>23</v>
      </c>
      <c r="E74" s="94" t="s">
        <v>4</v>
      </c>
      <c r="F74" s="99"/>
      <c r="G74" s="35"/>
      <c r="H74" s="35"/>
      <c r="I74" s="36"/>
      <c r="J74" s="36"/>
      <c r="L74" s="35"/>
      <c r="M74" s="35"/>
    </row>
    <row r="75" spans="3:13" ht="25.8">
      <c r="C75" s="35"/>
      <c r="D75" s="94" t="s">
        <v>23</v>
      </c>
      <c r="E75" s="94" t="s">
        <v>4</v>
      </c>
      <c r="F75" s="99"/>
      <c r="G75" s="35"/>
      <c r="H75" s="35"/>
      <c r="I75" s="36"/>
      <c r="J75" s="36"/>
      <c r="L75" s="35"/>
      <c r="M75" s="35"/>
    </row>
    <row r="76" spans="3:13" ht="25.8">
      <c r="C76" s="35"/>
      <c r="D76" s="94" t="s">
        <v>23</v>
      </c>
      <c r="E76" s="94" t="s">
        <v>4</v>
      </c>
      <c r="F76" s="99"/>
      <c r="G76" s="35"/>
      <c r="H76" s="35"/>
      <c r="I76" s="36"/>
      <c r="J76" s="36"/>
      <c r="L76" s="35"/>
      <c r="M76" s="35"/>
    </row>
    <row r="77" spans="3:13" ht="25.8">
      <c r="C77" s="35"/>
      <c r="D77" s="94" t="s">
        <v>23</v>
      </c>
      <c r="E77" s="94" t="s">
        <v>4</v>
      </c>
      <c r="F77" s="99"/>
      <c r="G77" s="35"/>
      <c r="H77" s="35"/>
      <c r="I77" s="36"/>
      <c r="J77" s="36"/>
      <c r="L77" s="35"/>
      <c r="M77" s="35"/>
    </row>
    <row r="78" spans="3:13" ht="25.8">
      <c r="C78" s="35"/>
      <c r="D78" s="94" t="s">
        <v>23</v>
      </c>
      <c r="E78" s="94" t="s">
        <v>4</v>
      </c>
      <c r="F78" s="99"/>
      <c r="G78" s="35"/>
      <c r="H78" s="35"/>
      <c r="I78" s="36"/>
      <c r="J78" s="36"/>
      <c r="L78" s="35"/>
      <c r="M78" s="35"/>
    </row>
    <row r="79" spans="3:13" ht="25.8">
      <c r="C79" s="35"/>
      <c r="D79" s="94" t="s">
        <v>23</v>
      </c>
      <c r="E79" s="94" t="s">
        <v>4</v>
      </c>
      <c r="F79" s="99"/>
      <c r="G79" s="35"/>
      <c r="H79" s="35"/>
      <c r="I79" s="36"/>
      <c r="J79" s="36"/>
      <c r="L79" s="35"/>
      <c r="M79" s="35"/>
    </row>
    <row r="80" spans="3:13" ht="25.8">
      <c r="C80" s="35"/>
      <c r="D80" s="94" t="s">
        <v>23</v>
      </c>
      <c r="E80" s="94" t="s">
        <v>4</v>
      </c>
      <c r="F80" s="99"/>
      <c r="G80" s="35"/>
      <c r="H80" s="35"/>
      <c r="I80" s="36"/>
      <c r="J80" s="36"/>
      <c r="L80" s="35"/>
      <c r="M80" s="35"/>
    </row>
    <row r="81" spans="3:13" ht="25.8">
      <c r="C81" s="35"/>
      <c r="D81" s="94" t="s">
        <v>23</v>
      </c>
      <c r="E81" s="94" t="s">
        <v>4</v>
      </c>
      <c r="F81" s="99"/>
      <c r="G81" s="35"/>
      <c r="H81" s="35"/>
      <c r="I81" s="36"/>
      <c r="J81" s="36"/>
      <c r="L81" s="35"/>
      <c r="M81" s="35"/>
    </row>
    <row r="82" spans="3:13" ht="25.8">
      <c r="C82" s="35"/>
      <c r="D82" s="94" t="s">
        <v>23</v>
      </c>
      <c r="E82" s="94" t="s">
        <v>4</v>
      </c>
      <c r="F82" s="99"/>
      <c r="G82" s="35"/>
      <c r="H82" s="35"/>
      <c r="I82" s="36"/>
      <c r="J82" s="36"/>
      <c r="L82" s="35"/>
      <c r="M82" s="35"/>
    </row>
    <row r="83" spans="3:13" ht="25.8">
      <c r="C83" s="35"/>
      <c r="D83" s="94" t="s">
        <v>23</v>
      </c>
      <c r="E83" s="94" t="s">
        <v>4</v>
      </c>
      <c r="F83" s="99"/>
      <c r="G83" s="35"/>
      <c r="H83" s="35"/>
      <c r="I83" s="36"/>
      <c r="J83" s="36"/>
      <c r="L83" s="35"/>
      <c r="M83" s="35"/>
    </row>
    <row r="84" spans="3:13" ht="25.8">
      <c r="C84" s="35"/>
      <c r="D84" s="94" t="s">
        <v>23</v>
      </c>
      <c r="E84" s="94" t="s">
        <v>4</v>
      </c>
      <c r="F84" s="99"/>
      <c r="G84" s="35"/>
      <c r="H84" s="35"/>
      <c r="I84" s="36"/>
      <c r="J84" s="36"/>
      <c r="L84" s="35"/>
      <c r="M84" s="35"/>
    </row>
    <row r="85" spans="3:13" ht="25.8">
      <c r="C85" s="35"/>
      <c r="D85" s="94" t="s">
        <v>23</v>
      </c>
      <c r="E85" s="94" t="s">
        <v>4</v>
      </c>
      <c r="F85" s="99"/>
      <c r="G85" s="35"/>
      <c r="H85" s="35"/>
      <c r="I85" s="36"/>
      <c r="J85" s="36"/>
      <c r="L85" s="35"/>
      <c r="M85" s="35"/>
    </row>
    <row r="86" spans="3:13" ht="25.8">
      <c r="C86" s="35"/>
      <c r="D86" s="94" t="s">
        <v>23</v>
      </c>
      <c r="E86" s="94" t="s">
        <v>4</v>
      </c>
      <c r="F86" s="99"/>
      <c r="G86" s="35"/>
      <c r="H86" s="35"/>
      <c r="I86" s="36"/>
      <c r="J86" s="36"/>
      <c r="L86" s="35"/>
      <c r="M86" s="35"/>
    </row>
    <row r="87" spans="3:13" ht="25.8">
      <c r="C87" s="35"/>
      <c r="D87" s="94" t="s">
        <v>23</v>
      </c>
      <c r="E87" s="94" t="s">
        <v>4</v>
      </c>
      <c r="F87" s="99"/>
      <c r="G87" s="35"/>
      <c r="H87" s="35"/>
      <c r="I87" s="36"/>
      <c r="J87" s="36"/>
      <c r="L87" s="35"/>
      <c r="M87" s="35"/>
    </row>
    <row r="88" spans="3:13" ht="25.8">
      <c r="C88" s="35"/>
      <c r="D88" s="94" t="s">
        <v>23</v>
      </c>
      <c r="E88" s="94" t="s">
        <v>4</v>
      </c>
      <c r="F88" s="99"/>
      <c r="G88" s="35"/>
      <c r="H88" s="35"/>
      <c r="I88" s="36"/>
      <c r="J88" s="36"/>
      <c r="L88" s="35"/>
      <c r="M88" s="35"/>
    </row>
    <row r="89" spans="3:13" ht="25.8">
      <c r="C89" s="35"/>
      <c r="D89" s="94" t="s">
        <v>23</v>
      </c>
      <c r="E89" s="94" t="s">
        <v>4</v>
      </c>
      <c r="F89" s="99"/>
      <c r="G89" s="35"/>
      <c r="H89" s="35"/>
      <c r="I89" s="36"/>
      <c r="J89" s="36"/>
      <c r="L89" s="35"/>
      <c r="M89" s="35"/>
    </row>
    <row r="90" spans="3:13" ht="25.8">
      <c r="C90" s="35"/>
      <c r="D90" s="94" t="s">
        <v>23</v>
      </c>
      <c r="E90" s="94" t="s">
        <v>4</v>
      </c>
      <c r="F90" s="99"/>
      <c r="G90" s="35"/>
      <c r="H90" s="35"/>
      <c r="I90" s="36"/>
      <c r="J90" s="36"/>
      <c r="L90" s="35"/>
      <c r="M90" s="35"/>
    </row>
    <row r="91" spans="3:13" ht="25.8">
      <c r="C91" s="35"/>
      <c r="D91" s="94" t="s">
        <v>23</v>
      </c>
      <c r="E91" s="94" t="s">
        <v>4</v>
      </c>
      <c r="F91" s="99"/>
      <c r="G91" s="35"/>
      <c r="H91" s="35"/>
      <c r="I91" s="36"/>
      <c r="J91" s="36"/>
      <c r="L91" s="35"/>
      <c r="M91" s="35"/>
    </row>
    <row r="92" spans="3:13" ht="25.8">
      <c r="C92" s="35"/>
      <c r="D92" s="94" t="s">
        <v>23</v>
      </c>
      <c r="E92" s="94" t="s">
        <v>4</v>
      </c>
      <c r="F92" s="99"/>
      <c r="G92" s="35"/>
      <c r="H92" s="35"/>
      <c r="I92" s="36"/>
      <c r="J92" s="36"/>
      <c r="L92" s="35"/>
      <c r="M92" s="35"/>
    </row>
    <row r="93" spans="3:13" ht="25.8">
      <c r="C93" s="35"/>
      <c r="D93" s="94" t="s">
        <v>23</v>
      </c>
      <c r="E93" s="94" t="s">
        <v>4</v>
      </c>
      <c r="F93" s="99"/>
      <c r="G93" s="35"/>
      <c r="H93" s="35"/>
      <c r="I93" s="36"/>
      <c r="J93" s="36"/>
      <c r="L93" s="35"/>
      <c r="M93" s="35"/>
    </row>
    <row r="94" spans="3:13" ht="25.8">
      <c r="C94" s="35"/>
      <c r="D94" s="94" t="s">
        <v>23</v>
      </c>
      <c r="E94" s="94" t="s">
        <v>4</v>
      </c>
      <c r="F94" s="99"/>
      <c r="G94" s="35"/>
      <c r="H94" s="35"/>
      <c r="I94" s="36"/>
      <c r="J94" s="36"/>
      <c r="L94" s="35"/>
      <c r="M94" s="35"/>
    </row>
    <row r="95" spans="3:13" ht="25.8">
      <c r="C95" s="35"/>
      <c r="D95" s="94" t="s">
        <v>23</v>
      </c>
      <c r="E95" s="94" t="s">
        <v>4</v>
      </c>
      <c r="F95" s="99"/>
      <c r="G95" s="35"/>
      <c r="H95" s="35"/>
      <c r="I95" s="36"/>
      <c r="J95" s="36"/>
      <c r="L95" s="35"/>
      <c r="M95" s="35"/>
    </row>
    <row r="96" spans="3:13" ht="25.8">
      <c r="C96" s="35"/>
      <c r="D96" s="94" t="s">
        <v>23</v>
      </c>
      <c r="E96" s="94" t="s">
        <v>4</v>
      </c>
      <c r="F96" s="99"/>
      <c r="G96" s="35"/>
      <c r="H96" s="35"/>
      <c r="I96" s="36"/>
      <c r="J96" s="36"/>
      <c r="L96" s="35"/>
      <c r="M96" s="35"/>
    </row>
    <row r="97" spans="3:13" ht="25.8">
      <c r="C97" s="35"/>
      <c r="D97" s="94" t="s">
        <v>23</v>
      </c>
      <c r="E97" s="94" t="s">
        <v>4</v>
      </c>
      <c r="F97" s="99"/>
      <c r="G97" s="35"/>
      <c r="H97" s="35"/>
      <c r="I97" s="36"/>
      <c r="J97" s="36"/>
      <c r="L97" s="35"/>
      <c r="M97" s="35"/>
    </row>
    <row r="98" spans="3:13" ht="25.8">
      <c r="C98" s="35"/>
      <c r="D98" s="94" t="s">
        <v>23</v>
      </c>
      <c r="E98" s="94" t="s">
        <v>4</v>
      </c>
      <c r="F98" s="99"/>
      <c r="G98" s="35"/>
      <c r="H98" s="35"/>
      <c r="I98" s="36"/>
      <c r="J98" s="36"/>
      <c r="L98" s="35"/>
      <c r="M98" s="35"/>
    </row>
    <row r="99" spans="3:13" ht="25.8">
      <c r="C99" s="35"/>
      <c r="D99" s="94" t="s">
        <v>23</v>
      </c>
      <c r="E99" s="94" t="s">
        <v>4</v>
      </c>
      <c r="F99" s="99"/>
      <c r="G99" s="35"/>
      <c r="H99" s="35"/>
      <c r="I99" s="36"/>
      <c r="J99" s="36"/>
      <c r="L99" s="35"/>
      <c r="M99" s="35"/>
    </row>
    <row r="100" spans="3:13" ht="25.8">
      <c r="C100" s="35"/>
      <c r="D100" s="94" t="s">
        <v>23</v>
      </c>
      <c r="E100" s="94" t="s">
        <v>4</v>
      </c>
      <c r="F100" s="99"/>
      <c r="G100" s="35"/>
      <c r="H100" s="35"/>
      <c r="I100" s="36"/>
      <c r="J100" s="36"/>
      <c r="L100" s="35"/>
      <c r="M100" s="35"/>
    </row>
    <row r="101" spans="3:13" ht="25.8">
      <c r="C101" s="35"/>
      <c r="D101" s="94" t="s">
        <v>23</v>
      </c>
      <c r="E101" s="94" t="s">
        <v>4</v>
      </c>
      <c r="F101" s="99"/>
      <c r="G101" s="35"/>
      <c r="H101" s="35"/>
      <c r="I101" s="36"/>
      <c r="J101" s="36"/>
      <c r="L101" s="35"/>
      <c r="M101" s="35"/>
    </row>
    <row r="102" spans="3:13" ht="25.8">
      <c r="C102" s="35"/>
      <c r="D102" s="94" t="s">
        <v>23</v>
      </c>
      <c r="E102" s="94" t="s">
        <v>4</v>
      </c>
      <c r="F102" s="99"/>
      <c r="G102" s="35"/>
      <c r="H102" s="35"/>
      <c r="I102" s="36"/>
      <c r="J102" s="36"/>
      <c r="L102" s="35"/>
      <c r="M102" s="35"/>
    </row>
    <row r="103" spans="3:13" ht="25.8">
      <c r="C103" s="35"/>
      <c r="D103" s="94" t="s">
        <v>23</v>
      </c>
      <c r="E103" s="94" t="s">
        <v>4</v>
      </c>
      <c r="F103" s="99"/>
      <c r="G103" s="35"/>
      <c r="H103" s="35"/>
      <c r="I103" s="36"/>
      <c r="J103" s="36"/>
      <c r="L103" s="35"/>
      <c r="M103" s="35"/>
    </row>
    <row r="104" spans="3:13" ht="25.8">
      <c r="C104" s="35"/>
      <c r="D104" s="94" t="s">
        <v>23</v>
      </c>
      <c r="E104" s="94" t="s">
        <v>4</v>
      </c>
      <c r="F104" s="99"/>
      <c r="G104" s="35"/>
      <c r="H104" s="35"/>
      <c r="I104" s="36"/>
      <c r="J104" s="36"/>
      <c r="L104" s="35"/>
      <c r="M104" s="35"/>
    </row>
    <row r="105" spans="3:13" ht="25.8">
      <c r="C105" s="35"/>
      <c r="D105" s="94" t="s">
        <v>23</v>
      </c>
      <c r="E105" s="94" t="s">
        <v>4</v>
      </c>
      <c r="F105" s="99"/>
      <c r="G105" s="35"/>
      <c r="H105" s="35"/>
      <c r="I105" s="36"/>
      <c r="J105" s="36"/>
      <c r="L105" s="35"/>
      <c r="M105" s="35"/>
    </row>
    <row r="106" spans="3:13" ht="25.8">
      <c r="C106" s="35"/>
      <c r="D106" s="94" t="s">
        <v>23</v>
      </c>
      <c r="E106" s="94" t="s">
        <v>4</v>
      </c>
      <c r="F106" s="99"/>
      <c r="G106" s="35"/>
      <c r="H106" s="35"/>
      <c r="I106" s="36"/>
      <c r="J106" s="36"/>
      <c r="L106" s="35"/>
      <c r="M106" s="35"/>
    </row>
    <row r="107" spans="3:13" ht="25.8">
      <c r="C107" s="35"/>
      <c r="D107" s="94" t="s">
        <v>23</v>
      </c>
      <c r="E107" s="94" t="s">
        <v>4</v>
      </c>
      <c r="F107" s="99"/>
      <c r="G107" s="35"/>
      <c r="H107" s="35"/>
      <c r="I107" s="36"/>
      <c r="J107" s="36"/>
      <c r="L107" s="35"/>
      <c r="M107" s="35"/>
    </row>
    <row r="108" spans="3:13" ht="25.8">
      <c r="C108" s="35"/>
      <c r="D108" s="94" t="s">
        <v>23</v>
      </c>
      <c r="E108" s="94" t="s">
        <v>4</v>
      </c>
      <c r="F108" s="99"/>
      <c r="G108" s="35"/>
      <c r="H108" s="35"/>
      <c r="I108" s="36"/>
      <c r="J108" s="36"/>
      <c r="L108" s="35"/>
      <c r="M108" s="35"/>
    </row>
    <row r="109" spans="3:13" ht="25.8">
      <c r="C109" s="35"/>
      <c r="D109" s="94" t="s">
        <v>23</v>
      </c>
      <c r="E109" s="94" t="s">
        <v>4</v>
      </c>
      <c r="F109" s="99"/>
      <c r="G109" s="35"/>
      <c r="H109" s="35"/>
      <c r="I109" s="36"/>
      <c r="J109" s="36"/>
      <c r="L109" s="35"/>
      <c r="M109" s="35"/>
    </row>
    <row r="110" spans="3:13" ht="25.8">
      <c r="C110" s="35"/>
      <c r="D110" s="94" t="s">
        <v>23</v>
      </c>
      <c r="E110" s="94" t="s">
        <v>4</v>
      </c>
      <c r="F110" s="99"/>
      <c r="G110" s="35"/>
      <c r="H110" s="35"/>
      <c r="I110" s="36"/>
      <c r="J110" s="36"/>
      <c r="L110" s="35"/>
      <c r="M110" s="35"/>
    </row>
    <row r="111" spans="3:13" ht="25.8">
      <c r="C111" s="35"/>
      <c r="D111" s="94" t="s">
        <v>23</v>
      </c>
      <c r="E111" s="94" t="s">
        <v>4</v>
      </c>
      <c r="F111" s="99"/>
      <c r="G111" s="35"/>
      <c r="H111" s="35"/>
      <c r="I111" s="36"/>
      <c r="J111" s="36"/>
      <c r="L111" s="35"/>
      <c r="M111" s="35"/>
    </row>
    <row r="112" spans="3:13" ht="25.8">
      <c r="C112" s="35"/>
      <c r="D112" s="94" t="s">
        <v>23</v>
      </c>
      <c r="E112" s="94" t="s">
        <v>4</v>
      </c>
      <c r="F112" s="99"/>
      <c r="G112" s="35"/>
      <c r="H112" s="35"/>
      <c r="I112" s="36"/>
      <c r="J112" s="36"/>
      <c r="L112" s="35"/>
      <c r="M112" s="35"/>
    </row>
    <row r="113" spans="3:13" ht="25.8">
      <c r="C113" s="35"/>
      <c r="D113" s="94" t="s">
        <v>23</v>
      </c>
      <c r="E113" s="94" t="s">
        <v>4</v>
      </c>
      <c r="F113" s="99"/>
      <c r="G113" s="35"/>
      <c r="H113" s="35"/>
      <c r="I113" s="36"/>
      <c r="J113" s="36"/>
      <c r="L113" s="35"/>
      <c r="M113" s="35"/>
    </row>
    <row r="114" spans="3:13" ht="25.8">
      <c r="C114" s="35"/>
      <c r="D114" s="94" t="s">
        <v>23</v>
      </c>
      <c r="E114" s="94" t="s">
        <v>4</v>
      </c>
      <c r="F114" s="99"/>
      <c r="G114" s="35"/>
      <c r="H114" s="35"/>
      <c r="I114" s="36"/>
      <c r="J114" s="36"/>
      <c r="L114" s="35"/>
      <c r="M114" s="35"/>
    </row>
    <row r="115" spans="3:13" ht="25.8">
      <c r="C115" s="35"/>
      <c r="D115" s="94" t="s">
        <v>23</v>
      </c>
      <c r="E115" s="94" t="s">
        <v>4</v>
      </c>
      <c r="F115" s="99"/>
      <c r="G115" s="35"/>
      <c r="H115" s="35"/>
      <c r="I115" s="36"/>
      <c r="J115" s="36"/>
      <c r="L115" s="35"/>
      <c r="M115" s="35"/>
    </row>
    <row r="116" spans="3:13" ht="25.8">
      <c r="C116" s="35"/>
      <c r="D116" s="94" t="s">
        <v>23</v>
      </c>
      <c r="E116" s="94" t="s">
        <v>4</v>
      </c>
      <c r="F116" s="99"/>
      <c r="G116" s="35"/>
      <c r="H116" s="35"/>
      <c r="I116" s="36"/>
      <c r="J116" s="36"/>
      <c r="L116" s="35"/>
      <c r="M116" s="35"/>
    </row>
    <row r="117" spans="3:13" ht="25.8">
      <c r="C117" s="35"/>
      <c r="D117" s="94" t="s">
        <v>23</v>
      </c>
      <c r="E117" s="94" t="s">
        <v>4</v>
      </c>
      <c r="F117" s="99"/>
      <c r="G117" s="35"/>
      <c r="H117" s="35"/>
      <c r="I117" s="36"/>
      <c r="J117" s="36"/>
      <c r="L117" s="35"/>
      <c r="M117" s="35"/>
    </row>
    <row r="118" spans="3:13" ht="25.8">
      <c r="C118" s="35"/>
      <c r="D118" s="94" t="s">
        <v>23</v>
      </c>
      <c r="E118" s="94" t="s">
        <v>4</v>
      </c>
      <c r="F118" s="99"/>
      <c r="G118" s="35"/>
      <c r="H118" s="35"/>
      <c r="I118" s="36"/>
      <c r="J118" s="36"/>
      <c r="L118" s="35"/>
      <c r="M118" s="35"/>
    </row>
    <row r="119" spans="3:13" ht="25.8">
      <c r="C119" s="35"/>
      <c r="D119" s="94" t="s">
        <v>23</v>
      </c>
      <c r="E119" s="94" t="s">
        <v>4</v>
      </c>
      <c r="F119" s="99"/>
      <c r="G119" s="35"/>
      <c r="H119" s="35"/>
      <c r="I119" s="36"/>
      <c r="J119" s="36"/>
      <c r="L119" s="35"/>
      <c r="M119" s="35"/>
    </row>
    <row r="120" spans="3:13" ht="25.8">
      <c r="C120" s="35"/>
      <c r="D120" s="94" t="s">
        <v>23</v>
      </c>
      <c r="E120" s="94" t="s">
        <v>4</v>
      </c>
      <c r="F120" s="99"/>
      <c r="G120" s="35"/>
      <c r="H120" s="35"/>
      <c r="I120" s="36"/>
      <c r="J120" s="36"/>
      <c r="L120" s="35"/>
      <c r="M120" s="35"/>
    </row>
    <row r="121" spans="3:13" ht="25.8">
      <c r="C121" s="35"/>
      <c r="D121" s="94" t="s">
        <v>23</v>
      </c>
      <c r="E121" s="94" t="s">
        <v>4</v>
      </c>
      <c r="F121" s="99"/>
      <c r="G121" s="35"/>
      <c r="H121" s="35"/>
      <c r="I121" s="36"/>
      <c r="J121" s="36"/>
      <c r="L121" s="35"/>
      <c r="M121" s="35"/>
    </row>
    <row r="122" spans="3:13" ht="25.8">
      <c r="C122" s="35"/>
      <c r="D122" s="94" t="s">
        <v>23</v>
      </c>
      <c r="E122" s="94" t="s">
        <v>4</v>
      </c>
      <c r="F122" s="99"/>
      <c r="G122" s="35"/>
      <c r="H122" s="35"/>
      <c r="I122" s="36"/>
      <c r="J122" s="36"/>
      <c r="L122" s="35"/>
      <c r="M122" s="35"/>
    </row>
    <row r="123" spans="3:13" ht="25.8">
      <c r="C123" s="35"/>
      <c r="D123" s="94" t="s">
        <v>23</v>
      </c>
      <c r="E123" s="94" t="s">
        <v>4</v>
      </c>
      <c r="F123" s="99"/>
      <c r="G123" s="35"/>
      <c r="H123" s="35"/>
      <c r="I123" s="36"/>
      <c r="J123" s="36"/>
      <c r="L123" s="35"/>
      <c r="M123" s="35"/>
    </row>
    <row r="124" spans="3:13" ht="25.8">
      <c r="C124" s="35"/>
      <c r="D124" s="94" t="s">
        <v>23</v>
      </c>
      <c r="E124" s="94" t="s">
        <v>4</v>
      </c>
      <c r="F124" s="99"/>
      <c r="G124" s="35"/>
      <c r="H124" s="35"/>
      <c r="I124" s="36"/>
      <c r="J124" s="36"/>
      <c r="L124" s="35"/>
      <c r="M124" s="35"/>
    </row>
    <row r="125" spans="3:13" ht="25.8">
      <c r="C125" s="35"/>
      <c r="D125" s="94" t="s">
        <v>23</v>
      </c>
      <c r="E125" s="94" t="s">
        <v>4</v>
      </c>
      <c r="F125" s="99"/>
      <c r="G125" s="35"/>
      <c r="H125" s="35"/>
      <c r="I125" s="36"/>
      <c r="J125" s="36"/>
      <c r="L125" s="35"/>
      <c r="M125" s="35"/>
    </row>
    <row r="126" spans="3:13" ht="25.8">
      <c r="C126" s="35"/>
      <c r="D126" s="94" t="s">
        <v>23</v>
      </c>
      <c r="E126" s="94" t="s">
        <v>4</v>
      </c>
      <c r="F126" s="99"/>
      <c r="G126" s="35"/>
      <c r="H126" s="35"/>
      <c r="I126" s="36"/>
      <c r="J126" s="36"/>
      <c r="L126" s="35"/>
      <c r="M126" s="35"/>
    </row>
    <row r="127" spans="3:13" ht="25.8">
      <c r="C127" s="35"/>
      <c r="D127" s="94" t="s">
        <v>23</v>
      </c>
      <c r="E127" s="94" t="s">
        <v>4</v>
      </c>
      <c r="F127" s="99"/>
      <c r="G127" s="35"/>
      <c r="H127" s="35"/>
      <c r="I127" s="36"/>
      <c r="J127" s="36"/>
      <c r="L127" s="35"/>
      <c r="M127" s="35"/>
    </row>
    <row r="128" spans="3:13" ht="25.8">
      <c r="C128" s="35"/>
      <c r="D128" s="94" t="s">
        <v>23</v>
      </c>
      <c r="E128" s="94" t="s">
        <v>4</v>
      </c>
      <c r="F128" s="99"/>
      <c r="G128" s="35"/>
      <c r="H128" s="35"/>
      <c r="I128" s="36"/>
      <c r="J128" s="36"/>
      <c r="L128" s="35"/>
      <c r="M128" s="35"/>
    </row>
    <row r="129" spans="3:13" ht="25.8">
      <c r="C129" s="35"/>
      <c r="D129" s="94" t="s">
        <v>23</v>
      </c>
      <c r="E129" s="94" t="s">
        <v>4</v>
      </c>
      <c r="F129" s="99"/>
      <c r="G129" s="35"/>
      <c r="H129" s="35"/>
      <c r="I129" s="36"/>
      <c r="J129" s="36"/>
      <c r="L129" s="35"/>
      <c r="M129" s="35"/>
    </row>
    <row r="130" spans="3:13" ht="25.8">
      <c r="C130" s="35"/>
      <c r="D130" s="94" t="s">
        <v>23</v>
      </c>
      <c r="E130" s="94" t="s">
        <v>4</v>
      </c>
      <c r="F130" s="99"/>
      <c r="G130" s="35"/>
      <c r="H130" s="35"/>
      <c r="I130" s="36"/>
      <c r="J130" s="36"/>
      <c r="L130" s="35"/>
      <c r="M130" s="35"/>
    </row>
    <row r="131" spans="3:13" ht="25.8">
      <c r="C131" s="35"/>
      <c r="D131" s="94" t="s">
        <v>23</v>
      </c>
      <c r="E131" s="94" t="s">
        <v>4</v>
      </c>
      <c r="F131" s="99"/>
      <c r="G131" s="35"/>
      <c r="H131" s="35"/>
      <c r="I131" s="36"/>
      <c r="J131" s="36"/>
      <c r="L131" s="35"/>
      <c r="M131" s="35"/>
    </row>
    <row r="132" spans="3:13" ht="25.8">
      <c r="C132" s="35"/>
      <c r="D132" s="94" t="s">
        <v>23</v>
      </c>
      <c r="E132" s="94" t="s">
        <v>4</v>
      </c>
      <c r="F132" s="99"/>
      <c r="G132" s="35"/>
      <c r="H132" s="35"/>
      <c r="I132" s="36"/>
      <c r="J132" s="36"/>
      <c r="L132" s="35"/>
      <c r="M132" s="35"/>
    </row>
    <row r="133" spans="3:13" ht="25.8">
      <c r="C133" s="35"/>
      <c r="D133" s="94" t="s">
        <v>23</v>
      </c>
      <c r="E133" s="94" t="s">
        <v>4</v>
      </c>
      <c r="F133" s="99"/>
      <c r="G133" s="35"/>
      <c r="H133" s="35"/>
      <c r="I133" s="36"/>
      <c r="J133" s="36"/>
      <c r="L133" s="35"/>
      <c r="M133" s="35"/>
    </row>
    <row r="134" spans="3:13" ht="25.8">
      <c r="C134" s="35"/>
      <c r="D134" s="94" t="s">
        <v>23</v>
      </c>
      <c r="E134" s="94" t="s">
        <v>4</v>
      </c>
      <c r="F134" s="99"/>
      <c r="G134" s="35"/>
      <c r="H134" s="35"/>
      <c r="I134" s="36"/>
      <c r="J134" s="36"/>
      <c r="L134" s="35"/>
      <c r="M134" s="35"/>
    </row>
    <row r="135" spans="3:13" ht="25.8">
      <c r="C135" s="35"/>
      <c r="D135" s="94" t="s">
        <v>23</v>
      </c>
      <c r="E135" s="94" t="s">
        <v>4</v>
      </c>
      <c r="F135" s="99"/>
      <c r="G135" s="35"/>
      <c r="H135" s="35"/>
      <c r="I135" s="36"/>
      <c r="J135" s="36"/>
      <c r="L135" s="35"/>
      <c r="M135" s="35"/>
    </row>
    <row r="136" spans="3:13" ht="25.8">
      <c r="C136" s="35"/>
      <c r="D136" s="94" t="s">
        <v>23</v>
      </c>
      <c r="E136" s="94" t="s">
        <v>4</v>
      </c>
      <c r="F136" s="99"/>
      <c r="G136" s="35"/>
      <c r="H136" s="35"/>
      <c r="I136" s="36"/>
      <c r="J136" s="36"/>
      <c r="L136" s="35"/>
      <c r="M136" s="35"/>
    </row>
    <row r="137" spans="3:13" ht="25.8">
      <c r="C137" s="35"/>
      <c r="D137" s="94" t="s">
        <v>23</v>
      </c>
      <c r="E137" s="94" t="s">
        <v>4</v>
      </c>
      <c r="F137" s="99"/>
      <c r="G137" s="35"/>
      <c r="H137" s="35"/>
      <c r="I137" s="36"/>
      <c r="J137" s="36"/>
      <c r="L137" s="35"/>
      <c r="M137" s="35"/>
    </row>
    <row r="138" spans="3:13" ht="25.8">
      <c r="C138" s="35"/>
      <c r="D138" s="94" t="s">
        <v>23</v>
      </c>
      <c r="E138" s="94" t="s">
        <v>4</v>
      </c>
      <c r="F138" s="99"/>
      <c r="G138" s="35"/>
      <c r="H138" s="35"/>
      <c r="I138" s="36"/>
      <c r="J138" s="36"/>
      <c r="L138" s="35"/>
      <c r="M138" s="35"/>
    </row>
    <row r="139" spans="3:13" ht="25.8">
      <c r="C139" s="35"/>
      <c r="D139" s="94" t="s">
        <v>23</v>
      </c>
      <c r="E139" s="94" t="s">
        <v>4</v>
      </c>
      <c r="F139" s="99"/>
      <c r="G139" s="35"/>
      <c r="H139" s="35"/>
      <c r="I139" s="36"/>
      <c r="J139" s="36"/>
      <c r="L139" s="35"/>
      <c r="M139" s="35"/>
    </row>
    <row r="140" spans="3:13" ht="25.8">
      <c r="C140" s="35"/>
      <c r="D140" s="94" t="s">
        <v>23</v>
      </c>
      <c r="E140" s="94" t="s">
        <v>4</v>
      </c>
      <c r="F140" s="99"/>
      <c r="G140" s="35"/>
      <c r="H140" s="35"/>
      <c r="I140" s="36"/>
      <c r="J140" s="36"/>
      <c r="L140" s="35"/>
      <c r="M140" s="35"/>
    </row>
    <row r="141" spans="3:13" ht="25.8">
      <c r="C141" s="35"/>
      <c r="D141" s="94" t="s">
        <v>23</v>
      </c>
      <c r="E141" s="94" t="s">
        <v>4</v>
      </c>
      <c r="F141" s="99"/>
      <c r="G141" s="35"/>
      <c r="H141" s="35"/>
      <c r="I141" s="36"/>
      <c r="J141" s="36"/>
      <c r="L141" s="35"/>
      <c r="M141" s="35"/>
    </row>
    <row r="142" spans="3:13" ht="25.8">
      <c r="C142" s="35"/>
      <c r="D142" s="94" t="s">
        <v>23</v>
      </c>
      <c r="E142" s="94" t="s">
        <v>4</v>
      </c>
      <c r="F142" s="99"/>
      <c r="G142" s="35"/>
      <c r="H142" s="35"/>
      <c r="I142" s="36"/>
      <c r="J142" s="36"/>
      <c r="L142" s="35"/>
      <c r="M142" s="35"/>
    </row>
    <row r="143" spans="3:13" ht="25.8">
      <c r="C143" s="35"/>
      <c r="D143" s="94" t="s">
        <v>23</v>
      </c>
      <c r="E143" s="94" t="s">
        <v>4</v>
      </c>
      <c r="F143" s="99"/>
      <c r="G143" s="35"/>
      <c r="H143" s="35"/>
      <c r="I143" s="36"/>
      <c r="J143" s="36"/>
      <c r="L143" s="35"/>
      <c r="M143" s="35"/>
    </row>
    <row r="144" spans="3:13" ht="25.8">
      <c r="C144" s="35"/>
      <c r="D144" s="94" t="s">
        <v>23</v>
      </c>
      <c r="E144" s="94" t="s">
        <v>4</v>
      </c>
      <c r="F144" s="99"/>
      <c r="G144" s="35"/>
      <c r="H144" s="35"/>
      <c r="I144" s="36"/>
      <c r="J144" s="36"/>
      <c r="L144" s="35"/>
      <c r="M144" s="35"/>
    </row>
    <row r="145" spans="3:13" ht="25.8">
      <c r="C145" s="35"/>
      <c r="D145" s="94" t="s">
        <v>23</v>
      </c>
      <c r="E145" s="94" t="s">
        <v>4</v>
      </c>
      <c r="F145" s="99"/>
      <c r="G145" s="35"/>
      <c r="H145" s="35"/>
      <c r="I145" s="36"/>
      <c r="J145" s="36"/>
      <c r="L145" s="35"/>
      <c r="M145" s="35"/>
    </row>
    <row r="146" spans="3:13" ht="25.8">
      <c r="C146" s="35"/>
      <c r="D146" s="94" t="s">
        <v>23</v>
      </c>
      <c r="E146" s="94" t="s">
        <v>4</v>
      </c>
      <c r="F146" s="99"/>
      <c r="G146" s="35"/>
      <c r="H146" s="35"/>
      <c r="I146" s="36"/>
      <c r="J146" s="36"/>
      <c r="L146" s="35"/>
      <c r="M146" s="35"/>
    </row>
    <row r="147" spans="3:13" ht="25.8">
      <c r="C147" s="35"/>
      <c r="D147" s="94" t="s">
        <v>23</v>
      </c>
      <c r="E147" s="94" t="s">
        <v>4</v>
      </c>
      <c r="F147" s="99"/>
      <c r="G147" s="35"/>
      <c r="H147" s="35"/>
      <c r="I147" s="36"/>
      <c r="J147" s="36"/>
      <c r="L147" s="35"/>
      <c r="M147" s="35"/>
    </row>
    <row r="148" spans="3:13" ht="25.8">
      <c r="C148" s="35"/>
      <c r="D148" s="94" t="s">
        <v>23</v>
      </c>
      <c r="E148" s="94" t="s">
        <v>4</v>
      </c>
      <c r="F148" s="99"/>
      <c r="G148" s="35"/>
      <c r="H148" s="35"/>
      <c r="I148" s="36"/>
      <c r="J148" s="36"/>
      <c r="L148" s="35"/>
      <c r="M148" s="35"/>
    </row>
    <row r="149" spans="3:13" ht="25.8">
      <c r="C149" s="35"/>
      <c r="D149" s="94" t="s">
        <v>23</v>
      </c>
      <c r="E149" s="94" t="s">
        <v>4</v>
      </c>
      <c r="F149" s="99"/>
      <c r="G149" s="35"/>
      <c r="H149" s="35"/>
      <c r="I149" s="36"/>
      <c r="J149" s="36"/>
      <c r="L149" s="35"/>
      <c r="M149" s="35"/>
    </row>
    <row r="150" spans="3:13" ht="25.8">
      <c r="C150" s="35"/>
      <c r="D150" s="94" t="s">
        <v>23</v>
      </c>
      <c r="E150" s="94" t="s">
        <v>4</v>
      </c>
      <c r="F150" s="99"/>
      <c r="G150" s="35"/>
      <c r="H150" s="35"/>
      <c r="I150" s="36"/>
      <c r="J150" s="36"/>
      <c r="L150" s="35"/>
      <c r="M150" s="35"/>
    </row>
    <row r="151" spans="3:13" ht="25.8">
      <c r="C151" s="35"/>
      <c r="D151" s="94" t="s">
        <v>23</v>
      </c>
      <c r="E151" s="94" t="s">
        <v>4</v>
      </c>
      <c r="F151" s="99"/>
      <c r="G151" s="35"/>
      <c r="H151" s="35"/>
      <c r="I151" s="36"/>
      <c r="J151" s="36"/>
      <c r="L151" s="35"/>
      <c r="M151" s="35"/>
    </row>
    <row r="152" spans="3:13" ht="25.8">
      <c r="C152" s="35"/>
      <c r="D152" s="94" t="s">
        <v>23</v>
      </c>
      <c r="E152" s="94" t="s">
        <v>4</v>
      </c>
      <c r="F152" s="99"/>
      <c r="G152" s="35"/>
      <c r="H152" s="35"/>
      <c r="I152" s="36"/>
      <c r="J152" s="36"/>
      <c r="L152" s="35"/>
      <c r="M152" s="35"/>
    </row>
    <row r="153" spans="3:13" ht="25.8">
      <c r="C153" s="35"/>
      <c r="D153" s="94" t="s">
        <v>23</v>
      </c>
      <c r="E153" s="94" t="s">
        <v>4</v>
      </c>
      <c r="F153" s="99"/>
      <c r="G153" s="35"/>
      <c r="H153" s="35"/>
      <c r="I153" s="36"/>
      <c r="J153" s="36"/>
      <c r="L153" s="35"/>
      <c r="M153" s="35"/>
    </row>
    <row r="154" spans="3:13" ht="25.8">
      <c r="C154" s="35"/>
      <c r="D154" s="94" t="s">
        <v>23</v>
      </c>
      <c r="E154" s="94" t="s">
        <v>4</v>
      </c>
      <c r="F154" s="99"/>
      <c r="G154" s="35"/>
      <c r="H154" s="35"/>
      <c r="I154" s="36"/>
      <c r="J154" s="36"/>
      <c r="L154" s="35"/>
      <c r="M154" s="35"/>
    </row>
    <row r="155" spans="3:13" ht="25.8">
      <c r="C155" s="35"/>
      <c r="D155" s="94" t="s">
        <v>23</v>
      </c>
      <c r="E155" s="94" t="s">
        <v>4</v>
      </c>
      <c r="F155" s="99"/>
      <c r="G155" s="35"/>
      <c r="H155" s="35"/>
      <c r="I155" s="36"/>
      <c r="J155" s="36"/>
      <c r="L155" s="35"/>
      <c r="M155" s="35"/>
    </row>
    <row r="156" spans="3:13" ht="25.8">
      <c r="C156" s="35"/>
      <c r="D156" s="94" t="s">
        <v>23</v>
      </c>
      <c r="E156" s="94" t="s">
        <v>4</v>
      </c>
      <c r="F156" s="99"/>
      <c r="G156" s="35"/>
      <c r="H156" s="35"/>
      <c r="I156" s="36"/>
      <c r="J156" s="36"/>
      <c r="L156" s="35"/>
      <c r="M156" s="35"/>
    </row>
    <row r="157" spans="3:13" ht="25.8">
      <c r="C157" s="35"/>
      <c r="D157" s="94" t="s">
        <v>23</v>
      </c>
      <c r="E157" s="94" t="s">
        <v>4</v>
      </c>
      <c r="F157" s="99"/>
      <c r="G157" s="35"/>
      <c r="H157" s="35"/>
      <c r="I157" s="36"/>
      <c r="J157" s="36"/>
      <c r="L157" s="35"/>
      <c r="M157" s="35"/>
    </row>
    <row r="158" spans="3:13" ht="25.8">
      <c r="C158" s="35"/>
      <c r="D158" s="94" t="s">
        <v>23</v>
      </c>
      <c r="E158" s="94" t="s">
        <v>4</v>
      </c>
      <c r="F158" s="99"/>
      <c r="G158" s="35"/>
      <c r="H158" s="35"/>
      <c r="I158" s="36"/>
      <c r="J158" s="36"/>
      <c r="L158" s="35"/>
      <c r="M158" s="35"/>
    </row>
    <row r="159" spans="3:13" ht="25.8">
      <c r="C159" s="35"/>
      <c r="D159" s="94" t="s">
        <v>23</v>
      </c>
      <c r="E159" s="94" t="s">
        <v>4</v>
      </c>
      <c r="F159" s="99"/>
      <c r="G159" s="35"/>
      <c r="H159" s="35"/>
      <c r="I159" s="36"/>
      <c r="J159" s="36"/>
      <c r="L159" s="35"/>
      <c r="M159" s="35"/>
    </row>
    <row r="160" spans="3:13" ht="25.8">
      <c r="C160" s="35"/>
      <c r="D160" s="94" t="s">
        <v>23</v>
      </c>
      <c r="E160" s="94" t="s">
        <v>4</v>
      </c>
      <c r="F160" s="99"/>
      <c r="G160" s="35"/>
      <c r="H160" s="35"/>
      <c r="I160" s="36"/>
      <c r="J160" s="36"/>
      <c r="L160" s="35"/>
      <c r="M160" s="35"/>
    </row>
    <row r="161" spans="3:13" ht="25.8">
      <c r="C161" s="35"/>
      <c r="D161" s="94" t="s">
        <v>23</v>
      </c>
      <c r="E161" s="94" t="s">
        <v>4</v>
      </c>
      <c r="F161" s="99"/>
      <c r="G161" s="35"/>
      <c r="H161" s="35"/>
      <c r="I161" s="36"/>
      <c r="J161" s="36"/>
      <c r="L161" s="35"/>
      <c r="M161" s="35"/>
    </row>
    <row r="162" spans="3:13" ht="25.8">
      <c r="C162" s="35"/>
      <c r="D162" s="94" t="s">
        <v>23</v>
      </c>
      <c r="E162" s="94" t="s">
        <v>4</v>
      </c>
      <c r="F162" s="99"/>
      <c r="G162" s="35"/>
      <c r="H162" s="35"/>
      <c r="I162" s="36"/>
      <c r="J162" s="36"/>
      <c r="L162" s="35"/>
      <c r="M162" s="35"/>
    </row>
    <row r="163" spans="3:13" ht="25.8">
      <c r="C163" s="35"/>
      <c r="D163" s="94" t="s">
        <v>23</v>
      </c>
      <c r="E163" s="94" t="s">
        <v>4</v>
      </c>
      <c r="F163" s="99"/>
      <c r="G163" s="35"/>
      <c r="H163" s="35"/>
      <c r="I163" s="36"/>
      <c r="J163" s="36"/>
      <c r="L163" s="35"/>
      <c r="M163" s="35"/>
    </row>
    <row r="164" spans="3:13" ht="25.8">
      <c r="C164" s="35"/>
      <c r="D164" s="94" t="s">
        <v>23</v>
      </c>
      <c r="E164" s="94" t="s">
        <v>4</v>
      </c>
      <c r="F164" s="99"/>
      <c r="G164" s="35"/>
      <c r="H164" s="35"/>
      <c r="I164" s="36"/>
      <c r="J164" s="36"/>
      <c r="L164" s="35"/>
      <c r="M164" s="35"/>
    </row>
    <row r="165" spans="3:13" ht="25.8">
      <c r="C165" s="35"/>
      <c r="D165" s="94" t="s">
        <v>23</v>
      </c>
      <c r="E165" s="94" t="s">
        <v>4</v>
      </c>
      <c r="F165" s="99"/>
      <c r="G165" s="35"/>
      <c r="H165" s="35"/>
      <c r="I165" s="36"/>
      <c r="J165" s="36"/>
      <c r="L165" s="35"/>
      <c r="M165" s="35"/>
    </row>
    <row r="166" spans="3:13" ht="25.8">
      <c r="C166" s="35"/>
      <c r="D166" s="94" t="s">
        <v>23</v>
      </c>
      <c r="E166" s="94" t="s">
        <v>4</v>
      </c>
      <c r="F166" s="99"/>
      <c r="G166" s="35"/>
      <c r="H166" s="35"/>
      <c r="I166" s="36"/>
      <c r="J166" s="36"/>
      <c r="L166" s="35"/>
      <c r="M166" s="35"/>
    </row>
    <row r="167" spans="3:13" ht="25.8">
      <c r="C167" s="35"/>
      <c r="D167" s="94" t="s">
        <v>23</v>
      </c>
      <c r="E167" s="94" t="s">
        <v>4</v>
      </c>
      <c r="F167" s="99"/>
      <c r="G167" s="35"/>
      <c r="H167" s="35"/>
      <c r="I167" s="36"/>
      <c r="J167" s="36"/>
      <c r="L167" s="35"/>
      <c r="M167" s="35"/>
    </row>
    <row r="168" spans="3:13" ht="25.8">
      <c r="C168" s="35"/>
      <c r="D168" s="94" t="s">
        <v>23</v>
      </c>
      <c r="E168" s="94" t="s">
        <v>4</v>
      </c>
      <c r="F168" s="99"/>
      <c r="G168" s="35"/>
      <c r="H168" s="35"/>
      <c r="I168" s="36"/>
      <c r="J168" s="36"/>
      <c r="L168" s="35"/>
      <c r="M168" s="35"/>
    </row>
    <row r="169" spans="3:13" ht="25.8">
      <c r="C169" s="35"/>
      <c r="D169" s="94" t="s">
        <v>23</v>
      </c>
      <c r="E169" s="94" t="s">
        <v>4</v>
      </c>
      <c r="F169" s="99"/>
      <c r="G169" s="35"/>
      <c r="H169" s="35"/>
      <c r="I169" s="36"/>
      <c r="J169" s="36"/>
      <c r="L169" s="35"/>
      <c r="M169" s="35"/>
    </row>
    <row r="170" spans="3:13" ht="25.8">
      <c r="C170" s="35"/>
      <c r="D170" s="94" t="s">
        <v>23</v>
      </c>
      <c r="E170" s="94" t="s">
        <v>4</v>
      </c>
      <c r="F170" s="99"/>
      <c r="G170" s="35"/>
      <c r="H170" s="35"/>
      <c r="I170" s="36"/>
      <c r="J170" s="36"/>
      <c r="L170" s="35"/>
      <c r="M170" s="35"/>
    </row>
    <row r="171" spans="3:13" ht="25.8">
      <c r="C171" s="35"/>
      <c r="D171" s="94" t="s">
        <v>23</v>
      </c>
      <c r="E171" s="94" t="s">
        <v>4</v>
      </c>
      <c r="F171" s="99"/>
      <c r="G171" s="35"/>
      <c r="H171" s="35"/>
      <c r="I171" s="36"/>
      <c r="J171" s="36"/>
      <c r="L171" s="35"/>
      <c r="M171" s="35"/>
    </row>
    <row r="172" spans="3:13" ht="25.8">
      <c r="C172" s="35"/>
      <c r="D172" s="94" t="s">
        <v>23</v>
      </c>
      <c r="E172" s="94" t="s">
        <v>4</v>
      </c>
      <c r="F172" s="99"/>
      <c r="G172" s="35"/>
      <c r="H172" s="35"/>
      <c r="I172" s="36"/>
      <c r="J172" s="36"/>
      <c r="L172" s="35"/>
      <c r="M172" s="35"/>
    </row>
    <row r="173" spans="3:13" ht="25.8">
      <c r="C173" s="35"/>
      <c r="D173" s="94" t="s">
        <v>23</v>
      </c>
      <c r="E173" s="94" t="s">
        <v>4</v>
      </c>
      <c r="F173" s="99"/>
      <c r="G173" s="35"/>
      <c r="H173" s="35"/>
      <c r="I173" s="36"/>
      <c r="J173" s="36"/>
      <c r="L173" s="35"/>
      <c r="M173" s="35"/>
    </row>
    <row r="174" spans="3:13" ht="25.8">
      <c r="C174" s="35"/>
      <c r="D174" s="94" t="s">
        <v>23</v>
      </c>
      <c r="E174" s="94" t="s">
        <v>4</v>
      </c>
      <c r="F174" s="99"/>
      <c r="G174" s="35"/>
      <c r="H174" s="35"/>
      <c r="I174" s="36"/>
      <c r="J174" s="36"/>
      <c r="L174" s="35"/>
      <c r="M174" s="35"/>
    </row>
    <row r="175" spans="3:13" ht="25.8">
      <c r="C175" s="35"/>
      <c r="D175" s="94" t="s">
        <v>23</v>
      </c>
      <c r="E175" s="94" t="s">
        <v>4</v>
      </c>
      <c r="F175" s="99"/>
      <c r="G175" s="35"/>
      <c r="H175" s="35"/>
      <c r="I175" s="36"/>
      <c r="J175" s="36"/>
      <c r="L175" s="35"/>
      <c r="M175" s="35"/>
    </row>
    <row r="176" spans="3:13" ht="25.8">
      <c r="C176" s="35"/>
      <c r="D176" s="94" t="s">
        <v>23</v>
      </c>
      <c r="E176" s="94" t="s">
        <v>4</v>
      </c>
      <c r="F176" s="99"/>
      <c r="G176" s="35"/>
      <c r="H176" s="35"/>
      <c r="I176" s="36"/>
      <c r="J176" s="36"/>
      <c r="L176" s="35"/>
      <c r="M176" s="35"/>
    </row>
    <row r="177" spans="3:13" ht="25.8">
      <c r="C177" s="35"/>
      <c r="D177" s="94" t="s">
        <v>23</v>
      </c>
      <c r="E177" s="94" t="s">
        <v>4</v>
      </c>
      <c r="F177" s="99"/>
      <c r="G177" s="35"/>
      <c r="H177" s="35"/>
      <c r="I177" s="36"/>
      <c r="J177" s="36"/>
      <c r="L177" s="35"/>
      <c r="M177" s="35"/>
    </row>
    <row r="178" spans="3:13" ht="25.8">
      <c r="C178" s="35"/>
      <c r="D178" s="94" t="s">
        <v>23</v>
      </c>
      <c r="E178" s="94" t="s">
        <v>4</v>
      </c>
      <c r="F178" s="99"/>
      <c r="G178" s="35"/>
      <c r="H178" s="35"/>
      <c r="I178" s="36"/>
      <c r="J178" s="36"/>
      <c r="L178" s="35"/>
      <c r="M178" s="35"/>
    </row>
    <row r="179" spans="3:13" ht="25.8">
      <c r="C179" s="35"/>
      <c r="D179" s="94" t="s">
        <v>23</v>
      </c>
      <c r="E179" s="94" t="s">
        <v>4</v>
      </c>
      <c r="F179" s="99"/>
      <c r="G179" s="35"/>
      <c r="H179" s="35"/>
      <c r="I179" s="36"/>
      <c r="J179" s="36"/>
      <c r="L179" s="35"/>
      <c r="M179" s="35"/>
    </row>
    <row r="180" spans="3:13" ht="25.8">
      <c r="C180" s="35"/>
      <c r="D180" s="94" t="s">
        <v>23</v>
      </c>
      <c r="E180" s="94" t="s">
        <v>4</v>
      </c>
      <c r="F180" s="99"/>
      <c r="G180" s="35"/>
      <c r="H180" s="35"/>
      <c r="I180" s="36"/>
      <c r="J180" s="36"/>
      <c r="L180" s="35"/>
      <c r="M180" s="35"/>
    </row>
    <row r="181" spans="3:13" ht="25.8">
      <c r="C181" s="35"/>
      <c r="D181" s="94" t="s">
        <v>23</v>
      </c>
      <c r="E181" s="94" t="s">
        <v>4</v>
      </c>
      <c r="F181" s="99"/>
      <c r="G181" s="35"/>
      <c r="H181" s="35"/>
      <c r="I181" s="36"/>
      <c r="J181" s="36"/>
      <c r="L181" s="35"/>
      <c r="M181" s="35"/>
    </row>
    <row r="182" spans="3:13" ht="25.8">
      <c r="C182" s="35"/>
      <c r="D182" s="94" t="s">
        <v>23</v>
      </c>
      <c r="E182" s="94" t="s">
        <v>4</v>
      </c>
      <c r="F182" s="99"/>
      <c r="G182" s="35"/>
      <c r="H182" s="35"/>
      <c r="I182" s="36"/>
      <c r="J182" s="36"/>
      <c r="L182" s="35"/>
      <c r="M182" s="35"/>
    </row>
    <row r="183" spans="3:13" ht="25.8">
      <c r="C183" s="35"/>
      <c r="D183" s="94" t="s">
        <v>23</v>
      </c>
      <c r="E183" s="94" t="s">
        <v>4</v>
      </c>
      <c r="F183" s="99"/>
      <c r="G183" s="35"/>
      <c r="H183" s="35"/>
      <c r="I183" s="36"/>
      <c r="J183" s="36"/>
      <c r="L183" s="35"/>
      <c r="M183" s="35"/>
    </row>
    <row r="184" spans="3:13" ht="25.8">
      <c r="C184" s="35"/>
      <c r="D184" s="94" t="s">
        <v>23</v>
      </c>
      <c r="E184" s="94" t="s">
        <v>4</v>
      </c>
      <c r="F184" s="99"/>
      <c r="G184" s="35"/>
      <c r="H184" s="35"/>
      <c r="I184" s="36"/>
      <c r="J184" s="36"/>
      <c r="L184" s="35"/>
      <c r="M184" s="35"/>
    </row>
    <row r="185" spans="3:13" ht="25.8">
      <c r="C185" s="35"/>
      <c r="D185" s="94" t="s">
        <v>23</v>
      </c>
      <c r="E185" s="94" t="s">
        <v>4</v>
      </c>
      <c r="F185" s="99"/>
      <c r="G185" s="35"/>
      <c r="H185" s="35"/>
      <c r="I185" s="36"/>
      <c r="J185" s="36"/>
      <c r="L185" s="35"/>
      <c r="M185" s="35"/>
    </row>
    <row r="186" spans="3:13" ht="25.8">
      <c r="C186" s="35"/>
      <c r="D186" s="94" t="s">
        <v>23</v>
      </c>
      <c r="E186" s="94" t="s">
        <v>4</v>
      </c>
      <c r="F186" s="99"/>
      <c r="G186" s="35"/>
      <c r="H186" s="35"/>
      <c r="I186" s="36"/>
      <c r="J186" s="36"/>
      <c r="L186" s="35"/>
      <c r="M186" s="35"/>
    </row>
    <row r="187" spans="3:13" ht="25.8">
      <c r="C187" s="35"/>
      <c r="D187" s="94" t="s">
        <v>23</v>
      </c>
      <c r="E187" s="94" t="s">
        <v>4</v>
      </c>
      <c r="F187" s="99"/>
      <c r="G187" s="35"/>
      <c r="H187" s="35"/>
      <c r="I187" s="36"/>
      <c r="J187" s="36"/>
      <c r="L187" s="35"/>
      <c r="M187" s="35"/>
    </row>
    <row r="188" spans="3:13" ht="25.8">
      <c r="C188" s="35"/>
      <c r="D188" s="94" t="s">
        <v>23</v>
      </c>
      <c r="E188" s="94" t="s">
        <v>4</v>
      </c>
      <c r="F188" s="99"/>
      <c r="G188" s="35"/>
      <c r="H188" s="35"/>
      <c r="I188" s="36"/>
      <c r="J188" s="36"/>
      <c r="L188" s="35"/>
      <c r="M188" s="35"/>
    </row>
    <row r="189" spans="3:13" ht="25.8">
      <c r="C189" s="35"/>
      <c r="D189" s="94" t="s">
        <v>23</v>
      </c>
      <c r="E189" s="94" t="s">
        <v>4</v>
      </c>
      <c r="F189" s="99"/>
      <c r="G189" s="35"/>
      <c r="H189" s="35"/>
      <c r="I189" s="36"/>
      <c r="J189" s="36"/>
      <c r="L189" s="35"/>
      <c r="M189" s="35"/>
    </row>
    <row r="190" spans="3:13" ht="25.8">
      <c r="C190" s="35"/>
      <c r="D190" s="94" t="s">
        <v>23</v>
      </c>
      <c r="E190" s="94" t="s">
        <v>4</v>
      </c>
      <c r="F190" s="99"/>
      <c r="G190" s="35"/>
      <c r="H190" s="35"/>
      <c r="I190" s="36"/>
      <c r="J190" s="36"/>
      <c r="L190" s="35"/>
      <c r="M190" s="35"/>
    </row>
    <row r="191" spans="3:13" ht="25.8">
      <c r="C191" s="35"/>
      <c r="D191" s="94" t="s">
        <v>23</v>
      </c>
      <c r="E191" s="94" t="s">
        <v>4</v>
      </c>
      <c r="F191" s="99"/>
      <c r="G191" s="35"/>
      <c r="H191" s="35"/>
      <c r="I191" s="36"/>
      <c r="J191" s="36"/>
      <c r="L191" s="35"/>
      <c r="M191" s="35"/>
    </row>
    <row r="192" spans="3:13" ht="25.8">
      <c r="C192" s="35"/>
      <c r="D192" s="94" t="s">
        <v>23</v>
      </c>
      <c r="E192" s="94" t="s">
        <v>4</v>
      </c>
      <c r="F192" s="99"/>
      <c r="G192" s="35"/>
      <c r="H192" s="35"/>
      <c r="I192" s="36"/>
      <c r="J192" s="36"/>
      <c r="L192" s="35"/>
      <c r="M192" s="35"/>
    </row>
    <row r="193" spans="3:13" ht="25.8">
      <c r="C193" s="35"/>
      <c r="D193" s="94" t="s">
        <v>23</v>
      </c>
      <c r="E193" s="94" t="s">
        <v>4</v>
      </c>
      <c r="F193" s="99"/>
      <c r="G193" s="35"/>
      <c r="H193" s="35"/>
      <c r="I193" s="36"/>
      <c r="J193" s="36"/>
      <c r="L193" s="35"/>
      <c r="M193" s="35"/>
    </row>
    <row r="194" spans="3:13" ht="25.8">
      <c r="C194" s="35"/>
      <c r="D194" s="94" t="s">
        <v>23</v>
      </c>
      <c r="E194" s="94" t="s">
        <v>4</v>
      </c>
      <c r="F194" s="99"/>
      <c r="G194" s="35"/>
      <c r="H194" s="35"/>
      <c r="I194" s="36"/>
      <c r="J194" s="36"/>
      <c r="L194" s="35"/>
      <c r="M194" s="35"/>
    </row>
    <row r="195" spans="3:13" ht="25.8">
      <c r="C195" s="35"/>
      <c r="D195" s="94" t="s">
        <v>23</v>
      </c>
      <c r="E195" s="94" t="s">
        <v>4</v>
      </c>
      <c r="F195" s="99"/>
      <c r="G195" s="35"/>
      <c r="H195" s="35"/>
      <c r="I195" s="36"/>
      <c r="J195" s="36"/>
      <c r="L195" s="35"/>
      <c r="M195" s="35"/>
    </row>
    <row r="196" spans="3:13" ht="25.8">
      <c r="C196" s="35"/>
      <c r="D196" s="94" t="s">
        <v>23</v>
      </c>
      <c r="E196" s="94" t="s">
        <v>4</v>
      </c>
      <c r="F196" s="99"/>
      <c r="G196" s="35"/>
      <c r="H196" s="35"/>
      <c r="I196" s="36"/>
      <c r="J196" s="36"/>
      <c r="L196" s="35"/>
      <c r="M196" s="35"/>
    </row>
    <row r="197" spans="3:13" ht="25.8">
      <c r="C197" s="35"/>
      <c r="D197" s="94" t="s">
        <v>23</v>
      </c>
      <c r="E197" s="94" t="s">
        <v>4</v>
      </c>
      <c r="F197" s="99"/>
      <c r="G197" s="35"/>
      <c r="H197" s="35"/>
      <c r="I197" s="36"/>
      <c r="J197" s="36"/>
      <c r="L197" s="35"/>
      <c r="M197" s="35"/>
    </row>
    <row r="198" spans="3:13" ht="25.8">
      <c r="C198" s="35"/>
      <c r="D198" s="94" t="s">
        <v>23</v>
      </c>
      <c r="E198" s="94" t="s">
        <v>4</v>
      </c>
      <c r="F198" s="99"/>
      <c r="G198" s="35"/>
      <c r="H198" s="35"/>
      <c r="I198" s="36"/>
      <c r="J198" s="36"/>
      <c r="L198" s="35"/>
      <c r="M198" s="35"/>
    </row>
    <row r="199" spans="3:13" ht="25.8">
      <c r="C199" s="35"/>
      <c r="D199" s="94" t="s">
        <v>23</v>
      </c>
      <c r="E199" s="94" t="s">
        <v>4</v>
      </c>
      <c r="F199" s="99"/>
      <c r="G199" s="35"/>
      <c r="H199" s="35"/>
      <c r="I199" s="36"/>
      <c r="J199" s="36"/>
      <c r="L199" s="35"/>
      <c r="M199" s="35"/>
    </row>
    <row r="200" spans="3:13" ht="25.8">
      <c r="C200" s="35"/>
      <c r="D200" s="94" t="s">
        <v>23</v>
      </c>
      <c r="E200" s="94" t="s">
        <v>4</v>
      </c>
      <c r="F200" s="99"/>
      <c r="G200" s="35"/>
      <c r="H200" s="35"/>
      <c r="I200" s="36"/>
      <c r="J200" s="36"/>
      <c r="L200" s="35"/>
      <c r="M200" s="35"/>
    </row>
    <row r="201" spans="3:13" ht="25.8">
      <c r="C201" s="35"/>
      <c r="D201" s="94" t="s">
        <v>23</v>
      </c>
      <c r="E201" s="94" t="s">
        <v>4</v>
      </c>
      <c r="F201" s="99"/>
      <c r="G201" s="35"/>
      <c r="H201" s="35"/>
      <c r="I201" s="36"/>
      <c r="J201" s="36"/>
      <c r="L201" s="35"/>
      <c r="M201" s="35"/>
    </row>
    <row r="202" spans="3:13" ht="25.8">
      <c r="C202" s="35"/>
      <c r="D202" s="94" t="s">
        <v>23</v>
      </c>
      <c r="E202" s="94" t="s">
        <v>4</v>
      </c>
      <c r="F202" s="99"/>
      <c r="G202" s="35"/>
      <c r="H202" s="35"/>
      <c r="I202" s="36"/>
      <c r="J202" s="36"/>
      <c r="L202" s="35"/>
      <c r="M202" s="35"/>
    </row>
    <row r="203" spans="3:13" ht="25.8">
      <c r="C203" s="35"/>
      <c r="D203" s="94" t="s">
        <v>23</v>
      </c>
      <c r="E203" s="94" t="s">
        <v>4</v>
      </c>
      <c r="F203" s="99"/>
      <c r="G203" s="35"/>
      <c r="H203" s="35"/>
      <c r="I203" s="36"/>
      <c r="J203" s="36"/>
      <c r="L203" s="35"/>
      <c r="M203" s="35"/>
    </row>
    <row r="204" spans="3:13" ht="25.8">
      <c r="C204" s="35"/>
      <c r="D204" s="94" t="s">
        <v>23</v>
      </c>
      <c r="E204" s="94" t="s">
        <v>4</v>
      </c>
      <c r="F204" s="99"/>
      <c r="G204" s="35"/>
      <c r="H204" s="35"/>
      <c r="I204" s="36"/>
      <c r="J204" s="36"/>
      <c r="L204" s="35"/>
      <c r="M204" s="35"/>
    </row>
    <row r="205" spans="3:13" ht="25.8">
      <c r="C205" s="35"/>
      <c r="D205" s="94" t="s">
        <v>23</v>
      </c>
      <c r="E205" s="94" t="s">
        <v>4</v>
      </c>
      <c r="F205" s="99"/>
      <c r="G205" s="35"/>
      <c r="H205" s="35"/>
      <c r="I205" s="36"/>
      <c r="J205" s="36"/>
      <c r="L205" s="35"/>
      <c r="M205" s="35"/>
    </row>
    <row r="206" spans="3:13" ht="25.8">
      <c r="C206" s="35"/>
      <c r="D206" s="94" t="s">
        <v>23</v>
      </c>
      <c r="E206" s="94" t="s">
        <v>4</v>
      </c>
      <c r="F206" s="99"/>
      <c r="G206" s="35"/>
      <c r="H206" s="35"/>
      <c r="I206" s="36"/>
      <c r="J206" s="36"/>
      <c r="L206" s="35"/>
      <c r="M206" s="35"/>
    </row>
    <row r="207" spans="3:13" ht="25.8">
      <c r="C207" s="35"/>
      <c r="D207" s="94" t="s">
        <v>23</v>
      </c>
      <c r="E207" s="94" t="s">
        <v>4</v>
      </c>
      <c r="F207" s="99"/>
      <c r="G207" s="35"/>
      <c r="H207" s="35"/>
      <c r="I207" s="36"/>
      <c r="J207" s="36"/>
      <c r="L207" s="35"/>
      <c r="M207" s="35"/>
    </row>
    <row r="208" spans="3:13" ht="25.8">
      <c r="C208" s="35"/>
      <c r="D208" s="94" t="s">
        <v>23</v>
      </c>
      <c r="E208" s="94" t="s">
        <v>4</v>
      </c>
      <c r="F208" s="99"/>
      <c r="G208" s="35"/>
      <c r="H208" s="35"/>
      <c r="I208" s="36"/>
      <c r="J208" s="36"/>
      <c r="L208" s="35"/>
      <c r="M208" s="35"/>
    </row>
    <row r="209" spans="3:13" ht="25.8">
      <c r="C209" s="35"/>
      <c r="D209" s="94" t="s">
        <v>23</v>
      </c>
      <c r="E209" s="94" t="s">
        <v>4</v>
      </c>
      <c r="F209" s="99"/>
      <c r="G209" s="35"/>
      <c r="H209" s="35"/>
      <c r="I209" s="36"/>
      <c r="J209" s="36"/>
      <c r="L209" s="35"/>
      <c r="M209" s="35"/>
    </row>
    <row r="210" spans="3:13" ht="25.8">
      <c r="C210" s="35"/>
      <c r="D210" s="94" t="s">
        <v>23</v>
      </c>
      <c r="E210" s="94" t="s">
        <v>4</v>
      </c>
      <c r="F210" s="99"/>
      <c r="G210" s="35"/>
      <c r="H210" s="35"/>
      <c r="I210" s="36"/>
      <c r="J210" s="36"/>
      <c r="L210" s="35"/>
      <c r="M210" s="35"/>
    </row>
    <row r="211" spans="3:13" ht="25.8">
      <c r="C211" s="35"/>
      <c r="D211" s="94" t="s">
        <v>23</v>
      </c>
      <c r="E211" s="94" t="s">
        <v>4</v>
      </c>
      <c r="F211" s="99"/>
      <c r="G211" s="35"/>
      <c r="H211" s="35"/>
      <c r="I211" s="36"/>
      <c r="J211" s="36"/>
      <c r="L211" s="35"/>
      <c r="M211" s="35"/>
    </row>
    <row r="212" spans="3:13" ht="25.8">
      <c r="C212" s="35"/>
      <c r="D212" s="94" t="s">
        <v>23</v>
      </c>
      <c r="E212" s="94" t="s">
        <v>4</v>
      </c>
      <c r="F212" s="99"/>
      <c r="G212" s="35"/>
      <c r="H212" s="35"/>
      <c r="I212" s="36"/>
      <c r="J212" s="36"/>
      <c r="L212" s="35"/>
      <c r="M212" s="35"/>
    </row>
    <row r="213" spans="3:13" ht="25.8">
      <c r="C213" s="35"/>
      <c r="D213" s="94" t="s">
        <v>23</v>
      </c>
      <c r="E213" s="94" t="s">
        <v>4</v>
      </c>
      <c r="F213" s="99"/>
      <c r="G213" s="35"/>
      <c r="H213" s="35"/>
      <c r="I213" s="36"/>
      <c r="J213" s="36"/>
      <c r="L213" s="35"/>
      <c r="M213" s="35"/>
    </row>
    <row r="214" spans="3:13" ht="25.8">
      <c r="C214" s="35"/>
      <c r="D214" s="94" t="s">
        <v>23</v>
      </c>
      <c r="E214" s="94" t="s">
        <v>4</v>
      </c>
      <c r="F214" s="99"/>
      <c r="G214" s="35"/>
      <c r="H214" s="35"/>
      <c r="I214" s="36"/>
      <c r="J214" s="36"/>
      <c r="L214" s="35"/>
      <c r="M214" s="35"/>
    </row>
    <row r="215" spans="3:13" ht="25.8">
      <c r="C215" s="35"/>
      <c r="D215" s="94" t="s">
        <v>23</v>
      </c>
      <c r="E215" s="94" t="s">
        <v>4</v>
      </c>
      <c r="F215" s="99"/>
      <c r="G215" s="35"/>
      <c r="H215" s="35"/>
      <c r="I215" s="36"/>
      <c r="J215" s="36"/>
      <c r="L215" s="35"/>
      <c r="M215" s="35"/>
    </row>
    <row r="216" spans="3:13" ht="25.8">
      <c r="C216" s="35"/>
      <c r="D216" s="94" t="s">
        <v>23</v>
      </c>
      <c r="E216" s="94" t="s">
        <v>4</v>
      </c>
      <c r="F216" s="99"/>
      <c r="G216" s="35"/>
      <c r="H216" s="35"/>
      <c r="I216" s="36"/>
      <c r="J216" s="36"/>
      <c r="L216" s="35"/>
      <c r="M216" s="35"/>
    </row>
    <row r="217" spans="3:13" ht="25.8">
      <c r="C217" s="35"/>
      <c r="D217" s="94" t="s">
        <v>23</v>
      </c>
      <c r="E217" s="94" t="s">
        <v>4</v>
      </c>
      <c r="F217" s="99"/>
      <c r="G217" s="35"/>
      <c r="H217" s="35"/>
      <c r="I217" s="36"/>
      <c r="J217" s="36"/>
      <c r="L217" s="35"/>
      <c r="M217" s="35"/>
    </row>
    <row r="218" spans="3:13" ht="25.8">
      <c r="C218" s="35"/>
      <c r="D218" s="94" t="s">
        <v>23</v>
      </c>
      <c r="E218" s="94" t="s">
        <v>4</v>
      </c>
      <c r="F218" s="99"/>
      <c r="G218" s="35"/>
      <c r="H218" s="35"/>
      <c r="I218" s="36"/>
      <c r="J218" s="36"/>
      <c r="L218" s="35"/>
      <c r="M218" s="35"/>
    </row>
    <row r="219" spans="3:13" ht="25.8">
      <c r="C219" s="35"/>
      <c r="D219" s="94" t="s">
        <v>23</v>
      </c>
      <c r="E219" s="94" t="s">
        <v>4</v>
      </c>
      <c r="F219" s="99"/>
      <c r="G219" s="35"/>
      <c r="H219" s="35"/>
      <c r="I219" s="36"/>
      <c r="J219" s="36"/>
      <c r="L219" s="35"/>
      <c r="M219" s="35"/>
    </row>
    <row r="220" spans="3:13" ht="25.8">
      <c r="C220" s="35"/>
      <c r="D220" s="94" t="s">
        <v>23</v>
      </c>
      <c r="E220" s="94" t="s">
        <v>4</v>
      </c>
      <c r="F220" s="99"/>
      <c r="G220" s="35"/>
      <c r="H220" s="35"/>
      <c r="I220" s="36"/>
      <c r="J220" s="36"/>
      <c r="L220" s="35"/>
      <c r="M220" s="35"/>
    </row>
    <row r="221" spans="3:13" ht="25.8">
      <c r="C221" s="35"/>
      <c r="D221" s="94" t="s">
        <v>23</v>
      </c>
      <c r="E221" s="94" t="s">
        <v>4</v>
      </c>
      <c r="F221" s="99"/>
      <c r="G221" s="35"/>
      <c r="H221" s="35"/>
      <c r="I221" s="36"/>
      <c r="J221" s="36"/>
      <c r="L221" s="35"/>
      <c r="M221" s="35"/>
    </row>
    <row r="222" spans="3:13" ht="25.8">
      <c r="C222" s="35"/>
      <c r="D222" s="94" t="s">
        <v>23</v>
      </c>
      <c r="E222" s="94" t="s">
        <v>4</v>
      </c>
      <c r="F222" s="99"/>
      <c r="G222" s="35"/>
      <c r="H222" s="35"/>
      <c r="I222" s="36"/>
      <c r="J222" s="36"/>
      <c r="L222" s="35"/>
      <c r="M222" s="35"/>
    </row>
    <row r="223" spans="3:13" ht="25.8">
      <c r="C223" s="35"/>
      <c r="D223" s="94" t="s">
        <v>23</v>
      </c>
      <c r="E223" s="94" t="s">
        <v>4</v>
      </c>
      <c r="F223" s="99"/>
      <c r="G223" s="35"/>
      <c r="H223" s="35"/>
      <c r="I223" s="36"/>
      <c r="J223" s="36"/>
      <c r="L223" s="35"/>
      <c r="M223" s="35"/>
    </row>
    <row r="224" spans="3:13" ht="25.8">
      <c r="C224" s="35"/>
      <c r="D224" s="94" t="s">
        <v>23</v>
      </c>
      <c r="E224" s="94" t="s">
        <v>4</v>
      </c>
      <c r="F224" s="99"/>
      <c r="G224" s="35"/>
      <c r="H224" s="35"/>
      <c r="I224" s="36"/>
      <c r="J224" s="36"/>
      <c r="L224" s="35"/>
      <c r="M224" s="35"/>
    </row>
    <row r="225" spans="3:13" ht="25.8">
      <c r="C225" s="35"/>
      <c r="D225" s="94" t="s">
        <v>23</v>
      </c>
      <c r="E225" s="94" t="s">
        <v>4</v>
      </c>
      <c r="F225" s="99"/>
      <c r="G225" s="35"/>
      <c r="H225" s="35"/>
      <c r="I225" s="36"/>
      <c r="J225" s="36"/>
      <c r="L225" s="35"/>
      <c r="M225" s="35"/>
    </row>
    <row r="226" spans="3:13" ht="25.8">
      <c r="C226" s="35"/>
      <c r="D226" s="94" t="s">
        <v>23</v>
      </c>
      <c r="E226" s="94" t="s">
        <v>4</v>
      </c>
      <c r="F226" s="99"/>
      <c r="G226" s="35"/>
      <c r="H226" s="35"/>
      <c r="I226" s="36"/>
      <c r="J226" s="36"/>
      <c r="L226" s="35"/>
      <c r="M226" s="35"/>
    </row>
    <row r="227" spans="3:13" ht="25.8">
      <c r="C227" s="35"/>
      <c r="D227" s="94" t="s">
        <v>23</v>
      </c>
      <c r="E227" s="94" t="s">
        <v>4</v>
      </c>
      <c r="F227" s="99"/>
      <c r="G227" s="35"/>
      <c r="H227" s="35"/>
      <c r="I227" s="36"/>
      <c r="J227" s="36"/>
      <c r="L227" s="35"/>
      <c r="M227" s="35"/>
    </row>
    <row r="228" spans="3:13" ht="25.8">
      <c r="C228" s="35"/>
      <c r="D228" s="94" t="s">
        <v>23</v>
      </c>
      <c r="E228" s="94" t="s">
        <v>4</v>
      </c>
      <c r="F228" s="99"/>
      <c r="G228" s="35"/>
      <c r="H228" s="35"/>
      <c r="I228" s="36"/>
      <c r="J228" s="36"/>
      <c r="L228" s="35"/>
      <c r="M228" s="35"/>
    </row>
    <row r="229" spans="3:13" ht="25.8">
      <c r="C229" s="35"/>
      <c r="D229" s="94" t="s">
        <v>23</v>
      </c>
      <c r="E229" s="94" t="s">
        <v>4</v>
      </c>
      <c r="F229" s="99"/>
      <c r="G229" s="35"/>
      <c r="H229" s="35"/>
      <c r="I229" s="36"/>
      <c r="J229" s="36"/>
      <c r="L229" s="35"/>
      <c r="M229" s="35"/>
    </row>
    <row r="230" spans="3:13" ht="25.8">
      <c r="C230" s="35"/>
      <c r="D230" s="94" t="s">
        <v>23</v>
      </c>
      <c r="E230" s="94" t="s">
        <v>4</v>
      </c>
      <c r="F230" s="99"/>
      <c r="G230" s="35"/>
      <c r="H230" s="35"/>
      <c r="I230" s="36"/>
      <c r="J230" s="36"/>
      <c r="L230" s="35"/>
      <c r="M230" s="35"/>
    </row>
    <row r="231" spans="3:13" ht="25.8">
      <c r="C231" s="35"/>
      <c r="D231" s="94" t="s">
        <v>23</v>
      </c>
      <c r="E231" s="94" t="s">
        <v>4</v>
      </c>
      <c r="F231" s="99"/>
      <c r="G231" s="35"/>
      <c r="H231" s="35"/>
      <c r="I231" s="36"/>
      <c r="J231" s="36"/>
      <c r="L231" s="35"/>
      <c r="M231" s="35"/>
    </row>
    <row r="232" spans="3:13" ht="25.8">
      <c r="C232" s="35"/>
      <c r="D232" s="94" t="s">
        <v>23</v>
      </c>
      <c r="E232" s="94" t="s">
        <v>4</v>
      </c>
      <c r="F232" s="99"/>
      <c r="G232" s="35"/>
      <c r="H232" s="35"/>
      <c r="I232" s="36"/>
      <c r="J232" s="36"/>
      <c r="L232" s="35"/>
      <c r="M232" s="35"/>
    </row>
    <row r="233" spans="3:13" ht="25.8">
      <c r="C233" s="35"/>
      <c r="D233" s="94" t="s">
        <v>23</v>
      </c>
      <c r="E233" s="94" t="s">
        <v>4</v>
      </c>
      <c r="F233" s="99"/>
      <c r="G233" s="35"/>
      <c r="H233" s="35"/>
      <c r="I233" s="36"/>
      <c r="J233" s="36"/>
      <c r="L233" s="35"/>
      <c r="M233" s="35"/>
    </row>
    <row r="234" spans="3:13" ht="25.8">
      <c r="C234" s="35"/>
      <c r="D234" s="94" t="s">
        <v>23</v>
      </c>
      <c r="E234" s="94" t="s">
        <v>4</v>
      </c>
      <c r="F234" s="99"/>
      <c r="G234" s="35"/>
      <c r="H234" s="35"/>
      <c r="I234" s="36"/>
      <c r="J234" s="36"/>
      <c r="L234" s="35"/>
      <c r="M234" s="35"/>
    </row>
    <row r="235" spans="3:13" ht="25.8">
      <c r="C235" s="35"/>
      <c r="D235" s="94" t="s">
        <v>23</v>
      </c>
      <c r="E235" s="94" t="s">
        <v>4</v>
      </c>
      <c r="F235" s="99"/>
      <c r="G235" s="35"/>
      <c r="H235" s="35"/>
      <c r="I235" s="36"/>
      <c r="J235" s="36"/>
      <c r="L235" s="35"/>
      <c r="M235" s="35"/>
    </row>
    <row r="236" spans="3:13" ht="25.8">
      <c r="C236" s="35"/>
      <c r="D236" s="94" t="s">
        <v>23</v>
      </c>
      <c r="E236" s="94" t="s">
        <v>4</v>
      </c>
      <c r="F236" s="99"/>
      <c r="G236" s="35"/>
      <c r="H236" s="35"/>
      <c r="I236" s="36"/>
      <c r="J236" s="36"/>
      <c r="L236" s="35"/>
      <c r="M236" s="35"/>
    </row>
    <row r="237" spans="3:13" ht="25.8">
      <c r="C237" s="35"/>
      <c r="D237" s="94" t="s">
        <v>23</v>
      </c>
      <c r="E237" s="94" t="s">
        <v>4</v>
      </c>
      <c r="F237" s="99"/>
      <c r="G237" s="35"/>
      <c r="H237" s="35"/>
      <c r="I237" s="36"/>
      <c r="J237" s="36"/>
      <c r="L237" s="35"/>
      <c r="M237" s="35"/>
    </row>
    <row r="238" spans="3:13" ht="25.8">
      <c r="C238" s="35"/>
      <c r="D238" s="94" t="s">
        <v>23</v>
      </c>
      <c r="E238" s="94" t="s">
        <v>4</v>
      </c>
      <c r="F238" s="99"/>
      <c r="G238" s="35"/>
      <c r="H238" s="35"/>
      <c r="I238" s="36"/>
      <c r="J238" s="36"/>
      <c r="L238" s="35"/>
      <c r="M238" s="35"/>
    </row>
    <row r="239" spans="3:13" ht="25.8">
      <c r="C239" s="35"/>
      <c r="D239" s="94" t="s">
        <v>23</v>
      </c>
      <c r="E239" s="94" t="s">
        <v>4</v>
      </c>
      <c r="F239" s="99"/>
      <c r="G239" s="35"/>
      <c r="H239" s="35"/>
      <c r="I239" s="36"/>
      <c r="J239" s="36"/>
      <c r="L239" s="35"/>
      <c r="M239" s="35"/>
    </row>
    <row r="240" spans="3:13" ht="25.8">
      <c r="C240" s="35"/>
      <c r="D240" s="94" t="s">
        <v>23</v>
      </c>
      <c r="E240" s="94" t="s">
        <v>4</v>
      </c>
      <c r="F240" s="99"/>
      <c r="G240" s="35"/>
      <c r="H240" s="35"/>
      <c r="I240" s="36"/>
      <c r="J240" s="36"/>
      <c r="L240" s="35"/>
      <c r="M240" s="35"/>
    </row>
    <row r="241" spans="3:13" ht="25.8">
      <c r="C241" s="35"/>
      <c r="D241" s="94" t="s">
        <v>23</v>
      </c>
      <c r="E241" s="94" t="s">
        <v>4</v>
      </c>
      <c r="F241" s="99"/>
      <c r="G241" s="35"/>
      <c r="H241" s="35"/>
      <c r="I241" s="36"/>
      <c r="J241" s="36"/>
      <c r="L241" s="35"/>
      <c r="M241" s="35"/>
    </row>
    <row r="242" spans="3:13" ht="25.8">
      <c r="C242" s="35"/>
      <c r="D242" s="94" t="s">
        <v>23</v>
      </c>
      <c r="E242" s="94" t="s">
        <v>4</v>
      </c>
      <c r="F242" s="99"/>
      <c r="G242" s="35"/>
      <c r="H242" s="35"/>
      <c r="I242" s="36"/>
      <c r="J242" s="36"/>
      <c r="L242" s="35"/>
      <c r="M242" s="35"/>
    </row>
    <row r="243" spans="3:13" ht="25.8">
      <c r="C243" s="35"/>
      <c r="D243" s="94" t="s">
        <v>23</v>
      </c>
      <c r="E243" s="94" t="s">
        <v>4</v>
      </c>
      <c r="F243" s="99"/>
      <c r="G243" s="35"/>
      <c r="H243" s="35"/>
      <c r="I243" s="36"/>
      <c r="J243" s="36"/>
      <c r="L243" s="35"/>
      <c r="M243" s="35"/>
    </row>
    <row r="244" spans="3:13" ht="25.8">
      <c r="C244" s="35"/>
      <c r="D244" s="94" t="s">
        <v>23</v>
      </c>
      <c r="E244" s="94" t="s">
        <v>4</v>
      </c>
      <c r="F244" s="99"/>
      <c r="G244" s="35"/>
      <c r="H244" s="35"/>
      <c r="I244" s="36"/>
      <c r="J244" s="36"/>
      <c r="L244" s="35"/>
      <c r="M244" s="35"/>
    </row>
    <row r="245" spans="3:13" ht="25.8">
      <c r="C245" s="35"/>
      <c r="D245" s="94" t="s">
        <v>23</v>
      </c>
      <c r="E245" s="94" t="s">
        <v>4</v>
      </c>
      <c r="F245" s="99"/>
      <c r="G245" s="35"/>
      <c r="H245" s="35"/>
      <c r="I245" s="36"/>
      <c r="J245" s="36"/>
      <c r="L245" s="35"/>
      <c r="M245" s="35"/>
    </row>
    <row r="246" spans="3:13" ht="25.8">
      <c r="C246" s="35"/>
      <c r="D246" s="94" t="s">
        <v>23</v>
      </c>
      <c r="E246" s="94" t="s">
        <v>4</v>
      </c>
      <c r="F246" s="99"/>
      <c r="G246" s="35"/>
      <c r="H246" s="35"/>
      <c r="I246" s="36"/>
      <c r="J246" s="36"/>
      <c r="L246" s="35"/>
      <c r="M246" s="35"/>
    </row>
    <row r="247" spans="3:13" ht="25.8">
      <c r="C247" s="35"/>
      <c r="D247" s="94" t="s">
        <v>23</v>
      </c>
      <c r="E247" s="94" t="s">
        <v>4</v>
      </c>
      <c r="F247" s="99"/>
      <c r="G247" s="35"/>
      <c r="H247" s="35"/>
      <c r="I247" s="36"/>
      <c r="J247" s="36"/>
      <c r="L247" s="35"/>
      <c r="M247" s="35"/>
    </row>
    <row r="248" spans="3:13" ht="25.8">
      <c r="C248" s="35"/>
      <c r="D248" s="94" t="s">
        <v>23</v>
      </c>
      <c r="E248" s="94" t="s">
        <v>4</v>
      </c>
      <c r="F248" s="99"/>
      <c r="G248" s="35"/>
      <c r="H248" s="35"/>
      <c r="I248" s="36"/>
      <c r="J248" s="36"/>
      <c r="L248" s="35"/>
      <c r="M248" s="35"/>
    </row>
    <row r="249" spans="3:13" ht="25.8">
      <c r="C249" s="35"/>
      <c r="D249" s="94" t="s">
        <v>23</v>
      </c>
      <c r="E249" s="94" t="s">
        <v>4</v>
      </c>
      <c r="F249" s="99"/>
      <c r="G249" s="35"/>
      <c r="H249" s="35"/>
      <c r="I249" s="36"/>
      <c r="J249" s="36"/>
      <c r="L249" s="35"/>
      <c r="M249" s="35"/>
    </row>
    <row r="250" spans="3:13" ht="25.8">
      <c r="C250" s="35"/>
      <c r="D250" s="94" t="s">
        <v>23</v>
      </c>
      <c r="E250" s="94" t="s">
        <v>4</v>
      </c>
      <c r="F250" s="99"/>
      <c r="G250" s="35"/>
      <c r="H250" s="35"/>
      <c r="I250" s="36"/>
      <c r="J250" s="36"/>
      <c r="L250" s="35"/>
      <c r="M250" s="35"/>
    </row>
    <row r="251" spans="3:13" ht="25.8">
      <c r="C251" s="35"/>
      <c r="D251" s="94" t="s">
        <v>23</v>
      </c>
      <c r="E251" s="94" t="s">
        <v>4</v>
      </c>
      <c r="F251" s="99"/>
      <c r="G251" s="35"/>
      <c r="H251" s="35"/>
      <c r="I251" s="36"/>
      <c r="J251" s="36"/>
      <c r="L251" s="35"/>
      <c r="M251" s="35"/>
    </row>
    <row r="252" spans="3:13" ht="25.8">
      <c r="C252" s="35"/>
      <c r="D252" s="94" t="s">
        <v>23</v>
      </c>
      <c r="E252" s="94" t="s">
        <v>4</v>
      </c>
      <c r="F252" s="99"/>
      <c r="G252" s="35"/>
      <c r="H252" s="35"/>
      <c r="I252" s="36"/>
      <c r="J252" s="36"/>
      <c r="L252" s="35"/>
      <c r="M252" s="35"/>
    </row>
    <row r="253" spans="3:13" ht="25.8">
      <c r="C253" s="35"/>
      <c r="D253" s="94" t="s">
        <v>23</v>
      </c>
      <c r="E253" s="94" t="s">
        <v>4</v>
      </c>
      <c r="F253" s="99"/>
      <c r="G253" s="35"/>
      <c r="H253" s="35"/>
      <c r="I253" s="36"/>
      <c r="J253" s="36"/>
      <c r="L253" s="35"/>
      <c r="M253" s="35"/>
    </row>
    <row r="254" spans="3:13" ht="25.8">
      <c r="C254" s="35"/>
      <c r="D254" s="94" t="s">
        <v>23</v>
      </c>
      <c r="E254" s="94" t="s">
        <v>4</v>
      </c>
      <c r="F254" s="99"/>
      <c r="G254" s="35"/>
      <c r="H254" s="35"/>
      <c r="I254" s="36"/>
      <c r="J254" s="36"/>
      <c r="L254" s="35"/>
      <c r="M254" s="35"/>
    </row>
    <row r="255" spans="3:13" ht="25.8">
      <c r="C255" s="35"/>
      <c r="D255" s="94" t="s">
        <v>23</v>
      </c>
      <c r="E255" s="94" t="s">
        <v>4</v>
      </c>
      <c r="F255" s="99"/>
      <c r="G255" s="35"/>
      <c r="H255" s="35"/>
      <c r="I255" s="36"/>
      <c r="J255" s="36"/>
      <c r="L255" s="35"/>
      <c r="M255" s="35"/>
    </row>
    <row r="256" spans="3:13" ht="25.8">
      <c r="C256" s="35"/>
      <c r="D256" s="94" t="s">
        <v>23</v>
      </c>
      <c r="E256" s="94" t="s">
        <v>4</v>
      </c>
      <c r="F256" s="99"/>
      <c r="G256" s="35"/>
      <c r="H256" s="35"/>
      <c r="I256" s="36"/>
      <c r="J256" s="36"/>
      <c r="L256" s="35"/>
      <c r="M256" s="35"/>
    </row>
    <row r="257" spans="3:13" ht="25.8">
      <c r="C257" s="35"/>
      <c r="D257" s="94" t="s">
        <v>23</v>
      </c>
      <c r="E257" s="94" t="s">
        <v>4</v>
      </c>
      <c r="F257" s="99"/>
      <c r="G257" s="35"/>
      <c r="H257" s="35"/>
      <c r="I257" s="36"/>
      <c r="J257" s="36"/>
      <c r="L257" s="35"/>
      <c r="M257" s="35"/>
    </row>
    <row r="258" spans="3:13" ht="25.8">
      <c r="C258" s="35"/>
      <c r="D258" s="94" t="s">
        <v>23</v>
      </c>
      <c r="E258" s="94" t="s">
        <v>4</v>
      </c>
      <c r="F258" s="99"/>
      <c r="G258" s="35"/>
      <c r="H258" s="35"/>
      <c r="I258" s="36"/>
      <c r="J258" s="36"/>
      <c r="L258" s="35"/>
      <c r="M258" s="35"/>
    </row>
    <row r="259" spans="3:13" ht="25.8">
      <c r="C259" s="35"/>
      <c r="D259" s="94" t="s">
        <v>23</v>
      </c>
      <c r="E259" s="94" t="s">
        <v>4</v>
      </c>
      <c r="F259" s="99"/>
      <c r="G259" s="35"/>
      <c r="H259" s="35"/>
      <c r="I259" s="36"/>
      <c r="J259" s="36"/>
      <c r="L259" s="35"/>
      <c r="M259" s="35"/>
    </row>
    <row r="260" spans="3:13" ht="25.8">
      <c r="C260" s="35"/>
      <c r="D260" s="94" t="s">
        <v>23</v>
      </c>
      <c r="E260" s="94" t="s">
        <v>4</v>
      </c>
      <c r="F260" s="99"/>
      <c r="G260" s="35"/>
      <c r="H260" s="35"/>
      <c r="I260" s="36"/>
      <c r="J260" s="36"/>
      <c r="L260" s="35"/>
      <c r="M260" s="35"/>
    </row>
    <row r="261" spans="3:13" ht="25.8">
      <c r="C261" s="35"/>
      <c r="D261" s="94" t="s">
        <v>23</v>
      </c>
      <c r="E261" s="94" t="s">
        <v>4</v>
      </c>
      <c r="F261" s="99"/>
      <c r="G261" s="35"/>
      <c r="H261" s="35"/>
      <c r="I261" s="36"/>
      <c r="J261" s="36"/>
      <c r="L261" s="35"/>
      <c r="M261" s="35"/>
    </row>
    <row r="262" spans="3:13" ht="25.8">
      <c r="C262" s="35"/>
      <c r="D262" s="94" t="s">
        <v>23</v>
      </c>
      <c r="E262" s="94" t="s">
        <v>4</v>
      </c>
      <c r="F262" s="99"/>
      <c r="G262" s="35"/>
      <c r="H262" s="35"/>
      <c r="I262" s="36"/>
      <c r="J262" s="36"/>
      <c r="L262" s="35"/>
      <c r="M262" s="35"/>
    </row>
    <row r="263" spans="3:13" ht="25.8">
      <c r="C263" s="35"/>
      <c r="D263" s="94" t="s">
        <v>23</v>
      </c>
      <c r="E263" s="94" t="s">
        <v>4</v>
      </c>
      <c r="F263" s="99"/>
      <c r="G263" s="35"/>
      <c r="H263" s="35"/>
      <c r="I263" s="36"/>
      <c r="J263" s="36"/>
      <c r="L263" s="35"/>
      <c r="M263" s="35"/>
    </row>
    <row r="264" spans="3:13" ht="25.8">
      <c r="C264" s="35"/>
      <c r="D264" s="94" t="s">
        <v>23</v>
      </c>
      <c r="E264" s="94" t="s">
        <v>4</v>
      </c>
      <c r="F264" s="99"/>
      <c r="G264" s="35"/>
      <c r="H264" s="35"/>
      <c r="I264" s="36"/>
      <c r="J264" s="36"/>
      <c r="L264" s="35"/>
      <c r="M264" s="35"/>
    </row>
    <row r="265" spans="3:13" ht="25.8">
      <c r="C265" s="35"/>
      <c r="D265" s="94" t="s">
        <v>23</v>
      </c>
      <c r="E265" s="94" t="s">
        <v>4</v>
      </c>
      <c r="F265" s="99"/>
      <c r="G265" s="35"/>
      <c r="H265" s="35"/>
      <c r="I265" s="36"/>
      <c r="J265" s="36"/>
      <c r="L265" s="35"/>
      <c r="M265" s="35"/>
    </row>
    <row r="266" spans="3:13" ht="25.8">
      <c r="C266" s="35"/>
      <c r="D266" s="94" t="s">
        <v>23</v>
      </c>
      <c r="E266" s="94" t="s">
        <v>4</v>
      </c>
      <c r="F266" s="99"/>
      <c r="G266" s="35"/>
      <c r="H266" s="35"/>
      <c r="I266" s="36"/>
      <c r="J266" s="36"/>
      <c r="L266" s="35"/>
      <c r="M266" s="35"/>
    </row>
    <row r="267" spans="3:13" ht="25.8">
      <c r="C267" s="35"/>
      <c r="D267" s="94" t="s">
        <v>23</v>
      </c>
      <c r="E267" s="94" t="s">
        <v>4</v>
      </c>
      <c r="F267" s="99"/>
      <c r="G267" s="35"/>
      <c r="H267" s="35"/>
      <c r="I267" s="36"/>
      <c r="J267" s="36"/>
      <c r="L267" s="35"/>
      <c r="M267" s="35"/>
    </row>
    <row r="268" spans="3:13" ht="25.8">
      <c r="C268" s="35"/>
      <c r="D268" s="94" t="s">
        <v>23</v>
      </c>
      <c r="E268" s="94" t="s">
        <v>4</v>
      </c>
      <c r="F268" s="99"/>
      <c r="G268" s="35"/>
      <c r="H268" s="35"/>
      <c r="I268" s="36"/>
      <c r="J268" s="36"/>
      <c r="L268" s="35"/>
      <c r="M268" s="35"/>
    </row>
    <row r="269" spans="3:13" ht="25.8">
      <c r="C269" s="35"/>
      <c r="D269" s="94" t="s">
        <v>23</v>
      </c>
      <c r="E269" s="94" t="s">
        <v>4</v>
      </c>
      <c r="F269" s="99"/>
      <c r="G269" s="35"/>
      <c r="H269" s="35"/>
      <c r="I269" s="36"/>
      <c r="J269" s="36"/>
      <c r="L269" s="35"/>
      <c r="M269" s="35"/>
    </row>
    <row r="270" spans="3:13" ht="25.8">
      <c r="C270" s="35"/>
      <c r="D270" s="94" t="s">
        <v>23</v>
      </c>
      <c r="E270" s="94" t="s">
        <v>4</v>
      </c>
      <c r="F270" s="99"/>
      <c r="G270" s="35"/>
      <c r="H270" s="35"/>
      <c r="I270" s="36"/>
      <c r="J270" s="36"/>
      <c r="L270" s="35"/>
      <c r="M270" s="35"/>
    </row>
    <row r="271" spans="3:13" ht="25.8">
      <c r="C271" s="35"/>
      <c r="D271" s="94" t="s">
        <v>23</v>
      </c>
      <c r="E271" s="94" t="s">
        <v>4</v>
      </c>
      <c r="F271" s="99"/>
      <c r="G271" s="35"/>
      <c r="H271" s="35"/>
      <c r="I271" s="36"/>
      <c r="J271" s="36"/>
      <c r="L271" s="35"/>
      <c r="M271" s="35"/>
    </row>
    <row r="272" spans="3:13" ht="25.8">
      <c r="C272" s="35"/>
      <c r="D272" s="94" t="s">
        <v>23</v>
      </c>
      <c r="E272" s="94" t="s">
        <v>4</v>
      </c>
      <c r="F272" s="99"/>
      <c r="G272" s="35"/>
      <c r="H272" s="35"/>
      <c r="I272" s="36"/>
      <c r="J272" s="36"/>
      <c r="L272" s="35"/>
      <c r="M272" s="35"/>
    </row>
    <row r="273" spans="3:13" ht="25.8">
      <c r="C273" s="35"/>
      <c r="D273" s="94" t="s">
        <v>23</v>
      </c>
      <c r="E273" s="94" t="s">
        <v>4</v>
      </c>
      <c r="F273" s="99"/>
      <c r="G273" s="35"/>
      <c r="H273" s="35"/>
      <c r="I273" s="36"/>
      <c r="J273" s="36"/>
      <c r="L273" s="35"/>
      <c r="M273" s="35"/>
    </row>
    <row r="274" spans="3:13" ht="25.8">
      <c r="C274" s="35"/>
      <c r="D274" s="94" t="s">
        <v>23</v>
      </c>
      <c r="E274" s="94" t="s">
        <v>4</v>
      </c>
      <c r="F274" s="99"/>
      <c r="G274" s="35"/>
      <c r="H274" s="35"/>
      <c r="I274" s="36"/>
      <c r="J274" s="36"/>
      <c r="L274" s="35"/>
      <c r="M274" s="35"/>
    </row>
    <row r="275" spans="3:13" ht="25.8">
      <c r="C275" s="35"/>
      <c r="D275" s="94" t="s">
        <v>23</v>
      </c>
      <c r="E275" s="94" t="s">
        <v>4</v>
      </c>
      <c r="F275" s="99"/>
      <c r="G275" s="35"/>
      <c r="H275" s="35"/>
      <c r="I275" s="36"/>
      <c r="J275" s="36"/>
      <c r="L275" s="35"/>
      <c r="M275" s="35"/>
    </row>
    <row r="276" spans="3:13" ht="25.8">
      <c r="C276" s="35"/>
      <c r="D276" s="94" t="s">
        <v>23</v>
      </c>
      <c r="E276" s="94" t="s">
        <v>4</v>
      </c>
      <c r="F276" s="99"/>
      <c r="G276" s="35"/>
      <c r="H276" s="35"/>
      <c r="I276" s="36"/>
      <c r="J276" s="36"/>
      <c r="L276" s="35"/>
      <c r="M276" s="35"/>
    </row>
    <row r="277" spans="3:13" ht="25.8">
      <c r="C277" s="35"/>
      <c r="D277" s="94" t="s">
        <v>23</v>
      </c>
      <c r="E277" s="94" t="s">
        <v>4</v>
      </c>
      <c r="F277" s="99"/>
      <c r="G277" s="35"/>
      <c r="H277" s="35"/>
      <c r="I277" s="36"/>
      <c r="J277" s="36"/>
      <c r="L277" s="35"/>
      <c r="M277" s="35"/>
    </row>
    <row r="278" spans="3:13" ht="25.8">
      <c r="C278" s="35"/>
      <c r="D278" s="94" t="s">
        <v>23</v>
      </c>
      <c r="E278" s="94" t="s">
        <v>4</v>
      </c>
      <c r="F278" s="99"/>
      <c r="G278" s="35"/>
      <c r="H278" s="35"/>
      <c r="I278" s="36"/>
      <c r="J278" s="36"/>
      <c r="L278" s="35"/>
      <c r="M278" s="35"/>
    </row>
    <row r="279" spans="3:13" ht="25.8">
      <c r="C279" s="35"/>
      <c r="D279" s="94" t="s">
        <v>23</v>
      </c>
      <c r="E279" s="94" t="s">
        <v>4</v>
      </c>
      <c r="F279" s="99"/>
      <c r="G279" s="35"/>
      <c r="H279" s="35"/>
      <c r="I279" s="36"/>
      <c r="J279" s="36"/>
      <c r="L279" s="35"/>
      <c r="M279" s="35"/>
    </row>
    <row r="280" spans="3:13" ht="25.8">
      <c r="C280" s="35"/>
      <c r="D280" s="94" t="s">
        <v>23</v>
      </c>
      <c r="E280" s="94" t="s">
        <v>4</v>
      </c>
      <c r="F280" s="99"/>
      <c r="G280" s="35"/>
      <c r="H280" s="35"/>
      <c r="I280" s="36"/>
      <c r="J280" s="36"/>
      <c r="L280" s="35"/>
      <c r="M280" s="35"/>
    </row>
    <row r="281" spans="3:13" ht="25.8">
      <c r="C281" s="35"/>
      <c r="D281" s="94" t="s">
        <v>23</v>
      </c>
      <c r="E281" s="94" t="s">
        <v>4</v>
      </c>
      <c r="F281" s="99"/>
      <c r="G281" s="35"/>
      <c r="H281" s="35"/>
      <c r="I281" s="36"/>
      <c r="J281" s="36"/>
      <c r="L281" s="35"/>
      <c r="M281" s="35"/>
    </row>
    <row r="282" spans="3:13" ht="25.8">
      <c r="C282" s="35"/>
      <c r="D282" s="94" t="s">
        <v>23</v>
      </c>
      <c r="E282" s="94" t="s">
        <v>4</v>
      </c>
      <c r="F282" s="99"/>
      <c r="G282" s="35"/>
      <c r="H282" s="35"/>
      <c r="I282" s="36"/>
      <c r="J282" s="36"/>
      <c r="L282" s="35"/>
      <c r="M282" s="35"/>
    </row>
    <row r="283" spans="3:13" ht="25.8">
      <c r="C283" s="35"/>
      <c r="D283" s="94" t="s">
        <v>23</v>
      </c>
      <c r="E283" s="94" t="s">
        <v>4</v>
      </c>
      <c r="F283" s="99"/>
      <c r="G283" s="35"/>
      <c r="H283" s="35"/>
      <c r="I283" s="36"/>
      <c r="J283" s="36"/>
      <c r="L283" s="35"/>
      <c r="M283" s="35"/>
    </row>
    <row r="284" spans="3:13" ht="25.8">
      <c r="C284" s="35"/>
      <c r="D284" s="94" t="s">
        <v>23</v>
      </c>
      <c r="E284" s="94" t="s">
        <v>4</v>
      </c>
      <c r="F284" s="99"/>
      <c r="G284" s="35"/>
      <c r="H284" s="35"/>
      <c r="I284" s="36"/>
      <c r="J284" s="36"/>
      <c r="L284" s="35"/>
      <c r="M284" s="35"/>
    </row>
    <row r="285" spans="3:13" ht="25.8">
      <c r="C285" s="35"/>
      <c r="D285" s="94" t="s">
        <v>23</v>
      </c>
      <c r="E285" s="94" t="s">
        <v>4</v>
      </c>
      <c r="F285" s="99"/>
      <c r="G285" s="35"/>
      <c r="H285" s="35"/>
      <c r="I285" s="36"/>
      <c r="J285" s="36"/>
      <c r="L285" s="35"/>
      <c r="M285" s="35"/>
    </row>
    <row r="286" spans="3:13" ht="25.8">
      <c r="C286" s="35"/>
      <c r="D286" s="94" t="s">
        <v>23</v>
      </c>
      <c r="E286" s="94" t="s">
        <v>4</v>
      </c>
      <c r="F286" s="99"/>
      <c r="G286" s="35"/>
      <c r="H286" s="35"/>
      <c r="I286" s="36"/>
      <c r="J286" s="36"/>
      <c r="L286" s="35"/>
      <c r="M286" s="35"/>
    </row>
    <row r="287" spans="3:13" ht="25.8">
      <c r="C287" s="35"/>
      <c r="D287" s="94" t="s">
        <v>23</v>
      </c>
      <c r="E287" s="94" t="s">
        <v>4</v>
      </c>
      <c r="F287" s="99"/>
      <c r="G287" s="35"/>
      <c r="H287" s="35"/>
      <c r="I287" s="36"/>
      <c r="J287" s="36"/>
      <c r="L287" s="35"/>
      <c r="M287" s="35"/>
    </row>
    <row r="288" spans="3:13" ht="25.8">
      <c r="C288" s="35"/>
      <c r="D288" s="94" t="s">
        <v>23</v>
      </c>
      <c r="E288" s="94" t="s">
        <v>4</v>
      </c>
      <c r="F288" s="99"/>
      <c r="G288" s="35"/>
      <c r="H288" s="35"/>
      <c r="I288" s="36"/>
      <c r="J288" s="36"/>
      <c r="L288" s="35"/>
      <c r="M288" s="35"/>
    </row>
    <row r="289" spans="3:13" ht="25.8">
      <c r="C289" s="35"/>
      <c r="D289" s="94" t="s">
        <v>23</v>
      </c>
      <c r="E289" s="94" t="s">
        <v>4</v>
      </c>
      <c r="F289" s="99"/>
      <c r="G289" s="35"/>
      <c r="H289" s="35"/>
      <c r="I289" s="36"/>
      <c r="J289" s="36"/>
      <c r="L289" s="35"/>
      <c r="M289" s="35"/>
    </row>
    <row r="290" spans="3:13" ht="25.8">
      <c r="C290" s="35"/>
      <c r="D290" s="94" t="s">
        <v>23</v>
      </c>
      <c r="E290" s="94" t="s">
        <v>4</v>
      </c>
      <c r="F290" s="99"/>
      <c r="G290" s="35"/>
      <c r="H290" s="35"/>
      <c r="I290" s="36"/>
      <c r="J290" s="36"/>
      <c r="L290" s="35"/>
      <c r="M290" s="35"/>
    </row>
    <row r="291" spans="3:13" ht="25.8">
      <c r="C291" s="35"/>
      <c r="D291" s="94" t="s">
        <v>23</v>
      </c>
      <c r="E291" s="94" t="s">
        <v>4</v>
      </c>
      <c r="F291" s="99"/>
      <c r="G291" s="35"/>
      <c r="H291" s="35"/>
      <c r="I291" s="36"/>
      <c r="J291" s="36"/>
      <c r="L291" s="35"/>
      <c r="M291" s="35"/>
    </row>
    <row r="292" spans="3:13" ht="25.8">
      <c r="C292" s="35"/>
      <c r="D292" s="94" t="s">
        <v>23</v>
      </c>
      <c r="E292" s="94" t="s">
        <v>4</v>
      </c>
      <c r="F292" s="99"/>
      <c r="G292" s="35"/>
      <c r="H292" s="35"/>
      <c r="I292" s="36"/>
      <c r="J292" s="36"/>
      <c r="L292" s="35"/>
      <c r="M292" s="35"/>
    </row>
    <row r="293" spans="3:13" ht="25.8">
      <c r="C293" s="35"/>
      <c r="D293" s="94" t="s">
        <v>23</v>
      </c>
      <c r="E293" s="94" t="s">
        <v>4</v>
      </c>
      <c r="F293" s="99"/>
      <c r="G293" s="35"/>
      <c r="H293" s="35"/>
      <c r="I293" s="36"/>
      <c r="J293" s="36"/>
      <c r="L293" s="35"/>
      <c r="M293" s="35"/>
    </row>
    <row r="294" spans="3:13" ht="25.8">
      <c r="C294" s="35"/>
      <c r="D294" s="94" t="s">
        <v>23</v>
      </c>
      <c r="E294" s="94" t="s">
        <v>4</v>
      </c>
      <c r="F294" s="99"/>
      <c r="G294" s="35"/>
      <c r="H294" s="35"/>
      <c r="I294" s="36"/>
      <c r="J294" s="36"/>
      <c r="L294" s="35"/>
      <c r="M294" s="35"/>
    </row>
    <row r="295" spans="3:13" ht="25.8">
      <c r="C295" s="35"/>
      <c r="D295" s="94" t="s">
        <v>23</v>
      </c>
      <c r="E295" s="94" t="s">
        <v>4</v>
      </c>
      <c r="F295" s="99"/>
      <c r="G295" s="35"/>
      <c r="H295" s="35"/>
      <c r="I295" s="36"/>
      <c r="J295" s="36"/>
      <c r="L295" s="35"/>
      <c r="M295" s="35"/>
    </row>
    <row r="296" spans="3:13" ht="25.8">
      <c r="C296" s="35"/>
      <c r="D296" s="94" t="s">
        <v>23</v>
      </c>
      <c r="E296" s="94" t="s">
        <v>4</v>
      </c>
      <c r="F296" s="99"/>
      <c r="G296" s="35"/>
      <c r="H296" s="35"/>
      <c r="I296" s="36"/>
      <c r="J296" s="36"/>
      <c r="L296" s="35"/>
      <c r="M296" s="35"/>
    </row>
    <row r="297" spans="3:13" ht="25.8">
      <c r="C297" s="35"/>
      <c r="D297" s="94" t="s">
        <v>23</v>
      </c>
      <c r="E297" s="94" t="s">
        <v>4</v>
      </c>
      <c r="F297" s="99"/>
      <c r="G297" s="35"/>
      <c r="H297" s="35"/>
      <c r="I297" s="36"/>
      <c r="J297" s="36"/>
      <c r="L297" s="35"/>
      <c r="M297" s="35"/>
    </row>
    <row r="298" spans="3:13" ht="25.8">
      <c r="C298" s="35"/>
      <c r="D298" s="94" t="s">
        <v>23</v>
      </c>
      <c r="E298" s="94" t="s">
        <v>4</v>
      </c>
      <c r="F298" s="99"/>
      <c r="G298" s="35"/>
      <c r="H298" s="35"/>
      <c r="I298" s="36"/>
      <c r="J298" s="36"/>
      <c r="L298" s="35"/>
      <c r="M298" s="35"/>
    </row>
    <row r="299" spans="3:13" ht="25.8">
      <c r="C299" s="35"/>
      <c r="D299" s="94" t="s">
        <v>23</v>
      </c>
      <c r="E299" s="94" t="s">
        <v>4</v>
      </c>
      <c r="F299" s="99"/>
      <c r="G299" s="35"/>
      <c r="H299" s="35"/>
      <c r="I299" s="36"/>
      <c r="J299" s="36"/>
      <c r="L299" s="35"/>
      <c r="M299" s="35"/>
    </row>
    <row r="300" spans="3:13" ht="25.8">
      <c r="C300" s="35"/>
      <c r="D300" s="94" t="s">
        <v>23</v>
      </c>
      <c r="E300" s="94" t="s">
        <v>4</v>
      </c>
      <c r="F300" s="99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93" priority="3" operator="containsText" text="Blue +">
      <formula>NOT(ISERROR(SEARCH("Blue +",F1)))</formula>
    </cfRule>
    <cfRule type="containsText" dxfId="92" priority="4" operator="containsText" text="Purple">
      <formula>NOT(ISERROR(SEARCH("Purple",F1)))</formula>
    </cfRule>
    <cfRule type="containsText" dxfId="91" priority="5" operator="containsText" text="Black">
      <formula>NOT(ISERROR(SEARCH("Black",F1)))</formula>
    </cfRule>
    <cfRule type="containsText" dxfId="90" priority="6" operator="containsText" text="Dark Blue">
      <formula>NOT(ISERROR(SEARCH("Dark Blue",F1)))</formula>
    </cfRule>
    <cfRule type="containsText" dxfId="89" priority="7" operator="containsText" text="Gray">
      <formula>NOT(ISERROR(SEARCH("Gray",F1)))</formula>
    </cfRule>
    <cfRule type="containsText" dxfId="88" priority="8" operator="containsText" text="Red">
      <formula>NOT(ISERROR(SEARCH("Red",F1)))</formula>
    </cfRule>
    <cfRule type="containsText" dxfId="87" priority="9" operator="containsText" text="Green">
      <formula>NOT(ISERROR(SEARCH("Green",F1)))</formula>
    </cfRule>
    <cfRule type="containsText" dxfId="86" priority="10" operator="containsText" text="Blue">
      <formula>NOT(ISERROR(SEARCH("Blue",F1)))</formula>
    </cfRule>
  </conditionalFormatting>
  <conditionalFormatting sqref="J1:J1048576">
    <cfRule type="beginsWith" dxfId="85" priority="2" operator="beginsWith" text="0">
      <formula>LEFT(J1,LEN("0"))="0"</formula>
    </cfRule>
  </conditionalFormatting>
  <conditionalFormatting sqref="I1:I1048576">
    <cfRule type="beginsWith" dxfId="84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45" t="s">
        <v>69</v>
      </c>
      <c r="D2" s="145"/>
      <c r="E2" s="145"/>
      <c r="F2" s="145"/>
      <c r="G2" s="145"/>
      <c r="H2" s="145"/>
      <c r="I2" s="145"/>
      <c r="J2" s="145"/>
      <c r="K2" s="1"/>
    </row>
    <row r="3" spans="3:13" ht="27.75" customHeight="1">
      <c r="C3" s="145"/>
      <c r="D3" s="145"/>
      <c r="E3" s="145"/>
      <c r="F3" s="145"/>
      <c r="G3" s="145"/>
      <c r="H3" s="145"/>
      <c r="I3" s="145"/>
      <c r="J3" s="145"/>
      <c r="K3" s="1"/>
      <c r="L3" s="135" t="s">
        <v>16</v>
      </c>
      <c r="M3" s="135"/>
    </row>
    <row r="4" spans="3:13" ht="27.75" customHeight="1">
      <c r="C4" s="145"/>
      <c r="D4" s="145"/>
      <c r="E4" s="145"/>
      <c r="F4" s="145"/>
      <c r="G4" s="145"/>
      <c r="H4" s="145"/>
      <c r="I4" s="145"/>
      <c r="J4" s="145"/>
      <c r="K4" s="1"/>
      <c r="L4" s="136"/>
      <c r="M4" s="136"/>
    </row>
    <row r="5" spans="3:13" ht="25.8">
      <c r="C5" s="134"/>
      <c r="D5" s="134"/>
      <c r="E5" s="134"/>
      <c r="F5" s="134"/>
      <c r="G5" s="134"/>
      <c r="H5" s="134"/>
      <c r="I5" s="134"/>
      <c r="J5" s="134"/>
      <c r="K5" s="1"/>
      <c r="L5" s="90"/>
      <c r="M5" s="90"/>
    </row>
    <row r="6" spans="3:13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98" t="s">
        <v>15</v>
      </c>
      <c r="K6" s="1"/>
      <c r="L6" s="122" t="s">
        <v>1</v>
      </c>
      <c r="M6" s="123" t="s">
        <v>0</v>
      </c>
    </row>
    <row r="7" spans="3:13" ht="25.8">
      <c r="C7" s="37">
        <v>46174</v>
      </c>
      <c r="D7" s="94" t="s">
        <v>23</v>
      </c>
      <c r="E7" s="94" t="s">
        <v>68</v>
      </c>
      <c r="F7" s="112" t="s">
        <v>37</v>
      </c>
      <c r="G7" s="94" t="s">
        <v>26</v>
      </c>
      <c r="H7" s="94" t="s">
        <v>89</v>
      </c>
      <c r="I7" s="94">
        <v>31</v>
      </c>
      <c r="J7" s="94">
        <v>31</v>
      </c>
      <c r="K7" s="1"/>
      <c r="L7" s="35"/>
      <c r="M7" s="35"/>
    </row>
    <row r="8" spans="3:13" ht="25.8">
      <c r="C8" s="111"/>
      <c r="D8" s="94"/>
      <c r="E8" s="94"/>
      <c r="F8" s="112"/>
      <c r="G8" s="94"/>
      <c r="H8" s="94"/>
      <c r="I8" s="94"/>
      <c r="J8" s="94"/>
      <c r="K8" s="1"/>
      <c r="L8" s="94"/>
      <c r="M8" s="94"/>
    </row>
    <row r="9" spans="3:13" ht="25.8">
      <c r="C9" s="106"/>
      <c r="D9" s="94"/>
      <c r="E9" s="94"/>
      <c r="F9" s="112"/>
      <c r="G9" s="94"/>
      <c r="H9" s="94"/>
      <c r="I9" s="94"/>
      <c r="J9" s="94"/>
      <c r="K9" s="1"/>
      <c r="L9" s="94"/>
      <c r="M9" s="94"/>
    </row>
    <row r="10" spans="3:13" ht="25.8">
      <c r="C10" s="111"/>
      <c r="D10" s="94"/>
      <c r="E10" s="94"/>
      <c r="F10" s="112"/>
      <c r="G10" s="94"/>
      <c r="H10" s="94"/>
      <c r="I10" s="94"/>
      <c r="J10" s="94"/>
      <c r="K10" s="1"/>
      <c r="L10" s="94"/>
      <c r="M10" s="94"/>
    </row>
    <row r="11" spans="3:13" ht="25.8">
      <c r="C11" s="106"/>
      <c r="D11" s="94"/>
      <c r="E11" s="94"/>
      <c r="F11" s="112"/>
      <c r="G11" s="94"/>
      <c r="H11" s="94"/>
      <c r="I11" s="94"/>
      <c r="J11" s="94"/>
      <c r="K11" s="1"/>
      <c r="L11" s="94"/>
      <c r="M11" s="94"/>
    </row>
    <row r="12" spans="3:13" ht="25.8">
      <c r="C12" s="111"/>
      <c r="D12" s="94"/>
      <c r="E12" s="94"/>
      <c r="F12" s="112"/>
      <c r="G12" s="94"/>
      <c r="H12" s="94"/>
      <c r="I12" s="94"/>
      <c r="J12" s="94"/>
      <c r="K12" s="1"/>
      <c r="L12" s="94"/>
      <c r="M12" s="94"/>
    </row>
    <row r="13" spans="3:13" ht="25.8">
      <c r="C13" s="106"/>
      <c r="D13" s="94"/>
      <c r="E13" s="94"/>
      <c r="F13" s="112"/>
      <c r="G13" s="94"/>
      <c r="H13" s="94"/>
      <c r="I13" s="94"/>
      <c r="J13" s="94"/>
      <c r="K13" s="1"/>
      <c r="L13" s="94"/>
      <c r="M13" s="94"/>
    </row>
    <row r="14" spans="3:13" ht="25.8">
      <c r="C14" s="111"/>
      <c r="D14" s="94"/>
      <c r="E14" s="94"/>
      <c r="F14" s="112"/>
      <c r="G14" s="94"/>
      <c r="H14" s="94"/>
      <c r="I14" s="94"/>
      <c r="J14" s="94"/>
      <c r="K14" s="1"/>
      <c r="L14" s="94"/>
      <c r="M14" s="94"/>
    </row>
    <row r="15" spans="3:13" ht="25.8">
      <c r="C15" s="106"/>
      <c r="D15" s="94"/>
      <c r="E15" s="94"/>
      <c r="F15" s="95"/>
      <c r="G15" s="94"/>
      <c r="H15" s="95"/>
      <c r="I15" s="95"/>
      <c r="J15" s="95"/>
      <c r="K15" s="1"/>
      <c r="L15" s="95"/>
      <c r="M15" s="95"/>
    </row>
    <row r="16" spans="3:13" ht="25.8">
      <c r="C16" s="106"/>
      <c r="D16" s="94"/>
      <c r="E16" s="94"/>
      <c r="F16" s="95"/>
      <c r="G16" s="94"/>
      <c r="H16" s="95"/>
      <c r="I16" s="95"/>
      <c r="J16" s="95"/>
      <c r="K16" s="1"/>
      <c r="L16" s="95"/>
      <c r="M16" s="95"/>
    </row>
    <row r="17" spans="3:13" ht="25.8">
      <c r="C17" s="106"/>
      <c r="D17" s="94"/>
      <c r="E17" s="94"/>
      <c r="F17" s="95"/>
      <c r="G17" s="94"/>
      <c r="H17" s="95"/>
      <c r="I17" s="95"/>
      <c r="J17" s="95"/>
      <c r="K17" s="1"/>
      <c r="L17" s="95"/>
      <c r="M17" s="95"/>
    </row>
    <row r="18" spans="3:13" ht="25.8">
      <c r="C18" s="106"/>
      <c r="D18" s="94"/>
      <c r="E18" s="94"/>
      <c r="F18" s="95"/>
      <c r="G18" s="94"/>
      <c r="H18" s="95"/>
      <c r="I18" s="95"/>
      <c r="J18" s="95"/>
      <c r="K18" s="1"/>
      <c r="L18" s="95"/>
      <c r="M18" s="95"/>
    </row>
    <row r="19" spans="3:13" ht="25.8">
      <c r="C19" s="106"/>
      <c r="D19" s="94"/>
      <c r="E19" s="94"/>
      <c r="F19" s="95"/>
      <c r="G19" s="94"/>
      <c r="H19" s="95"/>
      <c r="I19" s="95"/>
      <c r="J19" s="95"/>
      <c r="K19" s="1"/>
      <c r="L19" s="95"/>
      <c r="M19" s="95"/>
    </row>
    <row r="20" spans="3:13" ht="25.8">
      <c r="C20" s="106"/>
      <c r="D20" s="94"/>
      <c r="E20" s="94"/>
      <c r="F20" s="95"/>
      <c r="G20" s="94"/>
      <c r="H20" s="95"/>
      <c r="I20" s="95"/>
      <c r="J20" s="95"/>
      <c r="K20" s="1"/>
      <c r="L20" s="95"/>
      <c r="M20" s="95"/>
    </row>
    <row r="21" spans="3:13" ht="26.25" customHeight="1">
      <c r="C21" s="111"/>
      <c r="D21" s="94"/>
      <c r="E21" s="94"/>
      <c r="F21" s="112"/>
      <c r="G21" s="94"/>
      <c r="H21" s="94"/>
      <c r="I21" s="94"/>
      <c r="J21" s="94"/>
      <c r="K21" s="1"/>
      <c r="L21" s="35"/>
      <c r="M21" s="35"/>
    </row>
    <row r="22" spans="3:13" ht="26.25" customHeight="1">
      <c r="C22" s="37"/>
      <c r="D22" s="35"/>
      <c r="E22" s="35"/>
      <c r="F22" s="102"/>
      <c r="G22" s="35"/>
      <c r="H22" s="35"/>
      <c r="I22" s="35"/>
      <c r="J22" s="35"/>
      <c r="K22" s="1"/>
      <c r="L22" s="35"/>
      <c r="M22" s="35"/>
    </row>
    <row r="23" spans="3:13" ht="26.25" customHeight="1">
      <c r="C23" s="37"/>
      <c r="D23" s="35"/>
      <c r="E23" s="35"/>
      <c r="F23" s="102"/>
      <c r="G23" s="35"/>
      <c r="H23" s="35"/>
      <c r="I23" s="35"/>
      <c r="J23" s="35"/>
      <c r="K23" s="1"/>
      <c r="L23" s="35"/>
      <c r="M23" s="35"/>
    </row>
    <row r="24" spans="3:13" ht="26.25" customHeight="1">
      <c r="C24" s="37"/>
      <c r="D24" s="35"/>
      <c r="E24" s="35"/>
      <c r="F24" s="102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/>
      <c r="E25" s="35"/>
      <c r="F25" s="102"/>
      <c r="G25" s="35"/>
      <c r="H25" s="35"/>
      <c r="I25" s="35"/>
      <c r="J25" s="35"/>
      <c r="K25" s="1"/>
      <c r="L25" s="35"/>
      <c r="M25" s="35"/>
    </row>
    <row r="26" spans="3:13" ht="26.25" customHeight="1">
      <c r="C26" s="37"/>
      <c r="D26" s="35"/>
      <c r="E26" s="35"/>
      <c r="F26" s="102"/>
      <c r="G26" s="35"/>
      <c r="H26" s="35"/>
      <c r="I26" s="35"/>
      <c r="J26" s="35"/>
      <c r="K26" s="1"/>
      <c r="L26" s="35"/>
      <c r="M26" s="35"/>
    </row>
    <row r="27" spans="3:13" ht="26.25" customHeight="1">
      <c r="C27" s="37"/>
      <c r="D27" s="35"/>
      <c r="E27" s="35"/>
      <c r="F27" s="102"/>
      <c r="G27" s="35"/>
      <c r="H27" s="35"/>
      <c r="I27" s="35"/>
      <c r="J27" s="35"/>
      <c r="K27" s="1"/>
      <c r="L27" s="35"/>
      <c r="M27" s="35"/>
    </row>
    <row r="28" spans="3:13" ht="26.25" customHeight="1">
      <c r="C28" s="37"/>
      <c r="D28" s="35"/>
      <c r="E28" s="35"/>
      <c r="F28" s="102"/>
      <c r="G28" s="35"/>
      <c r="H28" s="35"/>
      <c r="I28" s="35"/>
      <c r="J28" s="35"/>
      <c r="K28" s="1"/>
      <c r="L28" s="35"/>
      <c r="M28" s="35"/>
    </row>
    <row r="29" spans="3:13" ht="26.25" customHeight="1">
      <c r="C29" s="37"/>
      <c r="D29" s="35"/>
      <c r="E29" s="35"/>
      <c r="F29" s="102"/>
      <c r="G29" s="35"/>
      <c r="H29" s="35"/>
      <c r="I29" s="35"/>
      <c r="J29" s="35"/>
      <c r="K29" s="1"/>
      <c r="L29" s="35"/>
      <c r="M29" s="35"/>
    </row>
    <row r="30" spans="3:13" ht="26.25" customHeight="1">
      <c r="C30" s="37"/>
      <c r="D30" s="35"/>
      <c r="E30" s="35"/>
      <c r="F30" s="102"/>
      <c r="G30" s="35"/>
      <c r="H30" s="35"/>
      <c r="I30" s="35"/>
      <c r="J30" s="35"/>
      <c r="K30" s="1"/>
      <c r="L30" s="35"/>
      <c r="M30" s="35"/>
    </row>
    <row r="31" spans="3:13" ht="26.25" customHeight="1">
      <c r="C31" s="37"/>
      <c r="D31" s="35"/>
      <c r="E31" s="35"/>
      <c r="F31" s="102"/>
      <c r="G31" s="35"/>
      <c r="H31" s="35"/>
      <c r="I31" s="35"/>
      <c r="J31" s="35"/>
      <c r="K31" s="1"/>
      <c r="L31" s="35"/>
      <c r="M31" s="35"/>
    </row>
    <row r="32" spans="3:13" ht="26.25" customHeight="1">
      <c r="C32" s="37"/>
      <c r="D32" s="35"/>
      <c r="E32" s="35"/>
      <c r="F32" s="102"/>
      <c r="G32" s="35"/>
      <c r="H32" s="35"/>
      <c r="I32" s="35"/>
      <c r="J32" s="35"/>
      <c r="K32" s="1"/>
      <c r="L32" s="35"/>
      <c r="M32" s="35"/>
    </row>
    <row r="33" spans="3:13" ht="26.25" customHeight="1">
      <c r="C33" s="37"/>
      <c r="D33" s="35"/>
      <c r="E33" s="35"/>
      <c r="F33" s="102"/>
      <c r="G33" s="35"/>
      <c r="H33" s="35"/>
      <c r="I33" s="35"/>
      <c r="J33" s="35"/>
      <c r="K33" s="1"/>
      <c r="L33" s="35"/>
      <c r="M33" s="35"/>
    </row>
    <row r="34" spans="3:13" ht="26.25" customHeight="1">
      <c r="C34" s="37"/>
      <c r="D34" s="35"/>
      <c r="E34" s="35"/>
      <c r="F34" s="102"/>
      <c r="G34" s="35"/>
      <c r="H34" s="35"/>
      <c r="I34" s="35"/>
      <c r="J34" s="35"/>
      <c r="K34" s="1"/>
      <c r="L34" s="35"/>
      <c r="M34" s="35"/>
    </row>
    <row r="35" spans="3:13" ht="26.25" customHeight="1">
      <c r="C35" s="37"/>
      <c r="D35" s="35"/>
      <c r="E35" s="35"/>
      <c r="F35" s="102"/>
      <c r="G35" s="35"/>
      <c r="H35" s="35"/>
      <c r="I35" s="35"/>
      <c r="J35" s="35"/>
      <c r="K35" s="1"/>
      <c r="L35" s="35"/>
      <c r="M35" s="35"/>
    </row>
    <row r="36" spans="3:13" ht="26.25" customHeight="1">
      <c r="C36" s="37"/>
      <c r="D36" s="35"/>
      <c r="E36" s="35"/>
      <c r="F36" s="102"/>
      <c r="G36" s="35"/>
      <c r="H36" s="35"/>
      <c r="I36" s="35"/>
      <c r="J36" s="35"/>
      <c r="K36" s="1"/>
      <c r="L36" s="35"/>
      <c r="M36" s="35"/>
    </row>
    <row r="37" spans="3:13" ht="26.25" customHeight="1">
      <c r="C37" s="37"/>
      <c r="D37" s="35"/>
      <c r="E37" s="35"/>
      <c r="F37" s="102"/>
      <c r="G37" s="35"/>
      <c r="H37" s="35"/>
      <c r="I37" s="35"/>
      <c r="J37" s="35"/>
      <c r="K37" s="1"/>
      <c r="L37" s="35"/>
      <c r="M37" s="35"/>
    </row>
    <row r="38" spans="3:13" ht="25.8">
      <c r="C38" s="35"/>
      <c r="D38" s="35"/>
      <c r="E38" s="35"/>
      <c r="F38" s="35"/>
      <c r="G38" s="35"/>
      <c r="H38" s="35"/>
      <c r="I38" s="35"/>
      <c r="J38" s="35"/>
      <c r="L38" s="35"/>
      <c r="M38" s="35"/>
    </row>
    <row r="39" spans="3:13" ht="25.8">
      <c r="C39" s="35"/>
      <c r="D39" s="35"/>
      <c r="E39" s="35"/>
      <c r="F39" s="35"/>
      <c r="G39" s="35"/>
      <c r="H39" s="35"/>
      <c r="I39" s="35"/>
      <c r="J39" s="35"/>
      <c r="L39" s="35"/>
      <c r="M39" s="35"/>
    </row>
    <row r="40" spans="3:13" ht="25.8">
      <c r="C40" s="35"/>
      <c r="D40" s="35"/>
      <c r="E40" s="35"/>
      <c r="F40" s="35"/>
      <c r="G40" s="35"/>
      <c r="H40" s="35"/>
      <c r="I40" s="35"/>
      <c r="J40" s="35"/>
      <c r="L40" s="35"/>
      <c r="M40" s="35"/>
    </row>
    <row r="41" spans="3:13" ht="25.8">
      <c r="C41" s="35"/>
      <c r="D41" s="35"/>
      <c r="E41" s="35"/>
      <c r="F41" s="35"/>
      <c r="G41" s="35"/>
      <c r="H41" s="35"/>
      <c r="I41" s="35"/>
      <c r="J41" s="35"/>
      <c r="L41" s="35"/>
      <c r="M41" s="35"/>
    </row>
    <row r="42" spans="3:13" ht="25.8">
      <c r="C42" s="35"/>
      <c r="D42" s="35"/>
      <c r="E42" s="35"/>
      <c r="F42" s="35"/>
      <c r="G42" s="35"/>
      <c r="H42" s="35"/>
      <c r="I42" s="35"/>
      <c r="J42" s="35"/>
      <c r="L42" s="35"/>
      <c r="M42" s="35"/>
    </row>
    <row r="43" spans="3:13" ht="25.8">
      <c r="C43" s="35"/>
      <c r="D43" s="35"/>
      <c r="E43" s="35"/>
      <c r="F43" s="35"/>
      <c r="G43" s="35"/>
      <c r="H43" s="35"/>
      <c r="I43" s="35"/>
      <c r="J43" s="35"/>
      <c r="L43" s="35"/>
      <c r="M43" s="35"/>
    </row>
    <row r="44" spans="3:13" ht="25.8">
      <c r="C44" s="35"/>
      <c r="D44" s="35"/>
      <c r="E44" s="35"/>
      <c r="F44" s="35"/>
      <c r="G44" s="35"/>
      <c r="H44" s="35"/>
      <c r="I44" s="35"/>
      <c r="J44" s="35"/>
      <c r="L44" s="35"/>
      <c r="M44" s="35"/>
    </row>
    <row r="45" spans="3:13" ht="25.8">
      <c r="C45" s="35"/>
      <c r="D45" s="35"/>
      <c r="E45" s="35"/>
      <c r="F45" s="35"/>
      <c r="G45" s="35"/>
      <c r="H45" s="35"/>
      <c r="I45" s="35"/>
      <c r="J45" s="35"/>
      <c r="L45" s="35"/>
      <c r="M45" s="35"/>
    </row>
    <row r="46" spans="3:13" ht="25.8">
      <c r="C46" s="35"/>
      <c r="D46" s="35"/>
      <c r="E46" s="35"/>
      <c r="F46" s="35"/>
      <c r="G46" s="35"/>
      <c r="H46" s="35"/>
      <c r="I46" s="35"/>
      <c r="J46" s="35"/>
      <c r="L46" s="35"/>
      <c r="M46" s="35"/>
    </row>
    <row r="47" spans="3:13" ht="25.8">
      <c r="C47" s="35"/>
      <c r="D47" s="35"/>
      <c r="E47" s="35"/>
      <c r="F47" s="35"/>
      <c r="G47" s="35"/>
      <c r="H47" s="35"/>
      <c r="I47" s="35"/>
      <c r="J47" s="35"/>
      <c r="L47" s="35"/>
      <c r="M47" s="35"/>
    </row>
    <row r="48" spans="3:13" ht="25.8">
      <c r="C48" s="35"/>
      <c r="D48" s="35"/>
      <c r="E48" s="35"/>
      <c r="F48" s="35"/>
      <c r="G48" s="35"/>
      <c r="H48" s="35"/>
      <c r="I48" s="35"/>
      <c r="J48" s="35"/>
      <c r="L48" s="35"/>
      <c r="M48" s="35"/>
    </row>
    <row r="49" spans="3:13" ht="25.8">
      <c r="C49" s="35"/>
      <c r="D49" s="35"/>
      <c r="E49" s="35"/>
      <c r="F49" s="35"/>
      <c r="G49" s="35"/>
      <c r="H49" s="35"/>
      <c r="I49" s="35"/>
      <c r="J49" s="35"/>
      <c r="L49" s="35"/>
      <c r="M49" s="35"/>
    </row>
    <row r="50" spans="3:13" ht="25.8">
      <c r="C50" s="35"/>
      <c r="D50" s="35"/>
      <c r="E50" s="35"/>
      <c r="F50" s="35"/>
      <c r="G50" s="35"/>
      <c r="H50" s="35"/>
      <c r="I50" s="35"/>
      <c r="J50" s="35"/>
      <c r="L50" s="35"/>
      <c r="M50" s="35"/>
    </row>
    <row r="51" spans="3:13" ht="25.8">
      <c r="C51" s="35"/>
      <c r="D51" s="35"/>
      <c r="E51" s="35"/>
      <c r="F51" s="35"/>
      <c r="G51" s="35"/>
      <c r="H51" s="35"/>
      <c r="I51" s="35"/>
      <c r="J51" s="35"/>
      <c r="L51" s="35"/>
      <c r="M51" s="35"/>
    </row>
    <row r="52" spans="3:13" ht="25.8">
      <c r="C52" s="35"/>
      <c r="D52" s="35"/>
      <c r="E52" s="35"/>
      <c r="F52" s="35"/>
      <c r="G52" s="35"/>
      <c r="H52" s="35"/>
      <c r="I52" s="35"/>
      <c r="J52" s="35"/>
      <c r="L52" s="35"/>
      <c r="M52" s="35"/>
    </row>
    <row r="53" spans="3:13" ht="25.8">
      <c r="C53" s="35"/>
      <c r="D53" s="35"/>
      <c r="E53" s="35"/>
      <c r="F53" s="35"/>
      <c r="G53" s="35"/>
      <c r="H53" s="35"/>
      <c r="I53" s="35"/>
      <c r="J53" s="35"/>
      <c r="L53" s="35"/>
      <c r="M53" s="35"/>
    </row>
    <row r="54" spans="3:13" ht="25.8">
      <c r="C54" s="35"/>
      <c r="D54" s="35"/>
      <c r="E54" s="35"/>
      <c r="F54" s="35"/>
      <c r="G54" s="35"/>
      <c r="H54" s="35"/>
      <c r="I54" s="35"/>
      <c r="J54" s="35"/>
      <c r="L54" s="35"/>
      <c r="M54" s="35"/>
    </row>
    <row r="55" spans="3:13" ht="25.8">
      <c r="C55" s="35"/>
      <c r="D55" s="35"/>
      <c r="E55" s="35"/>
      <c r="F55" s="35"/>
      <c r="G55" s="35"/>
      <c r="H55" s="35"/>
      <c r="I55" s="35"/>
      <c r="J55" s="35"/>
      <c r="L55" s="35"/>
      <c r="M55" s="35"/>
    </row>
    <row r="56" spans="3:13" ht="25.8">
      <c r="C56" s="35"/>
      <c r="D56" s="35"/>
      <c r="E56" s="35"/>
      <c r="F56" s="35"/>
      <c r="G56" s="35"/>
      <c r="H56" s="35"/>
      <c r="I56" s="35"/>
      <c r="J56" s="35"/>
      <c r="L56" s="35"/>
      <c r="M56" s="35"/>
    </row>
    <row r="57" spans="3:13" ht="25.8">
      <c r="C57" s="35"/>
      <c r="D57" s="35"/>
      <c r="E57" s="35"/>
      <c r="F57" s="35"/>
      <c r="G57" s="35"/>
      <c r="H57" s="35"/>
      <c r="I57" s="35"/>
      <c r="J57" s="35"/>
      <c r="L57" s="35"/>
      <c r="M57" s="35"/>
    </row>
    <row r="58" spans="3:13" ht="25.8">
      <c r="C58" s="35"/>
      <c r="D58" s="35"/>
      <c r="E58" s="35"/>
      <c r="F58" s="35"/>
      <c r="G58" s="35"/>
      <c r="H58" s="35"/>
      <c r="I58" s="35"/>
      <c r="J58" s="35"/>
      <c r="L58" s="35"/>
      <c r="M58" s="35"/>
    </row>
    <row r="59" spans="3:13" ht="25.8">
      <c r="C59" s="35"/>
      <c r="D59" s="35"/>
      <c r="E59" s="35"/>
      <c r="F59" s="35"/>
      <c r="G59" s="35"/>
      <c r="H59" s="35"/>
      <c r="I59" s="35"/>
      <c r="J59" s="35"/>
      <c r="L59" s="35"/>
      <c r="M59" s="35"/>
    </row>
    <row r="60" spans="3:13" ht="25.8">
      <c r="C60" s="35"/>
      <c r="D60" s="35"/>
      <c r="E60" s="35"/>
      <c r="F60" s="35"/>
      <c r="G60" s="35"/>
      <c r="H60" s="35"/>
      <c r="I60" s="35"/>
      <c r="J60" s="35"/>
      <c r="L60" s="35"/>
      <c r="M60" s="35"/>
    </row>
    <row r="61" spans="3:13" ht="25.8">
      <c r="C61" s="35"/>
      <c r="D61" s="35"/>
      <c r="E61" s="35"/>
      <c r="F61" s="35"/>
      <c r="G61" s="35"/>
      <c r="H61" s="35"/>
      <c r="I61" s="35"/>
      <c r="J61" s="35"/>
      <c r="L61" s="35"/>
      <c r="M61" s="35"/>
    </row>
    <row r="62" spans="3:13" ht="25.8">
      <c r="C62" s="35"/>
      <c r="D62" s="35"/>
      <c r="E62" s="35"/>
      <c r="F62" s="35"/>
      <c r="G62" s="35"/>
      <c r="H62" s="35"/>
      <c r="I62" s="35"/>
      <c r="J62" s="35"/>
      <c r="L62" s="35"/>
      <c r="M62" s="35"/>
    </row>
    <row r="63" spans="3:13" ht="25.8">
      <c r="C63" s="35"/>
      <c r="D63" s="35"/>
      <c r="E63" s="35"/>
      <c r="F63" s="35"/>
      <c r="G63" s="35"/>
      <c r="H63" s="35"/>
      <c r="I63" s="35"/>
      <c r="J63" s="35"/>
      <c r="L63" s="35"/>
      <c r="M63" s="35"/>
    </row>
    <row r="64" spans="3:13" ht="25.8">
      <c r="C64" s="35"/>
      <c r="D64" s="35"/>
      <c r="E64" s="35"/>
      <c r="F64" s="35"/>
      <c r="G64" s="35"/>
      <c r="H64" s="35"/>
      <c r="I64" s="35"/>
      <c r="J64" s="35"/>
      <c r="L64" s="35"/>
      <c r="M64" s="35"/>
    </row>
    <row r="65" spans="3:13" ht="25.8">
      <c r="C65" s="35"/>
      <c r="D65" s="35"/>
      <c r="E65" s="35"/>
      <c r="F65" s="35"/>
      <c r="G65" s="35"/>
      <c r="H65" s="35"/>
      <c r="I65" s="35"/>
      <c r="J65" s="35"/>
      <c r="L65" s="35"/>
      <c r="M65" s="35"/>
    </row>
    <row r="66" spans="3:13" ht="25.8">
      <c r="C66" s="35"/>
      <c r="D66" s="35"/>
      <c r="E66" s="35"/>
      <c r="F66" s="35"/>
      <c r="G66" s="35"/>
      <c r="H66" s="35"/>
      <c r="I66" s="35"/>
      <c r="J66" s="35"/>
      <c r="L66" s="35"/>
      <c r="M66" s="35"/>
    </row>
    <row r="67" spans="3:13" ht="25.8">
      <c r="C67" s="35"/>
      <c r="D67" s="35"/>
      <c r="E67" s="35"/>
      <c r="F67" s="35"/>
      <c r="G67" s="35"/>
      <c r="H67" s="35"/>
      <c r="I67" s="35"/>
      <c r="J67" s="35"/>
      <c r="L67" s="35"/>
      <c r="M67" s="35"/>
    </row>
    <row r="68" spans="3:13" ht="25.8">
      <c r="C68" s="35"/>
      <c r="D68" s="35"/>
      <c r="E68" s="35"/>
      <c r="F68" s="35"/>
      <c r="G68" s="35"/>
      <c r="H68" s="35"/>
      <c r="I68" s="35"/>
      <c r="J68" s="35"/>
      <c r="L68" s="35"/>
      <c r="M68" s="35"/>
    </row>
    <row r="69" spans="3:13" ht="25.8">
      <c r="C69" s="35"/>
      <c r="D69" s="35"/>
      <c r="E69" s="35"/>
      <c r="F69" s="35"/>
      <c r="G69" s="35"/>
      <c r="H69" s="35"/>
      <c r="I69" s="35"/>
      <c r="J69" s="35"/>
      <c r="L69" s="35"/>
      <c r="M69" s="35"/>
    </row>
    <row r="70" spans="3:13" ht="25.8">
      <c r="C70" s="35"/>
      <c r="D70" s="35"/>
      <c r="E70" s="35"/>
      <c r="F70" s="35"/>
      <c r="G70" s="35"/>
      <c r="H70" s="35"/>
      <c r="I70" s="35"/>
      <c r="J70" s="35"/>
      <c r="L70" s="35"/>
      <c r="M70" s="35"/>
    </row>
    <row r="71" spans="3:13" ht="25.8">
      <c r="C71" s="35"/>
      <c r="D71" s="35"/>
      <c r="E71" s="35"/>
      <c r="F71" s="35"/>
      <c r="G71" s="35"/>
      <c r="H71" s="35"/>
      <c r="I71" s="35"/>
      <c r="J71" s="35"/>
      <c r="L71" s="35"/>
      <c r="M71" s="35"/>
    </row>
    <row r="72" spans="3:13" ht="25.8">
      <c r="C72" s="35"/>
      <c r="D72" s="35"/>
      <c r="E72" s="35"/>
      <c r="F72" s="35"/>
      <c r="G72" s="35"/>
      <c r="H72" s="35"/>
      <c r="I72" s="35"/>
      <c r="J72" s="35"/>
      <c r="L72" s="35"/>
      <c r="M72" s="35"/>
    </row>
    <row r="73" spans="3:13" ht="25.8">
      <c r="C73" s="35"/>
      <c r="D73" s="35"/>
      <c r="E73" s="35"/>
      <c r="F73" s="35"/>
      <c r="G73" s="35"/>
      <c r="H73" s="35"/>
      <c r="I73" s="35"/>
      <c r="J73" s="35"/>
      <c r="L73" s="35"/>
      <c r="M73" s="35"/>
    </row>
    <row r="74" spans="3:13" ht="25.8">
      <c r="C74" s="35"/>
      <c r="D74" s="35"/>
      <c r="E74" s="35"/>
      <c r="F74" s="35"/>
      <c r="G74" s="35"/>
      <c r="H74" s="35"/>
      <c r="I74" s="35"/>
      <c r="J74" s="35"/>
      <c r="L74" s="35"/>
      <c r="M74" s="35"/>
    </row>
    <row r="75" spans="3:13" ht="25.8">
      <c r="C75" s="35"/>
      <c r="D75" s="35"/>
      <c r="E75" s="35"/>
      <c r="F75" s="35"/>
      <c r="G75" s="35"/>
      <c r="H75" s="35"/>
      <c r="I75" s="35"/>
      <c r="J75" s="35"/>
      <c r="L75" s="35"/>
      <c r="M75" s="35"/>
    </row>
    <row r="76" spans="3:13" ht="25.8">
      <c r="C76" s="35"/>
      <c r="D76" s="35"/>
      <c r="E76" s="35"/>
      <c r="F76" s="35"/>
      <c r="G76" s="35"/>
      <c r="H76" s="35"/>
      <c r="I76" s="35"/>
      <c r="J76" s="35"/>
      <c r="L76" s="35"/>
      <c r="M76" s="35"/>
    </row>
    <row r="77" spans="3:13" ht="25.8">
      <c r="C77" s="35"/>
      <c r="D77" s="35"/>
      <c r="E77" s="35"/>
      <c r="F77" s="35"/>
      <c r="G77" s="35"/>
      <c r="H77" s="35"/>
      <c r="I77" s="35"/>
      <c r="J77" s="35"/>
      <c r="L77" s="35"/>
      <c r="M77" s="35"/>
    </row>
    <row r="78" spans="3:13" ht="25.8">
      <c r="C78" s="35"/>
      <c r="D78" s="35"/>
      <c r="E78" s="35"/>
      <c r="F78" s="35"/>
      <c r="G78" s="35"/>
      <c r="H78" s="35"/>
      <c r="I78" s="35"/>
      <c r="J78" s="35"/>
      <c r="L78" s="35"/>
      <c r="M78" s="35"/>
    </row>
    <row r="79" spans="3:13" ht="25.8">
      <c r="C79" s="35"/>
      <c r="D79" s="35"/>
      <c r="E79" s="35"/>
      <c r="F79" s="35"/>
      <c r="G79" s="35"/>
      <c r="H79" s="35"/>
      <c r="I79" s="35"/>
      <c r="J79" s="35"/>
      <c r="L79" s="35"/>
      <c r="M79" s="35"/>
    </row>
    <row r="80" spans="3:13" ht="25.8">
      <c r="C80" s="35"/>
      <c r="D80" s="35"/>
      <c r="E80" s="35"/>
      <c r="F80" s="35"/>
      <c r="G80" s="35"/>
      <c r="H80" s="35"/>
      <c r="I80" s="35"/>
      <c r="J80" s="35"/>
      <c r="L80" s="35"/>
      <c r="M80" s="35"/>
    </row>
    <row r="81" spans="3:13" ht="25.8">
      <c r="C81" s="35"/>
      <c r="D81" s="35"/>
      <c r="E81" s="35"/>
      <c r="F81" s="35"/>
      <c r="G81" s="35"/>
      <c r="H81" s="35"/>
      <c r="I81" s="35"/>
      <c r="J81" s="35"/>
      <c r="L81" s="35"/>
      <c r="M81" s="35"/>
    </row>
    <row r="82" spans="3:13" ht="25.8">
      <c r="C82" s="35"/>
      <c r="D82" s="35"/>
      <c r="E82" s="35"/>
      <c r="F82" s="35"/>
      <c r="G82" s="35"/>
      <c r="H82" s="35"/>
      <c r="I82" s="35"/>
      <c r="J82" s="35"/>
      <c r="L82" s="35"/>
      <c r="M82" s="35"/>
    </row>
    <row r="83" spans="3:13" ht="25.8">
      <c r="C83" s="35"/>
      <c r="D83" s="35"/>
      <c r="E83" s="35"/>
      <c r="F83" s="35"/>
      <c r="G83" s="35"/>
      <c r="H83" s="35"/>
      <c r="I83" s="35"/>
      <c r="J83" s="35"/>
      <c r="L83" s="35"/>
      <c r="M83" s="35"/>
    </row>
    <row r="84" spans="3:13" ht="25.8">
      <c r="C84" s="35"/>
      <c r="D84" s="35"/>
      <c r="E84" s="35"/>
      <c r="F84" s="35"/>
      <c r="G84" s="35"/>
      <c r="H84" s="35"/>
      <c r="I84" s="35"/>
      <c r="J84" s="35"/>
      <c r="L84" s="35"/>
      <c r="M84" s="35"/>
    </row>
    <row r="85" spans="3:13" ht="25.8">
      <c r="C85" s="35"/>
      <c r="D85" s="35"/>
      <c r="E85" s="35"/>
      <c r="F85" s="35"/>
      <c r="G85" s="35"/>
      <c r="H85" s="35"/>
      <c r="I85" s="35"/>
      <c r="J85" s="35"/>
      <c r="L85" s="35"/>
      <c r="M85" s="35"/>
    </row>
    <row r="86" spans="3:13" ht="25.8">
      <c r="C86" s="35"/>
      <c r="D86" s="35"/>
      <c r="E86" s="35"/>
      <c r="F86" s="35"/>
      <c r="G86" s="35"/>
      <c r="H86" s="35"/>
      <c r="I86" s="35"/>
      <c r="J86" s="35"/>
      <c r="L86" s="35"/>
      <c r="M86" s="35"/>
    </row>
    <row r="87" spans="3:13" ht="25.8">
      <c r="C87" s="35"/>
      <c r="D87" s="35"/>
      <c r="E87" s="35"/>
      <c r="F87" s="35"/>
      <c r="G87" s="35"/>
      <c r="H87" s="35"/>
      <c r="I87" s="35"/>
      <c r="J87" s="35"/>
      <c r="L87" s="35"/>
      <c r="M87" s="35"/>
    </row>
    <row r="88" spans="3:13" ht="25.8">
      <c r="C88" s="35"/>
      <c r="D88" s="35"/>
      <c r="E88" s="35"/>
      <c r="F88" s="35"/>
      <c r="G88" s="35"/>
      <c r="H88" s="35"/>
      <c r="I88" s="35"/>
      <c r="J88" s="35"/>
      <c r="L88" s="35"/>
      <c r="M88" s="35"/>
    </row>
    <row r="89" spans="3:13" ht="25.8">
      <c r="C89" s="35"/>
      <c r="D89" s="35"/>
      <c r="E89" s="35"/>
      <c r="F89" s="35"/>
      <c r="G89" s="35"/>
      <c r="H89" s="35"/>
      <c r="I89" s="35"/>
      <c r="J89" s="35"/>
      <c r="L89" s="35"/>
      <c r="M89" s="35"/>
    </row>
    <row r="90" spans="3:13" ht="25.8">
      <c r="C90" s="35"/>
      <c r="D90" s="35"/>
      <c r="E90" s="35"/>
      <c r="F90" s="35"/>
      <c r="G90" s="35"/>
      <c r="H90" s="35"/>
      <c r="I90" s="35"/>
      <c r="J90" s="35"/>
      <c r="L90" s="35"/>
      <c r="M90" s="35"/>
    </row>
    <row r="91" spans="3:13" ht="25.8">
      <c r="C91" s="35"/>
      <c r="D91" s="35"/>
      <c r="E91" s="35"/>
      <c r="F91" s="35"/>
      <c r="G91" s="35"/>
      <c r="H91" s="35"/>
      <c r="I91" s="35"/>
      <c r="J91" s="35"/>
      <c r="L91" s="35"/>
      <c r="M91" s="35"/>
    </row>
    <row r="92" spans="3:13" ht="25.8">
      <c r="C92" s="35"/>
      <c r="D92" s="35"/>
      <c r="E92" s="35"/>
      <c r="F92" s="35"/>
      <c r="G92" s="35"/>
      <c r="H92" s="35"/>
      <c r="I92" s="35"/>
      <c r="J92" s="35"/>
      <c r="L92" s="35"/>
      <c r="M92" s="35"/>
    </row>
    <row r="93" spans="3:13" ht="25.8">
      <c r="C93" s="35"/>
      <c r="D93" s="35"/>
      <c r="E93" s="35"/>
      <c r="F93" s="35"/>
      <c r="G93" s="35"/>
      <c r="H93" s="35"/>
      <c r="I93" s="35"/>
      <c r="J93" s="35"/>
      <c r="L93" s="35"/>
      <c r="M93" s="35"/>
    </row>
    <row r="94" spans="3:13" ht="25.8">
      <c r="C94" s="35"/>
      <c r="D94" s="35"/>
      <c r="E94" s="35"/>
      <c r="F94" s="35"/>
      <c r="G94" s="35"/>
      <c r="H94" s="35"/>
      <c r="I94" s="35"/>
      <c r="J94" s="35"/>
      <c r="L94" s="35"/>
      <c r="M94" s="35"/>
    </row>
    <row r="95" spans="3:13" ht="25.8">
      <c r="C95" s="35"/>
      <c r="D95" s="35"/>
      <c r="E95" s="35"/>
      <c r="F95" s="35"/>
      <c r="G95" s="35"/>
      <c r="H95" s="35"/>
      <c r="I95" s="35"/>
      <c r="J95" s="35"/>
      <c r="L95" s="35"/>
      <c r="M95" s="35"/>
    </row>
    <row r="96" spans="3:13" ht="25.8">
      <c r="C96" s="35"/>
      <c r="D96" s="35"/>
      <c r="E96" s="35"/>
      <c r="F96" s="35"/>
      <c r="G96" s="35"/>
      <c r="H96" s="35"/>
      <c r="I96" s="35"/>
      <c r="J96" s="35"/>
      <c r="L96" s="35"/>
      <c r="M96" s="35"/>
    </row>
    <row r="97" spans="3:13" ht="25.8">
      <c r="C97" s="35"/>
      <c r="D97" s="35"/>
      <c r="E97" s="35"/>
      <c r="F97" s="35"/>
      <c r="G97" s="35"/>
      <c r="H97" s="35"/>
      <c r="I97" s="35"/>
      <c r="J97" s="35"/>
      <c r="L97" s="35"/>
      <c r="M97" s="35"/>
    </row>
    <row r="98" spans="3:13" ht="25.8">
      <c r="C98" s="35"/>
      <c r="D98" s="35"/>
      <c r="E98" s="35"/>
      <c r="F98" s="35"/>
      <c r="G98" s="35"/>
      <c r="H98" s="35"/>
      <c r="I98" s="35"/>
      <c r="J98" s="35"/>
      <c r="L98" s="35"/>
      <c r="M98" s="35"/>
    </row>
    <row r="99" spans="3:13" ht="25.8">
      <c r="C99" s="35"/>
      <c r="D99" s="35"/>
      <c r="E99" s="35"/>
      <c r="F99" s="35"/>
      <c r="G99" s="35"/>
      <c r="H99" s="35"/>
      <c r="I99" s="35"/>
      <c r="J99" s="35"/>
      <c r="L99" s="35"/>
      <c r="M99" s="35"/>
    </row>
    <row r="100" spans="3:13" ht="25.8">
      <c r="C100" s="35"/>
      <c r="D100" s="35"/>
      <c r="E100" s="35"/>
      <c r="F100" s="35"/>
      <c r="G100" s="35"/>
      <c r="H100" s="35"/>
      <c r="I100" s="35"/>
      <c r="J100" s="35"/>
      <c r="L100" s="35"/>
      <c r="M100" s="35"/>
    </row>
    <row r="101" spans="3:13" ht="25.8">
      <c r="C101" s="35"/>
      <c r="D101" s="35"/>
      <c r="E101" s="35"/>
      <c r="F101" s="35"/>
      <c r="G101" s="35"/>
      <c r="H101" s="35"/>
      <c r="I101" s="35"/>
      <c r="J101" s="35"/>
      <c r="L101" s="35"/>
      <c r="M101" s="35"/>
    </row>
    <row r="102" spans="3:13" ht="25.8">
      <c r="C102" s="35"/>
      <c r="D102" s="35"/>
      <c r="E102" s="35"/>
      <c r="F102" s="35"/>
      <c r="G102" s="35"/>
      <c r="H102" s="35"/>
      <c r="I102" s="35"/>
      <c r="J102" s="35"/>
      <c r="L102" s="35"/>
      <c r="M102" s="35"/>
    </row>
    <row r="103" spans="3:13" ht="25.8">
      <c r="C103" s="35"/>
      <c r="D103" s="35"/>
      <c r="E103" s="35"/>
      <c r="F103" s="35"/>
      <c r="G103" s="35"/>
      <c r="H103" s="35"/>
      <c r="I103" s="35"/>
      <c r="J103" s="35"/>
      <c r="L103" s="35"/>
      <c r="M103" s="35"/>
    </row>
    <row r="104" spans="3:13" ht="25.8">
      <c r="C104" s="35"/>
      <c r="D104" s="35"/>
      <c r="E104" s="35"/>
      <c r="F104" s="35"/>
      <c r="G104" s="35"/>
      <c r="H104" s="35"/>
      <c r="I104" s="35"/>
      <c r="J104" s="35"/>
      <c r="L104" s="35"/>
      <c r="M104" s="35"/>
    </row>
    <row r="105" spans="3:13" ht="25.8">
      <c r="C105" s="35"/>
      <c r="D105" s="35"/>
      <c r="E105" s="35"/>
      <c r="F105" s="35"/>
      <c r="G105" s="35"/>
      <c r="H105" s="35"/>
      <c r="I105" s="35"/>
      <c r="J105" s="35"/>
      <c r="L105" s="35"/>
      <c r="M105" s="35"/>
    </row>
    <row r="106" spans="3:13" ht="25.8">
      <c r="C106" s="35"/>
      <c r="D106" s="35"/>
      <c r="E106" s="35"/>
      <c r="F106" s="35"/>
      <c r="G106" s="35"/>
      <c r="H106" s="35"/>
      <c r="I106" s="35"/>
      <c r="J106" s="35"/>
      <c r="L106" s="35"/>
      <c r="M106" s="35"/>
    </row>
    <row r="107" spans="3:13" ht="25.8">
      <c r="C107" s="35"/>
      <c r="D107" s="35"/>
      <c r="E107" s="35"/>
      <c r="F107" s="35"/>
      <c r="G107" s="35"/>
      <c r="H107" s="35"/>
      <c r="I107" s="35"/>
      <c r="J107" s="35"/>
      <c r="L107" s="35"/>
      <c r="M107" s="35"/>
    </row>
    <row r="108" spans="3:13" ht="25.8">
      <c r="C108" s="35"/>
      <c r="D108" s="35"/>
      <c r="E108" s="35"/>
      <c r="F108" s="35"/>
      <c r="G108" s="35"/>
      <c r="H108" s="35"/>
      <c r="I108" s="35"/>
      <c r="J108" s="35"/>
      <c r="L108" s="35"/>
      <c r="M108" s="35"/>
    </row>
    <row r="109" spans="3:13" ht="25.8">
      <c r="C109" s="35"/>
      <c r="D109" s="35"/>
      <c r="E109" s="35"/>
      <c r="F109" s="35"/>
      <c r="G109" s="35"/>
      <c r="H109" s="35"/>
      <c r="I109" s="35"/>
      <c r="J109" s="35"/>
      <c r="L109" s="35"/>
      <c r="M109" s="35"/>
    </row>
    <row r="110" spans="3:13" ht="25.8">
      <c r="C110" s="35"/>
      <c r="D110" s="35"/>
      <c r="E110" s="35"/>
      <c r="F110" s="35"/>
      <c r="G110" s="35"/>
      <c r="H110" s="35"/>
      <c r="I110" s="35"/>
      <c r="J110" s="35"/>
      <c r="L110" s="35"/>
      <c r="M110" s="35"/>
    </row>
    <row r="111" spans="3:13" ht="25.8">
      <c r="C111" s="35"/>
      <c r="D111" s="35"/>
      <c r="E111" s="35"/>
      <c r="F111" s="35"/>
      <c r="G111" s="35"/>
      <c r="H111" s="35"/>
      <c r="I111" s="35"/>
      <c r="J111" s="35"/>
      <c r="L111" s="35"/>
      <c r="M111" s="35"/>
    </row>
    <row r="112" spans="3:13" ht="25.8">
      <c r="C112" s="35"/>
      <c r="D112" s="35"/>
      <c r="E112" s="35"/>
      <c r="F112" s="35"/>
      <c r="G112" s="35"/>
      <c r="H112" s="35"/>
      <c r="I112" s="35"/>
      <c r="J112" s="35"/>
      <c r="L112" s="35"/>
      <c r="M112" s="35"/>
    </row>
    <row r="113" spans="3:13" ht="25.8">
      <c r="C113" s="35"/>
      <c r="D113" s="35"/>
      <c r="E113" s="35"/>
      <c r="F113" s="35"/>
      <c r="G113" s="35"/>
      <c r="H113" s="35"/>
      <c r="I113" s="35"/>
      <c r="J113" s="35"/>
      <c r="L113" s="35"/>
      <c r="M113" s="35"/>
    </row>
    <row r="114" spans="3:13" ht="25.8">
      <c r="C114" s="35"/>
      <c r="D114" s="35"/>
      <c r="E114" s="35"/>
      <c r="F114" s="35"/>
      <c r="G114" s="35"/>
      <c r="H114" s="35"/>
      <c r="I114" s="35"/>
      <c r="J114" s="35"/>
      <c r="L114" s="35"/>
      <c r="M114" s="35"/>
    </row>
    <row r="115" spans="3:13" ht="25.8">
      <c r="C115" s="35"/>
      <c r="D115" s="35"/>
      <c r="E115" s="35"/>
      <c r="F115" s="35"/>
      <c r="G115" s="35"/>
      <c r="H115" s="35"/>
      <c r="I115" s="35"/>
      <c r="J115" s="35"/>
      <c r="L115" s="35"/>
      <c r="M115" s="35"/>
    </row>
    <row r="116" spans="3:13" ht="25.8">
      <c r="C116" s="35"/>
      <c r="D116" s="35"/>
      <c r="E116" s="35"/>
      <c r="F116" s="35"/>
      <c r="G116" s="35"/>
      <c r="H116" s="35"/>
      <c r="I116" s="35"/>
      <c r="J116" s="35"/>
      <c r="L116" s="35"/>
      <c r="M116" s="35"/>
    </row>
    <row r="117" spans="3:13" ht="25.8">
      <c r="C117" s="35"/>
      <c r="D117" s="35"/>
      <c r="E117" s="35"/>
      <c r="F117" s="35"/>
      <c r="G117" s="35"/>
      <c r="H117" s="35"/>
      <c r="I117" s="35"/>
      <c r="J117" s="35"/>
      <c r="L117" s="35"/>
      <c r="M117" s="35"/>
    </row>
    <row r="118" spans="3:13" ht="25.8">
      <c r="C118" s="35"/>
      <c r="D118" s="35"/>
      <c r="E118" s="35"/>
      <c r="F118" s="35"/>
      <c r="G118" s="35"/>
      <c r="H118" s="35"/>
      <c r="I118" s="35"/>
      <c r="J118" s="35"/>
      <c r="L118" s="35"/>
      <c r="M118" s="35"/>
    </row>
    <row r="119" spans="3:13" ht="25.8">
      <c r="C119" s="35"/>
      <c r="D119" s="35"/>
      <c r="E119" s="35"/>
      <c r="F119" s="35"/>
      <c r="G119" s="35"/>
      <c r="H119" s="35"/>
      <c r="I119" s="35"/>
      <c r="J119" s="35"/>
      <c r="L119" s="35"/>
      <c r="M119" s="35"/>
    </row>
    <row r="120" spans="3:13" ht="25.8">
      <c r="C120" s="35"/>
      <c r="D120" s="35"/>
      <c r="E120" s="35"/>
      <c r="F120" s="35"/>
      <c r="G120" s="35"/>
      <c r="H120" s="35"/>
      <c r="I120" s="35"/>
      <c r="J120" s="35"/>
      <c r="L120" s="35"/>
      <c r="M120" s="35"/>
    </row>
    <row r="121" spans="3:13" ht="25.8">
      <c r="C121" s="35"/>
      <c r="D121" s="35"/>
      <c r="E121" s="35"/>
      <c r="F121" s="35"/>
      <c r="G121" s="35"/>
      <c r="H121" s="35"/>
      <c r="I121" s="35"/>
      <c r="J121" s="35"/>
      <c r="L121" s="35"/>
      <c r="M121" s="35"/>
    </row>
    <row r="122" spans="3:13" ht="25.8">
      <c r="C122" s="35"/>
      <c r="D122" s="35"/>
      <c r="E122" s="35"/>
      <c r="F122" s="35"/>
      <c r="G122" s="35"/>
      <c r="H122" s="35"/>
      <c r="I122" s="35"/>
      <c r="J122" s="35"/>
      <c r="L122" s="35"/>
      <c r="M122" s="35"/>
    </row>
    <row r="123" spans="3:13" ht="25.8">
      <c r="C123" s="35"/>
      <c r="D123" s="35"/>
      <c r="E123" s="35"/>
      <c r="F123" s="35"/>
      <c r="G123" s="35"/>
      <c r="H123" s="35"/>
      <c r="I123" s="35"/>
      <c r="J123" s="35"/>
      <c r="L123" s="35"/>
      <c r="M123" s="35"/>
    </row>
    <row r="124" spans="3:13" ht="25.8">
      <c r="C124" s="35"/>
      <c r="D124" s="35"/>
      <c r="E124" s="35"/>
      <c r="F124" s="35"/>
      <c r="G124" s="35"/>
      <c r="H124" s="35"/>
      <c r="I124" s="35"/>
      <c r="J124" s="35"/>
      <c r="L124" s="35"/>
      <c r="M124" s="35"/>
    </row>
    <row r="125" spans="3:13" ht="25.8">
      <c r="C125" s="35"/>
      <c r="D125" s="35"/>
      <c r="E125" s="35"/>
      <c r="F125" s="35"/>
      <c r="G125" s="35"/>
      <c r="H125" s="35"/>
      <c r="I125" s="35"/>
      <c r="J125" s="35"/>
      <c r="L125" s="35"/>
      <c r="M125" s="35"/>
    </row>
    <row r="126" spans="3:13" ht="25.8">
      <c r="C126" s="35"/>
      <c r="D126" s="35"/>
      <c r="E126" s="35"/>
      <c r="F126" s="35"/>
      <c r="G126" s="35"/>
      <c r="H126" s="35"/>
      <c r="I126" s="35"/>
      <c r="J126" s="35"/>
      <c r="L126" s="35"/>
      <c r="M126" s="35"/>
    </row>
    <row r="127" spans="3:13" ht="25.8">
      <c r="C127" s="35"/>
      <c r="D127" s="35"/>
      <c r="E127" s="35"/>
      <c r="F127" s="35"/>
      <c r="G127" s="35"/>
      <c r="H127" s="35"/>
      <c r="I127" s="35"/>
      <c r="J127" s="35"/>
      <c r="L127" s="35"/>
      <c r="M127" s="35"/>
    </row>
    <row r="128" spans="3:13" ht="25.8">
      <c r="C128" s="35"/>
      <c r="D128" s="35"/>
      <c r="E128" s="35"/>
      <c r="F128" s="35"/>
      <c r="G128" s="35"/>
      <c r="H128" s="35"/>
      <c r="I128" s="35"/>
      <c r="J128" s="35"/>
      <c r="L128" s="35"/>
      <c r="M128" s="35"/>
    </row>
    <row r="129" spans="3:13" ht="25.8">
      <c r="C129" s="35"/>
      <c r="D129" s="35"/>
      <c r="E129" s="35"/>
      <c r="F129" s="35"/>
      <c r="G129" s="35"/>
      <c r="H129" s="35"/>
      <c r="I129" s="35"/>
      <c r="J129" s="35"/>
      <c r="L129" s="35"/>
      <c r="M129" s="35"/>
    </row>
    <row r="130" spans="3:13" ht="25.8">
      <c r="C130" s="35"/>
      <c r="D130" s="35"/>
      <c r="E130" s="35"/>
      <c r="F130" s="35"/>
      <c r="G130" s="35"/>
      <c r="H130" s="35"/>
      <c r="I130" s="35"/>
      <c r="J130" s="35"/>
      <c r="L130" s="35"/>
      <c r="M130" s="35"/>
    </row>
    <row r="131" spans="3:13" ht="25.8">
      <c r="C131" s="35"/>
      <c r="D131" s="35"/>
      <c r="E131" s="35"/>
      <c r="F131" s="35"/>
      <c r="G131" s="35"/>
      <c r="H131" s="35"/>
      <c r="I131" s="35"/>
      <c r="J131" s="35"/>
      <c r="L131" s="35"/>
      <c r="M131" s="35"/>
    </row>
    <row r="132" spans="3:13" ht="25.8">
      <c r="C132" s="35"/>
      <c r="D132" s="35"/>
      <c r="E132" s="35"/>
      <c r="F132" s="35"/>
      <c r="G132" s="35"/>
      <c r="H132" s="35"/>
      <c r="I132" s="35"/>
      <c r="J132" s="35"/>
      <c r="L132" s="35"/>
      <c r="M132" s="35"/>
    </row>
    <row r="133" spans="3:13" ht="25.8">
      <c r="C133" s="35"/>
      <c r="D133" s="35"/>
      <c r="E133" s="35"/>
      <c r="F133" s="35"/>
      <c r="G133" s="35"/>
      <c r="H133" s="35"/>
      <c r="I133" s="35"/>
      <c r="J133" s="35"/>
      <c r="L133" s="35"/>
      <c r="M133" s="35"/>
    </row>
    <row r="134" spans="3:13" ht="25.8">
      <c r="C134" s="35"/>
      <c r="D134" s="35"/>
      <c r="E134" s="35"/>
      <c r="F134" s="35"/>
      <c r="G134" s="35"/>
      <c r="H134" s="35"/>
      <c r="I134" s="35"/>
      <c r="J134" s="35"/>
      <c r="L134" s="35"/>
      <c r="M134" s="35"/>
    </row>
    <row r="135" spans="3:13" ht="25.8">
      <c r="C135" s="35"/>
      <c r="D135" s="35"/>
      <c r="E135" s="35"/>
      <c r="F135" s="35"/>
      <c r="G135" s="35"/>
      <c r="H135" s="35"/>
      <c r="I135" s="35"/>
      <c r="J135" s="35"/>
      <c r="L135" s="35"/>
      <c r="M135" s="35"/>
    </row>
    <row r="136" spans="3:13" ht="25.8">
      <c r="C136" s="35"/>
      <c r="D136" s="35"/>
      <c r="E136" s="35"/>
      <c r="F136" s="35"/>
      <c r="G136" s="35"/>
      <c r="H136" s="35"/>
      <c r="I136" s="35"/>
      <c r="J136" s="35"/>
      <c r="L136" s="35"/>
      <c r="M136" s="35"/>
    </row>
    <row r="137" spans="3:13" ht="25.8">
      <c r="C137" s="35"/>
      <c r="D137" s="35"/>
      <c r="E137" s="35"/>
      <c r="F137" s="35"/>
      <c r="G137" s="35"/>
      <c r="H137" s="35"/>
      <c r="I137" s="35"/>
      <c r="J137" s="35"/>
      <c r="L137" s="35"/>
      <c r="M137" s="35"/>
    </row>
    <row r="138" spans="3:13" ht="25.8">
      <c r="C138" s="35"/>
      <c r="D138" s="35"/>
      <c r="E138" s="35"/>
      <c r="F138" s="35"/>
      <c r="G138" s="35"/>
      <c r="H138" s="35"/>
      <c r="I138" s="35"/>
      <c r="J138" s="35"/>
      <c r="L138" s="35"/>
      <c r="M138" s="35"/>
    </row>
    <row r="139" spans="3:13" ht="25.8">
      <c r="C139" s="35"/>
      <c r="D139" s="35"/>
      <c r="E139" s="35"/>
      <c r="F139" s="35"/>
      <c r="G139" s="35"/>
      <c r="H139" s="35"/>
      <c r="I139" s="35"/>
      <c r="J139" s="35"/>
      <c r="L139" s="35"/>
      <c r="M139" s="35"/>
    </row>
    <row r="140" spans="3:13" ht="25.8">
      <c r="C140" s="35"/>
      <c r="D140" s="35"/>
      <c r="E140" s="35"/>
      <c r="F140" s="35"/>
      <c r="G140" s="35"/>
      <c r="H140" s="35"/>
      <c r="I140" s="35"/>
      <c r="J140" s="35"/>
      <c r="L140" s="35"/>
      <c r="M140" s="35"/>
    </row>
    <row r="141" spans="3:13" ht="25.8">
      <c r="C141" s="35"/>
      <c r="D141" s="35"/>
      <c r="E141" s="35"/>
      <c r="F141" s="35"/>
      <c r="G141" s="35"/>
      <c r="H141" s="35"/>
      <c r="I141" s="35"/>
      <c r="J141" s="35"/>
      <c r="L141" s="35"/>
      <c r="M141" s="35"/>
    </row>
    <row r="142" spans="3:13" ht="25.8">
      <c r="C142" s="35"/>
      <c r="D142" s="35"/>
      <c r="E142" s="35"/>
      <c r="F142" s="35"/>
      <c r="G142" s="35"/>
      <c r="H142" s="35"/>
      <c r="I142" s="35"/>
      <c r="J142" s="35"/>
      <c r="L142" s="35"/>
      <c r="M142" s="35"/>
    </row>
    <row r="143" spans="3:13" ht="25.8">
      <c r="C143" s="35"/>
      <c r="D143" s="35"/>
      <c r="E143" s="35"/>
      <c r="F143" s="35"/>
      <c r="G143" s="35"/>
      <c r="H143" s="35"/>
      <c r="I143" s="35"/>
      <c r="J143" s="35"/>
      <c r="L143" s="35"/>
      <c r="M143" s="35"/>
    </row>
    <row r="144" spans="3:13" ht="25.8">
      <c r="C144" s="35"/>
      <c r="D144" s="35"/>
      <c r="E144" s="35"/>
      <c r="F144" s="35"/>
      <c r="G144" s="35"/>
      <c r="H144" s="35"/>
      <c r="I144" s="35"/>
      <c r="J144" s="35"/>
      <c r="L144" s="35"/>
      <c r="M144" s="35"/>
    </row>
    <row r="145" spans="3:13" ht="25.8">
      <c r="C145" s="35"/>
      <c r="D145" s="35"/>
      <c r="E145" s="35"/>
      <c r="F145" s="35"/>
      <c r="G145" s="35"/>
      <c r="H145" s="35"/>
      <c r="I145" s="35"/>
      <c r="J145" s="35"/>
      <c r="L145" s="35"/>
      <c r="M145" s="35"/>
    </row>
    <row r="146" spans="3:13" ht="25.8">
      <c r="C146" s="35"/>
      <c r="D146" s="35"/>
      <c r="E146" s="35"/>
      <c r="F146" s="35"/>
      <c r="G146" s="35"/>
      <c r="H146" s="35"/>
      <c r="I146" s="35"/>
      <c r="J146" s="35"/>
      <c r="L146" s="35"/>
      <c r="M146" s="35"/>
    </row>
    <row r="147" spans="3:13" ht="25.8">
      <c r="C147" s="35"/>
      <c r="D147" s="35"/>
      <c r="E147" s="35"/>
      <c r="F147" s="35"/>
      <c r="G147" s="35"/>
      <c r="H147" s="35"/>
      <c r="I147" s="35"/>
      <c r="J147" s="35"/>
      <c r="L147" s="35"/>
      <c r="M147" s="35"/>
    </row>
    <row r="148" spans="3:13" ht="25.8">
      <c r="C148" s="35"/>
      <c r="D148" s="35"/>
      <c r="E148" s="35"/>
      <c r="F148" s="35"/>
      <c r="G148" s="35"/>
      <c r="H148" s="35"/>
      <c r="I148" s="35"/>
      <c r="J148" s="35"/>
      <c r="L148" s="35"/>
      <c r="M148" s="35"/>
    </row>
    <row r="149" spans="3:13" ht="25.8">
      <c r="C149" s="35"/>
      <c r="D149" s="35"/>
      <c r="E149" s="35"/>
      <c r="F149" s="35"/>
      <c r="G149" s="35"/>
      <c r="H149" s="35"/>
      <c r="I149" s="35"/>
      <c r="J149" s="35"/>
      <c r="L149" s="35"/>
      <c r="M149" s="35"/>
    </row>
    <row r="150" spans="3:13" ht="25.8">
      <c r="C150" s="35"/>
      <c r="D150" s="35"/>
      <c r="E150" s="35"/>
      <c r="F150" s="35"/>
      <c r="G150" s="35"/>
      <c r="H150" s="35"/>
      <c r="I150" s="35"/>
      <c r="J150" s="35"/>
      <c r="L150" s="35"/>
      <c r="M150" s="35"/>
    </row>
    <row r="151" spans="3:13" ht="25.8">
      <c r="C151" s="35"/>
      <c r="D151" s="35"/>
      <c r="E151" s="35"/>
      <c r="F151" s="35"/>
      <c r="G151" s="35"/>
      <c r="H151" s="35"/>
      <c r="I151" s="35"/>
      <c r="J151" s="35"/>
      <c r="L151" s="35"/>
      <c r="M151" s="35"/>
    </row>
    <row r="152" spans="3:13" ht="25.8">
      <c r="C152" s="35"/>
      <c r="D152" s="35"/>
      <c r="E152" s="35"/>
      <c r="F152" s="35"/>
      <c r="G152" s="35"/>
      <c r="H152" s="35"/>
      <c r="I152" s="35"/>
      <c r="J152" s="35"/>
      <c r="L152" s="35"/>
      <c r="M152" s="35"/>
    </row>
    <row r="153" spans="3:13" ht="25.8">
      <c r="C153" s="35"/>
      <c r="D153" s="35"/>
      <c r="E153" s="35"/>
      <c r="F153" s="35"/>
      <c r="G153" s="35"/>
      <c r="H153" s="35"/>
      <c r="I153" s="35"/>
      <c r="J153" s="35"/>
      <c r="L153" s="35"/>
      <c r="M153" s="35"/>
    </row>
    <row r="154" spans="3:13" ht="25.8">
      <c r="C154" s="35"/>
      <c r="D154" s="35"/>
      <c r="E154" s="35"/>
      <c r="F154" s="35"/>
      <c r="G154" s="35"/>
      <c r="H154" s="35"/>
      <c r="I154" s="35"/>
      <c r="J154" s="35"/>
      <c r="L154" s="35"/>
      <c r="M154" s="35"/>
    </row>
    <row r="155" spans="3:13" ht="25.8">
      <c r="C155" s="35"/>
      <c r="D155" s="35"/>
      <c r="E155" s="35"/>
      <c r="F155" s="35"/>
      <c r="G155" s="35"/>
      <c r="H155" s="35"/>
      <c r="I155" s="35"/>
      <c r="J155" s="35"/>
      <c r="L155" s="35"/>
      <c r="M155" s="35"/>
    </row>
    <row r="156" spans="3:13" ht="25.8">
      <c r="C156" s="35"/>
      <c r="D156" s="35"/>
      <c r="E156" s="35"/>
      <c r="F156" s="35"/>
      <c r="G156" s="35"/>
      <c r="H156" s="35"/>
      <c r="I156" s="35"/>
      <c r="J156" s="35"/>
      <c r="L156" s="35"/>
      <c r="M156" s="35"/>
    </row>
    <row r="157" spans="3:13" ht="25.8">
      <c r="C157" s="35"/>
      <c r="D157" s="35"/>
      <c r="E157" s="35"/>
      <c r="F157" s="35"/>
      <c r="G157" s="35"/>
      <c r="H157" s="35"/>
      <c r="I157" s="35"/>
      <c r="J157" s="35"/>
      <c r="L157" s="35"/>
      <c r="M157" s="35"/>
    </row>
    <row r="158" spans="3:13" ht="25.8">
      <c r="C158" s="35"/>
      <c r="D158" s="35"/>
      <c r="E158" s="35"/>
      <c r="F158" s="35"/>
      <c r="G158" s="35"/>
      <c r="H158" s="35"/>
      <c r="I158" s="35"/>
      <c r="J158" s="35"/>
      <c r="L158" s="35"/>
      <c r="M158" s="35"/>
    </row>
    <row r="159" spans="3:13" ht="25.8">
      <c r="C159" s="35"/>
      <c r="D159" s="35"/>
      <c r="E159" s="35"/>
      <c r="F159" s="35"/>
      <c r="G159" s="35"/>
      <c r="H159" s="35"/>
      <c r="I159" s="35"/>
      <c r="J159" s="35"/>
      <c r="L159" s="35"/>
      <c r="M159" s="35"/>
    </row>
    <row r="160" spans="3:13" ht="25.8">
      <c r="C160" s="35"/>
      <c r="D160" s="35"/>
      <c r="E160" s="35"/>
      <c r="F160" s="35"/>
      <c r="G160" s="35"/>
      <c r="H160" s="35"/>
      <c r="I160" s="35"/>
      <c r="J160" s="35"/>
      <c r="L160" s="35"/>
      <c r="M160" s="35"/>
    </row>
    <row r="161" spans="3:13" ht="25.8">
      <c r="C161" s="35"/>
      <c r="D161" s="35"/>
      <c r="E161" s="35"/>
      <c r="F161" s="35"/>
      <c r="G161" s="35"/>
      <c r="H161" s="35"/>
      <c r="I161" s="35"/>
      <c r="J161" s="35"/>
      <c r="L161" s="35"/>
      <c r="M161" s="35"/>
    </row>
    <row r="162" spans="3:13" ht="25.8">
      <c r="C162" s="35"/>
      <c r="D162" s="35"/>
      <c r="E162" s="35"/>
      <c r="F162" s="35"/>
      <c r="G162" s="35"/>
      <c r="H162" s="35"/>
      <c r="I162" s="35"/>
      <c r="J162" s="35"/>
      <c r="L162" s="35"/>
      <c r="M162" s="35"/>
    </row>
    <row r="163" spans="3:13" ht="25.8">
      <c r="C163" s="35"/>
      <c r="D163" s="35"/>
      <c r="E163" s="35"/>
      <c r="F163" s="35"/>
      <c r="G163" s="35"/>
      <c r="H163" s="35"/>
      <c r="I163" s="35"/>
      <c r="J163" s="35"/>
      <c r="L163" s="35"/>
      <c r="M163" s="35"/>
    </row>
    <row r="164" spans="3:13" ht="25.8">
      <c r="C164" s="35"/>
      <c r="D164" s="35"/>
      <c r="E164" s="35"/>
      <c r="F164" s="35"/>
      <c r="G164" s="35"/>
      <c r="H164" s="35"/>
      <c r="I164" s="35"/>
      <c r="J164" s="35"/>
      <c r="L164" s="35"/>
      <c r="M164" s="35"/>
    </row>
    <row r="165" spans="3:13" ht="25.8">
      <c r="C165" s="35"/>
      <c r="D165" s="35"/>
      <c r="E165" s="35"/>
      <c r="F165" s="35"/>
      <c r="G165" s="35"/>
      <c r="H165" s="35"/>
      <c r="I165" s="35"/>
      <c r="J165" s="35"/>
      <c r="L165" s="35"/>
      <c r="M165" s="35"/>
    </row>
    <row r="166" spans="3:13" ht="25.8">
      <c r="C166" s="35"/>
      <c r="D166" s="35"/>
      <c r="E166" s="35"/>
      <c r="F166" s="35"/>
      <c r="G166" s="35"/>
      <c r="H166" s="35"/>
      <c r="I166" s="35"/>
      <c r="J166" s="35"/>
      <c r="L166" s="35"/>
      <c r="M166" s="35"/>
    </row>
    <row r="167" spans="3:13" ht="25.8">
      <c r="C167" s="35"/>
      <c r="D167" s="35"/>
      <c r="E167" s="35"/>
      <c r="F167" s="35"/>
      <c r="G167" s="35"/>
      <c r="H167" s="35"/>
      <c r="I167" s="35"/>
      <c r="J167" s="35"/>
      <c r="L167" s="35"/>
      <c r="M167" s="35"/>
    </row>
    <row r="168" spans="3:13" ht="25.8">
      <c r="C168" s="35"/>
      <c r="D168" s="35"/>
      <c r="E168" s="35"/>
      <c r="F168" s="35"/>
      <c r="G168" s="35"/>
      <c r="H168" s="35"/>
      <c r="I168" s="35"/>
      <c r="J168" s="35"/>
      <c r="L168" s="35"/>
      <c r="M168" s="35"/>
    </row>
    <row r="169" spans="3:13" ht="25.8">
      <c r="C169" s="35"/>
      <c r="D169" s="35"/>
      <c r="E169" s="35"/>
      <c r="F169" s="35"/>
      <c r="G169" s="35"/>
      <c r="H169" s="35"/>
      <c r="I169" s="35"/>
      <c r="J169" s="35"/>
      <c r="L169" s="35"/>
      <c r="M169" s="35"/>
    </row>
    <row r="170" spans="3:13" ht="25.8">
      <c r="C170" s="35"/>
      <c r="D170" s="35"/>
      <c r="E170" s="35"/>
      <c r="F170" s="35"/>
      <c r="G170" s="35"/>
      <c r="H170" s="35"/>
      <c r="I170" s="35"/>
      <c r="J170" s="35"/>
      <c r="L170" s="35"/>
      <c r="M170" s="35"/>
    </row>
    <row r="171" spans="3:13" ht="25.8">
      <c r="C171" s="35"/>
      <c r="D171" s="35"/>
      <c r="E171" s="35"/>
      <c r="F171" s="35"/>
      <c r="G171" s="35"/>
      <c r="H171" s="35"/>
      <c r="I171" s="35"/>
      <c r="J171" s="35"/>
      <c r="L171" s="35"/>
      <c r="M171" s="35"/>
    </row>
    <row r="172" spans="3:13" ht="25.8">
      <c r="C172" s="35"/>
      <c r="D172" s="35"/>
      <c r="E172" s="35"/>
      <c r="F172" s="35"/>
      <c r="G172" s="35"/>
      <c r="H172" s="35"/>
      <c r="I172" s="35"/>
      <c r="J172" s="35"/>
      <c r="L172" s="35"/>
      <c r="M172" s="35"/>
    </row>
    <row r="173" spans="3:13" ht="25.8">
      <c r="C173" s="35"/>
      <c r="D173" s="35"/>
      <c r="E173" s="35"/>
      <c r="F173" s="35"/>
      <c r="G173" s="35"/>
      <c r="H173" s="35"/>
      <c r="I173" s="35"/>
      <c r="J173" s="35"/>
      <c r="L173" s="35"/>
      <c r="M173" s="35"/>
    </row>
    <row r="174" spans="3:13" ht="25.8">
      <c r="C174" s="35"/>
      <c r="D174" s="35"/>
      <c r="E174" s="35"/>
      <c r="F174" s="35"/>
      <c r="G174" s="35"/>
      <c r="H174" s="35"/>
      <c r="I174" s="35"/>
      <c r="J174" s="35"/>
      <c r="L174" s="35"/>
      <c r="M174" s="35"/>
    </row>
    <row r="175" spans="3:13" ht="25.8">
      <c r="C175" s="35"/>
      <c r="D175" s="35"/>
      <c r="E175" s="35"/>
      <c r="F175" s="35"/>
      <c r="G175" s="35"/>
      <c r="H175" s="35"/>
      <c r="I175" s="35"/>
      <c r="J175" s="35"/>
      <c r="L175" s="35"/>
      <c r="M175" s="35"/>
    </row>
    <row r="176" spans="3:13" ht="25.8">
      <c r="C176" s="35"/>
      <c r="D176" s="35"/>
      <c r="E176" s="35"/>
      <c r="F176" s="35"/>
      <c r="G176" s="35"/>
      <c r="H176" s="35"/>
      <c r="I176" s="35"/>
      <c r="J176" s="35"/>
      <c r="L176" s="35"/>
      <c r="M176" s="35"/>
    </row>
    <row r="177" spans="3:13" ht="25.8">
      <c r="C177" s="35"/>
      <c r="D177" s="35"/>
      <c r="E177" s="35"/>
      <c r="F177" s="35"/>
      <c r="G177" s="35"/>
      <c r="H177" s="35"/>
      <c r="I177" s="35"/>
      <c r="J177" s="35"/>
      <c r="L177" s="35"/>
      <c r="M177" s="35"/>
    </row>
    <row r="178" spans="3:13" ht="25.8">
      <c r="C178" s="35"/>
      <c r="D178" s="35"/>
      <c r="E178" s="35"/>
      <c r="F178" s="35"/>
      <c r="G178" s="35"/>
      <c r="H178" s="35"/>
      <c r="I178" s="35"/>
      <c r="J178" s="35"/>
      <c r="L178" s="35"/>
      <c r="M178" s="35"/>
    </row>
    <row r="179" spans="3:13" ht="25.8">
      <c r="C179" s="35"/>
      <c r="D179" s="35"/>
      <c r="E179" s="35"/>
      <c r="F179" s="35"/>
      <c r="G179" s="35"/>
      <c r="H179" s="35"/>
      <c r="I179" s="35"/>
      <c r="J179" s="35"/>
      <c r="L179" s="35"/>
      <c r="M179" s="35"/>
    </row>
    <row r="180" spans="3:13" ht="25.8">
      <c r="C180" s="35"/>
      <c r="D180" s="35"/>
      <c r="E180" s="35"/>
      <c r="F180" s="35"/>
      <c r="G180" s="35"/>
      <c r="H180" s="35"/>
      <c r="I180" s="35"/>
      <c r="J180" s="35"/>
      <c r="L180" s="35"/>
      <c r="M180" s="35"/>
    </row>
    <row r="181" spans="3:13" ht="25.8">
      <c r="C181" s="35"/>
      <c r="D181" s="35"/>
      <c r="E181" s="35"/>
      <c r="F181" s="35"/>
      <c r="G181" s="35"/>
      <c r="H181" s="35"/>
      <c r="I181" s="35"/>
      <c r="J181" s="35"/>
      <c r="L181" s="35"/>
      <c r="M181" s="35"/>
    </row>
    <row r="182" spans="3:13" ht="25.8">
      <c r="C182" s="35"/>
      <c r="D182" s="35"/>
      <c r="E182" s="35"/>
      <c r="F182" s="35"/>
      <c r="G182" s="35"/>
      <c r="H182" s="35"/>
      <c r="I182" s="35"/>
      <c r="J182" s="35"/>
      <c r="L182" s="35"/>
      <c r="M182" s="35"/>
    </row>
    <row r="183" spans="3:13" ht="25.8">
      <c r="C183" s="35"/>
      <c r="D183" s="35"/>
      <c r="E183" s="35"/>
      <c r="F183" s="35"/>
      <c r="G183" s="35"/>
      <c r="H183" s="35"/>
      <c r="I183" s="35"/>
      <c r="J183" s="35"/>
      <c r="L183" s="35"/>
      <c r="M183" s="35"/>
    </row>
    <row r="184" spans="3:13" ht="25.8">
      <c r="C184" s="35"/>
      <c r="D184" s="35"/>
      <c r="E184" s="35"/>
      <c r="F184" s="35"/>
      <c r="G184" s="35"/>
      <c r="H184" s="35"/>
      <c r="I184" s="35"/>
      <c r="J184" s="35"/>
      <c r="L184" s="35"/>
      <c r="M184" s="35"/>
    </row>
    <row r="185" spans="3:13" ht="25.8">
      <c r="C185" s="35"/>
      <c r="D185" s="35"/>
      <c r="E185" s="35"/>
      <c r="F185" s="35"/>
      <c r="G185" s="35"/>
      <c r="H185" s="35"/>
      <c r="I185" s="35"/>
      <c r="J185" s="35"/>
      <c r="L185" s="35"/>
      <c r="M185" s="35"/>
    </row>
    <row r="186" spans="3:13" ht="25.8">
      <c r="C186" s="35"/>
      <c r="D186" s="35"/>
      <c r="E186" s="35"/>
      <c r="F186" s="35"/>
      <c r="G186" s="35"/>
      <c r="H186" s="35"/>
      <c r="I186" s="35"/>
      <c r="J186" s="35"/>
      <c r="L186" s="35"/>
      <c r="M186" s="35"/>
    </row>
    <row r="187" spans="3:13" ht="25.8">
      <c r="C187" s="35"/>
      <c r="D187" s="35"/>
      <c r="E187" s="35"/>
      <c r="F187" s="35"/>
      <c r="G187" s="35"/>
      <c r="H187" s="35"/>
      <c r="I187" s="35"/>
      <c r="J187" s="35"/>
      <c r="L187" s="35"/>
      <c r="M187" s="35"/>
    </row>
    <row r="188" spans="3:13" ht="25.8">
      <c r="C188" s="35"/>
      <c r="D188" s="35"/>
      <c r="E188" s="35"/>
      <c r="F188" s="35"/>
      <c r="G188" s="35"/>
      <c r="H188" s="35"/>
      <c r="I188" s="35"/>
      <c r="J188" s="35"/>
      <c r="L188" s="35"/>
      <c r="M188" s="35"/>
    </row>
    <row r="189" spans="3:13" ht="25.8">
      <c r="C189" s="35"/>
      <c r="D189" s="35"/>
      <c r="E189" s="35"/>
      <c r="F189" s="35"/>
      <c r="G189" s="35"/>
      <c r="H189" s="35"/>
      <c r="I189" s="35"/>
      <c r="J189" s="35"/>
      <c r="L189" s="35"/>
      <c r="M189" s="35"/>
    </row>
    <row r="190" spans="3:13" ht="25.8">
      <c r="C190" s="35"/>
      <c r="D190" s="35"/>
      <c r="E190" s="35"/>
      <c r="F190" s="35"/>
      <c r="G190" s="35"/>
      <c r="H190" s="35"/>
      <c r="I190" s="35"/>
      <c r="J190" s="35"/>
      <c r="L190" s="35"/>
      <c r="M190" s="35"/>
    </row>
    <row r="191" spans="3:13" ht="25.8">
      <c r="C191" s="35"/>
      <c r="D191" s="35"/>
      <c r="E191" s="35"/>
      <c r="F191" s="35"/>
      <c r="G191" s="35"/>
      <c r="H191" s="35"/>
      <c r="I191" s="35"/>
      <c r="J191" s="35"/>
      <c r="L191" s="35"/>
      <c r="M191" s="35"/>
    </row>
    <row r="192" spans="3:13" ht="25.8">
      <c r="C192" s="35"/>
      <c r="D192" s="35"/>
      <c r="E192" s="35"/>
      <c r="F192" s="35"/>
      <c r="G192" s="35"/>
      <c r="H192" s="35"/>
      <c r="I192" s="35"/>
      <c r="J192" s="35"/>
      <c r="L192" s="35"/>
      <c r="M192" s="35"/>
    </row>
    <row r="193" spans="3:13" ht="25.8">
      <c r="C193" s="35"/>
      <c r="D193" s="35"/>
      <c r="E193" s="35"/>
      <c r="F193" s="35"/>
      <c r="G193" s="35"/>
      <c r="H193" s="35"/>
      <c r="I193" s="35"/>
      <c r="J193" s="35"/>
      <c r="L193" s="35"/>
      <c r="M193" s="35"/>
    </row>
    <row r="194" spans="3:13" ht="25.8">
      <c r="C194" s="35"/>
      <c r="D194" s="35"/>
      <c r="E194" s="35"/>
      <c r="F194" s="35"/>
      <c r="G194" s="35"/>
      <c r="H194" s="35"/>
      <c r="I194" s="35"/>
      <c r="J194" s="35"/>
      <c r="L194" s="35"/>
      <c r="M194" s="35"/>
    </row>
    <row r="195" spans="3:13" ht="25.8">
      <c r="C195" s="35"/>
      <c r="D195" s="35"/>
      <c r="E195" s="35"/>
      <c r="F195" s="35"/>
      <c r="G195" s="35"/>
      <c r="H195" s="35"/>
      <c r="I195" s="35"/>
      <c r="J195" s="35"/>
      <c r="L195" s="35"/>
      <c r="M195" s="35"/>
    </row>
    <row r="196" spans="3:13" ht="25.8">
      <c r="C196" s="35"/>
      <c r="D196" s="35"/>
      <c r="E196" s="35"/>
      <c r="F196" s="35"/>
      <c r="G196" s="35"/>
      <c r="H196" s="35"/>
      <c r="I196" s="35"/>
      <c r="J196" s="35"/>
      <c r="L196" s="35"/>
      <c r="M196" s="35"/>
    </row>
    <row r="197" spans="3:13" ht="25.8">
      <c r="C197" s="35"/>
      <c r="D197" s="35"/>
      <c r="E197" s="35"/>
      <c r="F197" s="35"/>
      <c r="G197" s="35"/>
      <c r="H197" s="35"/>
      <c r="I197" s="35"/>
      <c r="J197" s="35"/>
      <c r="L197" s="35"/>
      <c r="M197" s="35"/>
    </row>
    <row r="198" spans="3:13" ht="25.8">
      <c r="C198" s="35"/>
      <c r="D198" s="35"/>
      <c r="E198" s="35"/>
      <c r="F198" s="35"/>
      <c r="G198" s="35"/>
      <c r="H198" s="35"/>
      <c r="I198" s="35"/>
      <c r="J198" s="35"/>
      <c r="L198" s="35"/>
      <c r="M198" s="35"/>
    </row>
    <row r="199" spans="3:13" ht="25.8">
      <c r="C199" s="35"/>
      <c r="D199" s="35"/>
      <c r="E199" s="35"/>
      <c r="F199" s="35"/>
      <c r="G199" s="35"/>
      <c r="H199" s="35"/>
      <c r="I199" s="35"/>
      <c r="J199" s="35"/>
      <c r="L199" s="35"/>
      <c r="M199" s="35"/>
    </row>
    <row r="200" spans="3:13" ht="25.8">
      <c r="C200" s="35"/>
      <c r="D200" s="35"/>
      <c r="E200" s="35"/>
      <c r="F200" s="35"/>
      <c r="G200" s="35"/>
      <c r="H200" s="35"/>
      <c r="I200" s="35"/>
      <c r="J200" s="35"/>
      <c r="L200" s="35"/>
      <c r="M200" s="35"/>
    </row>
    <row r="201" spans="3:13" ht="25.8">
      <c r="C201" s="35"/>
      <c r="D201" s="35"/>
      <c r="E201" s="35"/>
      <c r="F201" s="35"/>
      <c r="G201" s="35"/>
      <c r="H201" s="35"/>
      <c r="I201" s="35"/>
      <c r="J201" s="35"/>
      <c r="L201" s="35"/>
      <c r="M201" s="35"/>
    </row>
    <row r="202" spans="3:13" ht="25.8">
      <c r="C202" s="35"/>
      <c r="D202" s="35"/>
      <c r="E202" s="35"/>
      <c r="F202" s="35"/>
      <c r="G202" s="35"/>
      <c r="H202" s="35"/>
      <c r="I202" s="35"/>
      <c r="J202" s="35"/>
      <c r="L202" s="35"/>
      <c r="M202" s="35"/>
    </row>
    <row r="203" spans="3:13" ht="25.8">
      <c r="C203" s="35"/>
      <c r="D203" s="35"/>
      <c r="E203" s="35"/>
      <c r="F203" s="35"/>
      <c r="G203" s="35"/>
      <c r="H203" s="35"/>
      <c r="I203" s="35"/>
      <c r="J203" s="35"/>
      <c r="L203" s="35"/>
      <c r="M203" s="35"/>
    </row>
    <row r="204" spans="3:13" ht="25.8">
      <c r="C204" s="35"/>
      <c r="D204" s="35"/>
      <c r="E204" s="35"/>
      <c r="F204" s="35"/>
      <c r="G204" s="35"/>
      <c r="H204" s="35"/>
      <c r="I204" s="35"/>
      <c r="J204" s="35"/>
      <c r="L204" s="35"/>
      <c r="M204" s="35"/>
    </row>
    <row r="205" spans="3:13" ht="25.8">
      <c r="C205" s="35"/>
      <c r="D205" s="35"/>
      <c r="E205" s="35"/>
      <c r="F205" s="35"/>
      <c r="G205" s="35"/>
      <c r="H205" s="35"/>
      <c r="I205" s="35"/>
      <c r="J205" s="35"/>
      <c r="L205" s="35"/>
      <c r="M205" s="35"/>
    </row>
    <row r="206" spans="3:13" ht="25.8">
      <c r="C206" s="35"/>
      <c r="D206" s="35"/>
      <c r="E206" s="35"/>
      <c r="F206" s="35"/>
      <c r="G206" s="35"/>
      <c r="H206" s="35"/>
      <c r="I206" s="35"/>
      <c r="J206" s="35"/>
      <c r="L206" s="35"/>
      <c r="M206" s="35"/>
    </row>
    <row r="207" spans="3:13" ht="25.8">
      <c r="C207" s="35"/>
      <c r="D207" s="35"/>
      <c r="E207" s="35"/>
      <c r="F207" s="35"/>
      <c r="G207" s="35"/>
      <c r="H207" s="35"/>
      <c r="I207" s="35"/>
      <c r="J207" s="35"/>
      <c r="L207" s="35"/>
      <c r="M207" s="35"/>
    </row>
    <row r="208" spans="3:13" ht="25.8">
      <c r="C208" s="35"/>
      <c r="D208" s="35"/>
      <c r="E208" s="35"/>
      <c r="F208" s="35"/>
      <c r="G208" s="35"/>
      <c r="H208" s="35"/>
      <c r="I208" s="35"/>
      <c r="J208" s="35"/>
      <c r="L208" s="35"/>
      <c r="M208" s="35"/>
    </row>
    <row r="209" spans="3:13" ht="25.8">
      <c r="C209" s="35"/>
      <c r="D209" s="35"/>
      <c r="E209" s="35"/>
      <c r="F209" s="35"/>
      <c r="G209" s="35"/>
      <c r="H209" s="35"/>
      <c r="I209" s="35"/>
      <c r="J209" s="35"/>
      <c r="L209" s="35"/>
      <c r="M209" s="35"/>
    </row>
    <row r="210" spans="3:13" ht="25.8">
      <c r="C210" s="35"/>
      <c r="D210" s="35"/>
      <c r="E210" s="35"/>
      <c r="F210" s="35"/>
      <c r="G210" s="35"/>
      <c r="H210" s="35"/>
      <c r="I210" s="35"/>
      <c r="J210" s="35"/>
      <c r="L210" s="35"/>
      <c r="M210" s="35"/>
    </row>
    <row r="211" spans="3:13" ht="25.8">
      <c r="C211" s="35"/>
      <c r="D211" s="35"/>
      <c r="E211" s="35"/>
      <c r="F211" s="35"/>
      <c r="G211" s="35"/>
      <c r="H211" s="35"/>
      <c r="I211" s="35"/>
      <c r="J211" s="35"/>
      <c r="L211" s="35"/>
      <c r="M211" s="35"/>
    </row>
    <row r="212" spans="3:13" ht="25.8">
      <c r="C212" s="35"/>
      <c r="D212" s="35"/>
      <c r="E212" s="35"/>
      <c r="F212" s="35"/>
      <c r="G212" s="35"/>
      <c r="H212" s="35"/>
      <c r="I212" s="35"/>
      <c r="J212" s="35"/>
      <c r="L212" s="35"/>
      <c r="M212" s="35"/>
    </row>
    <row r="213" spans="3:13" ht="25.8">
      <c r="C213" s="35"/>
      <c r="D213" s="35"/>
      <c r="E213" s="35"/>
      <c r="F213" s="35"/>
      <c r="G213" s="35"/>
      <c r="H213" s="35"/>
      <c r="I213" s="35"/>
      <c r="J213" s="35"/>
      <c r="L213" s="35"/>
      <c r="M213" s="35"/>
    </row>
    <row r="214" spans="3:13" ht="25.8">
      <c r="C214" s="35"/>
      <c r="D214" s="35"/>
      <c r="E214" s="35"/>
      <c r="F214" s="35"/>
      <c r="G214" s="35"/>
      <c r="H214" s="35"/>
      <c r="I214" s="35"/>
      <c r="J214" s="35"/>
      <c r="L214" s="35"/>
      <c r="M214" s="35"/>
    </row>
    <row r="215" spans="3:13" ht="25.8">
      <c r="C215" s="35"/>
      <c r="D215" s="35"/>
      <c r="E215" s="35"/>
      <c r="F215" s="35"/>
      <c r="G215" s="35"/>
      <c r="H215" s="35"/>
      <c r="I215" s="35"/>
      <c r="J215" s="35"/>
      <c r="L215" s="35"/>
      <c r="M215" s="35"/>
    </row>
    <row r="216" spans="3:13" ht="25.8">
      <c r="C216" s="35"/>
      <c r="D216" s="35"/>
      <c r="E216" s="35"/>
      <c r="F216" s="35"/>
      <c r="G216" s="35"/>
      <c r="H216" s="35"/>
      <c r="I216" s="35"/>
      <c r="J216" s="35"/>
      <c r="L216" s="35"/>
      <c r="M216" s="35"/>
    </row>
    <row r="217" spans="3:13" ht="25.8">
      <c r="C217" s="35"/>
      <c r="D217" s="35"/>
      <c r="E217" s="35"/>
      <c r="F217" s="35"/>
      <c r="G217" s="35"/>
      <c r="H217" s="35"/>
      <c r="I217" s="35"/>
      <c r="J217" s="35"/>
      <c r="L217" s="35"/>
      <c r="M217" s="35"/>
    </row>
    <row r="218" spans="3:13" ht="25.8">
      <c r="C218" s="35"/>
      <c r="D218" s="35"/>
      <c r="E218" s="35"/>
      <c r="F218" s="35"/>
      <c r="G218" s="35"/>
      <c r="H218" s="35"/>
      <c r="I218" s="35"/>
      <c r="J218" s="35"/>
      <c r="L218" s="35"/>
      <c r="M218" s="35"/>
    </row>
    <row r="219" spans="3:13" ht="25.8">
      <c r="C219" s="35"/>
      <c r="D219" s="35"/>
      <c r="E219" s="35"/>
      <c r="F219" s="35"/>
      <c r="G219" s="35"/>
      <c r="H219" s="35"/>
      <c r="I219" s="35"/>
      <c r="J219" s="35"/>
      <c r="L219" s="35"/>
      <c r="M219" s="35"/>
    </row>
    <row r="220" spans="3:13" ht="25.8">
      <c r="C220" s="35"/>
      <c r="D220" s="35"/>
      <c r="E220" s="35"/>
      <c r="F220" s="35"/>
      <c r="G220" s="35"/>
      <c r="H220" s="35"/>
      <c r="I220" s="35"/>
      <c r="J220" s="35"/>
      <c r="L220" s="35"/>
      <c r="M220" s="35"/>
    </row>
    <row r="221" spans="3:13" ht="25.8">
      <c r="C221" s="35"/>
      <c r="D221" s="35"/>
      <c r="E221" s="35"/>
      <c r="F221" s="35"/>
      <c r="G221" s="35"/>
      <c r="H221" s="35"/>
      <c r="I221" s="35"/>
      <c r="J221" s="35"/>
      <c r="L221" s="35"/>
      <c r="M221" s="35"/>
    </row>
    <row r="222" spans="3:13" ht="25.8">
      <c r="C222" s="35"/>
      <c r="D222" s="35"/>
      <c r="E222" s="35"/>
      <c r="F222" s="35"/>
      <c r="G222" s="35"/>
      <c r="H222" s="35"/>
      <c r="I222" s="35"/>
      <c r="J222" s="35"/>
      <c r="L222" s="35"/>
      <c r="M222" s="35"/>
    </row>
    <row r="223" spans="3:13" ht="25.8">
      <c r="C223" s="35"/>
      <c r="D223" s="35"/>
      <c r="E223" s="35"/>
      <c r="F223" s="35"/>
      <c r="G223" s="35"/>
      <c r="H223" s="35"/>
      <c r="I223" s="35"/>
      <c r="J223" s="35"/>
      <c r="L223" s="35"/>
      <c r="M223" s="35"/>
    </row>
    <row r="224" spans="3:13" ht="25.8">
      <c r="C224" s="35"/>
      <c r="D224" s="35"/>
      <c r="E224" s="35"/>
      <c r="F224" s="35"/>
      <c r="G224" s="35"/>
      <c r="H224" s="35"/>
      <c r="I224" s="35"/>
      <c r="J224" s="35"/>
      <c r="L224" s="35"/>
      <c r="M224" s="35"/>
    </row>
    <row r="225" spans="3:13" ht="25.8">
      <c r="C225" s="35"/>
      <c r="D225" s="35"/>
      <c r="E225" s="35"/>
      <c r="F225" s="35"/>
      <c r="G225" s="35"/>
      <c r="H225" s="35"/>
      <c r="I225" s="35"/>
      <c r="J225" s="35"/>
      <c r="L225" s="35"/>
      <c r="M225" s="35"/>
    </row>
    <row r="226" spans="3:13" ht="25.8">
      <c r="C226" s="35"/>
      <c r="D226" s="35"/>
      <c r="E226" s="35"/>
      <c r="F226" s="35"/>
      <c r="G226" s="35"/>
      <c r="H226" s="35"/>
      <c r="I226" s="35"/>
      <c r="J226" s="35"/>
      <c r="L226" s="35"/>
      <c r="M226" s="35"/>
    </row>
    <row r="227" spans="3:13" ht="25.8">
      <c r="C227" s="35"/>
      <c r="D227" s="35"/>
      <c r="E227" s="35"/>
      <c r="F227" s="35"/>
      <c r="G227" s="35"/>
      <c r="H227" s="35"/>
      <c r="I227" s="35"/>
      <c r="J227" s="35"/>
      <c r="L227" s="35"/>
      <c r="M227" s="35"/>
    </row>
    <row r="228" spans="3:13" ht="25.8">
      <c r="C228" s="35"/>
      <c r="D228" s="35"/>
      <c r="E228" s="35"/>
      <c r="F228" s="35"/>
      <c r="G228" s="35"/>
      <c r="H228" s="35"/>
      <c r="I228" s="35"/>
      <c r="J228" s="35"/>
      <c r="L228" s="35"/>
      <c r="M228" s="35"/>
    </row>
    <row r="229" spans="3:13" ht="25.8">
      <c r="C229" s="35"/>
      <c r="D229" s="35"/>
      <c r="E229" s="35"/>
      <c r="F229" s="35"/>
      <c r="G229" s="35"/>
      <c r="H229" s="35"/>
      <c r="I229" s="35"/>
      <c r="J229" s="35"/>
      <c r="L229" s="35"/>
      <c r="M229" s="35"/>
    </row>
    <row r="230" spans="3:13" ht="25.8">
      <c r="C230" s="35"/>
      <c r="D230" s="35"/>
      <c r="E230" s="35"/>
      <c r="F230" s="35"/>
      <c r="G230" s="35"/>
      <c r="H230" s="35"/>
      <c r="I230" s="35"/>
      <c r="J230" s="35"/>
      <c r="L230" s="35"/>
      <c r="M230" s="35"/>
    </row>
    <row r="231" spans="3:13" ht="25.8">
      <c r="C231" s="35"/>
      <c r="D231" s="35"/>
      <c r="E231" s="35"/>
      <c r="F231" s="35"/>
      <c r="G231" s="35"/>
      <c r="H231" s="35"/>
      <c r="I231" s="35"/>
      <c r="J231" s="35"/>
      <c r="L231" s="35"/>
      <c r="M231" s="35"/>
    </row>
    <row r="232" spans="3:13" ht="25.8">
      <c r="C232" s="35"/>
      <c r="D232" s="35"/>
      <c r="E232" s="35"/>
      <c r="F232" s="35"/>
      <c r="G232" s="35"/>
      <c r="H232" s="35"/>
      <c r="I232" s="35"/>
      <c r="J232" s="35"/>
      <c r="L232" s="35"/>
      <c r="M232" s="35"/>
    </row>
    <row r="233" spans="3:13" ht="25.8">
      <c r="C233" s="35"/>
      <c r="D233" s="35"/>
      <c r="E233" s="35"/>
      <c r="F233" s="35"/>
      <c r="G233" s="35"/>
      <c r="H233" s="35"/>
      <c r="I233" s="35"/>
      <c r="J233" s="35"/>
      <c r="L233" s="35"/>
      <c r="M233" s="35"/>
    </row>
    <row r="234" spans="3:13" ht="25.8">
      <c r="C234" s="35"/>
      <c r="D234" s="35"/>
      <c r="E234" s="35"/>
      <c r="F234" s="35"/>
      <c r="G234" s="35"/>
      <c r="H234" s="35"/>
      <c r="I234" s="35"/>
      <c r="J234" s="35"/>
      <c r="L234" s="35"/>
      <c r="M234" s="35"/>
    </row>
    <row r="235" spans="3:13" ht="25.8">
      <c r="C235" s="35"/>
      <c r="D235" s="35"/>
      <c r="E235" s="35"/>
      <c r="F235" s="35"/>
      <c r="G235" s="35"/>
      <c r="H235" s="35"/>
      <c r="I235" s="35"/>
      <c r="J235" s="35"/>
      <c r="L235" s="35"/>
      <c r="M235" s="35"/>
    </row>
    <row r="236" spans="3:13" ht="25.8">
      <c r="C236" s="35"/>
      <c r="D236" s="35"/>
      <c r="E236" s="35"/>
      <c r="F236" s="35"/>
      <c r="G236" s="35"/>
      <c r="H236" s="35"/>
      <c r="I236" s="35"/>
      <c r="J236" s="35"/>
      <c r="L236" s="35"/>
      <c r="M236" s="35"/>
    </row>
    <row r="237" spans="3:13" ht="25.8">
      <c r="C237" s="35"/>
      <c r="D237" s="35"/>
      <c r="E237" s="35"/>
      <c r="F237" s="35"/>
      <c r="G237" s="35"/>
      <c r="H237" s="35"/>
      <c r="I237" s="35"/>
      <c r="J237" s="35"/>
      <c r="L237" s="35"/>
      <c r="M237" s="35"/>
    </row>
    <row r="238" spans="3:13" ht="25.8">
      <c r="C238" s="35"/>
      <c r="D238" s="35"/>
      <c r="E238" s="35"/>
      <c r="F238" s="35"/>
      <c r="G238" s="35"/>
      <c r="H238" s="35"/>
      <c r="I238" s="35"/>
      <c r="J238" s="35"/>
      <c r="L238" s="35"/>
      <c r="M238" s="35"/>
    </row>
    <row r="239" spans="3:13" ht="25.8">
      <c r="C239" s="35"/>
      <c r="D239" s="35"/>
      <c r="E239" s="35"/>
      <c r="F239" s="35"/>
      <c r="G239" s="35"/>
      <c r="H239" s="35"/>
      <c r="I239" s="35"/>
      <c r="J239" s="35"/>
      <c r="L239" s="35"/>
      <c r="M239" s="35"/>
    </row>
    <row r="240" spans="3:13" ht="25.8">
      <c r="C240" s="35"/>
      <c r="D240" s="35"/>
      <c r="E240" s="35"/>
      <c r="F240" s="35"/>
      <c r="G240" s="35"/>
      <c r="H240" s="35"/>
      <c r="I240" s="35"/>
      <c r="J240" s="35"/>
      <c r="L240" s="35"/>
      <c r="M240" s="35"/>
    </row>
    <row r="241" spans="3:13" ht="25.8">
      <c r="C241" s="35"/>
      <c r="D241" s="35"/>
      <c r="E241" s="35"/>
      <c r="F241" s="35"/>
      <c r="G241" s="35"/>
      <c r="H241" s="35"/>
      <c r="I241" s="35"/>
      <c r="J241" s="35"/>
      <c r="L241" s="35"/>
      <c r="M241" s="35"/>
    </row>
    <row r="242" spans="3:13" ht="25.8">
      <c r="C242" s="35"/>
      <c r="D242" s="35"/>
      <c r="E242" s="35"/>
      <c r="F242" s="35"/>
      <c r="G242" s="35"/>
      <c r="H242" s="35"/>
      <c r="I242" s="35"/>
      <c r="J242" s="35"/>
      <c r="L242" s="35"/>
      <c r="M242" s="35"/>
    </row>
    <row r="243" spans="3:13" ht="25.8">
      <c r="C243" s="35"/>
      <c r="D243" s="35"/>
      <c r="E243" s="35"/>
      <c r="F243" s="35"/>
      <c r="G243" s="35"/>
      <c r="H243" s="35"/>
      <c r="I243" s="35"/>
      <c r="J243" s="35"/>
      <c r="L243" s="35"/>
      <c r="M243" s="35"/>
    </row>
    <row r="244" spans="3:13" ht="25.8">
      <c r="C244" s="35"/>
      <c r="D244" s="35"/>
      <c r="E244" s="35"/>
      <c r="F244" s="35"/>
      <c r="G244" s="35"/>
      <c r="H244" s="35"/>
      <c r="I244" s="35"/>
      <c r="J244" s="35"/>
      <c r="L244" s="35"/>
      <c r="M244" s="35"/>
    </row>
    <row r="245" spans="3:13" ht="25.8">
      <c r="C245" s="35"/>
      <c r="D245" s="35"/>
      <c r="E245" s="35"/>
      <c r="F245" s="35"/>
      <c r="G245" s="35"/>
      <c r="H245" s="35"/>
      <c r="I245" s="35"/>
      <c r="J245" s="35"/>
      <c r="L245" s="35"/>
      <c r="M245" s="35"/>
    </row>
    <row r="246" spans="3:13" ht="25.8">
      <c r="C246" s="35"/>
      <c r="D246" s="35"/>
      <c r="E246" s="35"/>
      <c r="F246" s="35"/>
      <c r="G246" s="35"/>
      <c r="H246" s="35"/>
      <c r="I246" s="35"/>
      <c r="J246" s="35"/>
      <c r="L246" s="35"/>
      <c r="M246" s="35"/>
    </row>
    <row r="247" spans="3:13" ht="25.8">
      <c r="C247" s="35"/>
      <c r="D247" s="35"/>
      <c r="E247" s="35"/>
      <c r="F247" s="35"/>
      <c r="G247" s="35"/>
      <c r="H247" s="35"/>
      <c r="I247" s="35"/>
      <c r="J247" s="35"/>
      <c r="L247" s="35"/>
      <c r="M247" s="35"/>
    </row>
    <row r="248" spans="3:13" ht="25.8">
      <c r="C248" s="35"/>
      <c r="D248" s="35"/>
      <c r="E248" s="35"/>
      <c r="F248" s="35"/>
      <c r="G248" s="35"/>
      <c r="H248" s="35"/>
      <c r="I248" s="35"/>
      <c r="J248" s="35"/>
      <c r="L248" s="35"/>
      <c r="M248" s="35"/>
    </row>
    <row r="249" spans="3:13" ht="25.8">
      <c r="C249" s="35"/>
      <c r="D249" s="35"/>
      <c r="E249" s="35"/>
      <c r="F249" s="35"/>
      <c r="G249" s="35"/>
      <c r="H249" s="35"/>
      <c r="I249" s="35"/>
      <c r="J249" s="35"/>
      <c r="L249" s="35"/>
      <c r="M249" s="35"/>
    </row>
    <row r="250" spans="3:13" ht="25.8">
      <c r="C250" s="35"/>
      <c r="D250" s="35"/>
      <c r="E250" s="35"/>
      <c r="F250" s="35"/>
      <c r="G250" s="35"/>
      <c r="H250" s="35"/>
      <c r="I250" s="35"/>
      <c r="J250" s="35"/>
      <c r="L250" s="35"/>
      <c r="M250" s="35"/>
    </row>
    <row r="251" spans="3:13" ht="25.8">
      <c r="C251" s="35"/>
      <c r="D251" s="35"/>
      <c r="E251" s="35"/>
      <c r="F251" s="35"/>
      <c r="G251" s="35"/>
      <c r="H251" s="35"/>
      <c r="I251" s="35"/>
      <c r="J251" s="35"/>
      <c r="L251" s="35"/>
      <c r="M251" s="35"/>
    </row>
    <row r="252" spans="3:13" ht="25.8">
      <c r="C252" s="35"/>
      <c r="D252" s="35"/>
      <c r="E252" s="35"/>
      <c r="F252" s="35"/>
      <c r="G252" s="35"/>
      <c r="H252" s="35"/>
      <c r="I252" s="35"/>
      <c r="J252" s="35"/>
      <c r="L252" s="35"/>
      <c r="M252" s="35"/>
    </row>
    <row r="253" spans="3:13" ht="25.8">
      <c r="C253" s="35"/>
      <c r="D253" s="35"/>
      <c r="E253" s="35"/>
      <c r="F253" s="35"/>
      <c r="G253" s="35"/>
      <c r="H253" s="35"/>
      <c r="I253" s="35"/>
      <c r="J253" s="35"/>
      <c r="L253" s="35"/>
      <c r="M253" s="35"/>
    </row>
    <row r="254" spans="3:13" ht="25.8">
      <c r="C254" s="35"/>
      <c r="D254" s="35"/>
      <c r="E254" s="35"/>
      <c r="F254" s="35"/>
      <c r="G254" s="35"/>
      <c r="H254" s="35"/>
      <c r="I254" s="35"/>
      <c r="J254" s="35"/>
      <c r="L254" s="35"/>
      <c r="M254" s="35"/>
    </row>
    <row r="255" spans="3:13" ht="25.8">
      <c r="C255" s="35"/>
      <c r="D255" s="35"/>
      <c r="E255" s="35"/>
      <c r="F255" s="35"/>
      <c r="G255" s="35"/>
      <c r="H255" s="35"/>
      <c r="I255" s="35"/>
      <c r="J255" s="35"/>
      <c r="L255" s="35"/>
      <c r="M255" s="35"/>
    </row>
    <row r="256" spans="3:13" ht="25.8">
      <c r="C256" s="35"/>
      <c r="D256" s="35"/>
      <c r="E256" s="35"/>
      <c r="F256" s="35"/>
      <c r="G256" s="35"/>
      <c r="H256" s="35"/>
      <c r="I256" s="35"/>
      <c r="J256" s="35"/>
      <c r="L256" s="35"/>
      <c r="M256" s="35"/>
    </row>
    <row r="257" spans="3:13" ht="25.8">
      <c r="C257" s="35"/>
      <c r="D257" s="35"/>
      <c r="E257" s="35"/>
      <c r="F257" s="35"/>
      <c r="G257" s="35"/>
      <c r="H257" s="35"/>
      <c r="I257" s="35"/>
      <c r="J257" s="35"/>
      <c r="L257" s="35"/>
      <c r="M257" s="35"/>
    </row>
    <row r="258" spans="3:13" ht="25.8">
      <c r="C258" s="35"/>
      <c r="D258" s="35"/>
      <c r="E258" s="35"/>
      <c r="F258" s="35"/>
      <c r="G258" s="35"/>
      <c r="H258" s="35"/>
      <c r="I258" s="35"/>
      <c r="J258" s="35"/>
      <c r="L258" s="35"/>
      <c r="M258" s="35"/>
    </row>
    <row r="259" spans="3:13" ht="25.8">
      <c r="C259" s="35"/>
      <c r="D259" s="35"/>
      <c r="E259" s="35"/>
      <c r="F259" s="35"/>
      <c r="G259" s="35"/>
      <c r="H259" s="35"/>
      <c r="I259" s="35"/>
      <c r="J259" s="35"/>
      <c r="L259" s="35"/>
      <c r="M259" s="35"/>
    </row>
    <row r="260" spans="3:13" ht="25.8">
      <c r="C260" s="35"/>
      <c r="D260" s="35"/>
      <c r="E260" s="35"/>
      <c r="F260" s="35"/>
      <c r="G260" s="35"/>
      <c r="H260" s="35"/>
      <c r="I260" s="35"/>
      <c r="J260" s="35"/>
      <c r="L260" s="35"/>
      <c r="M260" s="35"/>
    </row>
    <row r="261" spans="3:13" ht="25.8">
      <c r="C261" s="35"/>
      <c r="D261" s="35"/>
      <c r="E261" s="35"/>
      <c r="F261" s="35"/>
      <c r="G261" s="35"/>
      <c r="H261" s="35"/>
      <c r="I261" s="35"/>
      <c r="J261" s="35"/>
      <c r="L261" s="35"/>
      <c r="M261" s="35"/>
    </row>
    <row r="262" spans="3:13" ht="25.8">
      <c r="C262" s="35"/>
      <c r="D262" s="35"/>
      <c r="E262" s="35"/>
      <c r="F262" s="35"/>
      <c r="G262" s="35"/>
      <c r="H262" s="35"/>
      <c r="I262" s="35"/>
      <c r="J262" s="35"/>
      <c r="L262" s="35"/>
      <c r="M262" s="35"/>
    </row>
    <row r="263" spans="3:13" ht="25.8">
      <c r="C263" s="35"/>
      <c r="D263" s="35"/>
      <c r="E263" s="35"/>
      <c r="F263" s="35"/>
      <c r="G263" s="35"/>
      <c r="H263" s="35"/>
      <c r="I263" s="35"/>
      <c r="J263" s="35"/>
      <c r="L263" s="35"/>
      <c r="M263" s="35"/>
    </row>
    <row r="264" spans="3:13" ht="25.8">
      <c r="C264" s="35"/>
      <c r="D264" s="35"/>
      <c r="E264" s="35"/>
      <c r="F264" s="35"/>
      <c r="G264" s="35"/>
      <c r="H264" s="35"/>
      <c r="I264" s="35"/>
      <c r="J264" s="35"/>
      <c r="L264" s="35"/>
      <c r="M264" s="35"/>
    </row>
    <row r="265" spans="3:13" ht="25.8">
      <c r="C265" s="35"/>
      <c r="D265" s="35"/>
      <c r="E265" s="35"/>
      <c r="F265" s="35"/>
      <c r="G265" s="35"/>
      <c r="H265" s="35"/>
      <c r="I265" s="35"/>
      <c r="J265" s="35"/>
      <c r="L265" s="35"/>
      <c r="M265" s="35"/>
    </row>
    <row r="266" spans="3:13" ht="25.8">
      <c r="C266" s="35"/>
      <c r="D266" s="35"/>
      <c r="E266" s="35"/>
      <c r="F266" s="35"/>
      <c r="G266" s="35"/>
      <c r="H266" s="35"/>
      <c r="I266" s="35"/>
      <c r="J266" s="35"/>
      <c r="L266" s="35"/>
      <c r="M266" s="35"/>
    </row>
    <row r="267" spans="3:13" ht="25.8">
      <c r="C267" s="35"/>
      <c r="D267" s="35"/>
      <c r="E267" s="35"/>
      <c r="F267" s="35"/>
      <c r="G267" s="35"/>
      <c r="H267" s="35"/>
      <c r="I267" s="35"/>
      <c r="J267" s="35"/>
      <c r="L267" s="35"/>
      <c r="M267" s="35"/>
    </row>
    <row r="268" spans="3:13" ht="25.8">
      <c r="C268" s="35"/>
      <c r="D268" s="35"/>
      <c r="E268" s="35"/>
      <c r="F268" s="35"/>
      <c r="G268" s="35"/>
      <c r="H268" s="35"/>
      <c r="I268" s="35"/>
      <c r="J268" s="35"/>
      <c r="L268" s="35"/>
      <c r="M268" s="35"/>
    </row>
    <row r="269" spans="3:13" ht="25.8">
      <c r="C269" s="35"/>
      <c r="D269" s="35"/>
      <c r="E269" s="35"/>
      <c r="F269" s="35"/>
      <c r="G269" s="35"/>
      <c r="H269" s="35"/>
      <c r="I269" s="35"/>
      <c r="J269" s="35"/>
      <c r="L269" s="35"/>
      <c r="M269" s="35"/>
    </row>
    <row r="270" spans="3:13" ht="25.8">
      <c r="C270" s="35"/>
      <c r="D270" s="35"/>
      <c r="E270" s="35"/>
      <c r="F270" s="35"/>
      <c r="G270" s="35"/>
      <c r="H270" s="35"/>
      <c r="I270" s="35"/>
      <c r="J270" s="35"/>
      <c r="L270" s="35"/>
      <c r="M270" s="35"/>
    </row>
    <row r="271" spans="3:13" ht="25.8">
      <c r="C271" s="35"/>
      <c r="D271" s="35"/>
      <c r="E271" s="35"/>
      <c r="F271" s="35"/>
      <c r="G271" s="35"/>
      <c r="H271" s="35"/>
      <c r="I271" s="35"/>
      <c r="J271" s="35"/>
      <c r="L271" s="35"/>
      <c r="M271" s="35"/>
    </row>
    <row r="272" spans="3:13" ht="25.8">
      <c r="C272" s="35"/>
      <c r="D272" s="35"/>
      <c r="E272" s="35"/>
      <c r="F272" s="35"/>
      <c r="G272" s="35"/>
      <c r="H272" s="35"/>
      <c r="I272" s="35"/>
      <c r="J272" s="35"/>
      <c r="L272" s="35"/>
      <c r="M272" s="35"/>
    </row>
    <row r="273" spans="3:13" ht="25.8">
      <c r="C273" s="35"/>
      <c r="D273" s="35"/>
      <c r="E273" s="35"/>
      <c r="F273" s="35"/>
      <c r="G273" s="35"/>
      <c r="H273" s="35"/>
      <c r="I273" s="35"/>
      <c r="J273" s="35"/>
      <c r="L273" s="35"/>
      <c r="M273" s="35"/>
    </row>
    <row r="274" spans="3:13" ht="25.8">
      <c r="C274" s="35"/>
      <c r="D274" s="35"/>
      <c r="E274" s="35"/>
      <c r="F274" s="35"/>
      <c r="G274" s="35"/>
      <c r="H274" s="35"/>
      <c r="I274" s="35"/>
      <c r="J274" s="35"/>
      <c r="L274" s="35"/>
      <c r="M274" s="35"/>
    </row>
    <row r="275" spans="3:13" ht="25.8">
      <c r="C275" s="35"/>
      <c r="D275" s="35"/>
      <c r="E275" s="35"/>
      <c r="F275" s="35"/>
      <c r="G275" s="35"/>
      <c r="H275" s="35"/>
      <c r="I275" s="35"/>
      <c r="J275" s="35"/>
      <c r="L275" s="35"/>
      <c r="M275" s="35"/>
    </row>
    <row r="276" spans="3:13" ht="25.8">
      <c r="C276" s="35"/>
      <c r="D276" s="35"/>
      <c r="E276" s="35"/>
      <c r="F276" s="35"/>
      <c r="G276" s="35"/>
      <c r="H276" s="35"/>
      <c r="I276" s="35"/>
      <c r="J276" s="35"/>
      <c r="L276" s="35"/>
      <c r="M276" s="35"/>
    </row>
    <row r="277" spans="3:13" ht="25.8">
      <c r="C277" s="35"/>
      <c r="D277" s="35"/>
      <c r="E277" s="35"/>
      <c r="F277" s="35"/>
      <c r="G277" s="35"/>
      <c r="H277" s="35"/>
      <c r="I277" s="35"/>
      <c r="J277" s="35"/>
      <c r="L277" s="35"/>
      <c r="M277" s="35"/>
    </row>
    <row r="278" spans="3:13" ht="25.8">
      <c r="C278" s="35"/>
      <c r="D278" s="35"/>
      <c r="E278" s="35"/>
      <c r="F278" s="35"/>
      <c r="G278" s="35"/>
      <c r="H278" s="35"/>
      <c r="I278" s="35"/>
      <c r="J278" s="35"/>
      <c r="L278" s="35"/>
      <c r="M278" s="35"/>
    </row>
    <row r="279" spans="3:13" ht="25.8">
      <c r="C279" s="35"/>
      <c r="D279" s="35"/>
      <c r="E279" s="35"/>
      <c r="F279" s="35"/>
      <c r="G279" s="35"/>
      <c r="H279" s="35"/>
      <c r="I279" s="35"/>
      <c r="J279" s="35"/>
      <c r="L279" s="35"/>
      <c r="M279" s="35"/>
    </row>
    <row r="280" spans="3:13" ht="25.8">
      <c r="C280" s="35"/>
      <c r="D280" s="35"/>
      <c r="E280" s="35"/>
      <c r="F280" s="35"/>
      <c r="G280" s="35"/>
      <c r="H280" s="35"/>
      <c r="I280" s="35"/>
      <c r="J280" s="35"/>
      <c r="L280" s="35"/>
      <c r="M280" s="35"/>
    </row>
    <row r="281" spans="3:13" ht="25.8">
      <c r="C281" s="35"/>
      <c r="D281" s="35"/>
      <c r="E281" s="35"/>
      <c r="F281" s="35"/>
      <c r="G281" s="35"/>
      <c r="H281" s="35"/>
      <c r="I281" s="35"/>
      <c r="J281" s="35"/>
      <c r="L281" s="35"/>
      <c r="M281" s="35"/>
    </row>
    <row r="282" spans="3:13" ht="25.8">
      <c r="C282" s="35"/>
      <c r="D282" s="35"/>
      <c r="E282" s="35"/>
      <c r="F282" s="35"/>
      <c r="G282" s="35"/>
      <c r="H282" s="35"/>
      <c r="I282" s="35"/>
      <c r="J282" s="35"/>
      <c r="L282" s="35"/>
      <c r="M282" s="35"/>
    </row>
    <row r="283" spans="3:13" ht="25.8">
      <c r="C283" s="35"/>
      <c r="D283" s="35"/>
      <c r="E283" s="35"/>
      <c r="F283" s="35"/>
      <c r="G283" s="35"/>
      <c r="H283" s="35"/>
      <c r="I283" s="35"/>
      <c r="J283" s="35"/>
      <c r="L283" s="35"/>
      <c r="M283" s="35"/>
    </row>
    <row r="284" spans="3:13" ht="25.8">
      <c r="C284" s="35"/>
      <c r="D284" s="35"/>
      <c r="E284" s="35"/>
      <c r="F284" s="35"/>
      <c r="G284" s="35"/>
      <c r="H284" s="35"/>
      <c r="I284" s="35"/>
      <c r="J284" s="35"/>
      <c r="L284" s="35"/>
      <c r="M284" s="35"/>
    </row>
    <row r="285" spans="3:13" ht="25.8">
      <c r="C285" s="35"/>
      <c r="D285" s="35"/>
      <c r="E285" s="35"/>
      <c r="F285" s="35"/>
      <c r="G285" s="35"/>
      <c r="H285" s="35"/>
      <c r="I285" s="35"/>
      <c r="J285" s="35"/>
      <c r="L285" s="35"/>
      <c r="M285" s="35"/>
    </row>
    <row r="286" spans="3:13" ht="25.8">
      <c r="C286" s="35"/>
      <c r="D286" s="35"/>
      <c r="E286" s="35"/>
      <c r="F286" s="35"/>
      <c r="G286" s="35"/>
      <c r="H286" s="35"/>
      <c r="I286" s="35"/>
      <c r="J286" s="35"/>
      <c r="L286" s="35"/>
      <c r="M286" s="35"/>
    </row>
    <row r="287" spans="3:13" ht="25.8">
      <c r="C287" s="35"/>
      <c r="D287" s="35"/>
      <c r="E287" s="35"/>
      <c r="F287" s="35"/>
      <c r="G287" s="35"/>
      <c r="H287" s="35"/>
      <c r="I287" s="35"/>
      <c r="J287" s="35"/>
      <c r="L287" s="35"/>
      <c r="M287" s="35"/>
    </row>
    <row r="288" spans="3:13" ht="25.8">
      <c r="C288" s="35"/>
      <c r="D288" s="35"/>
      <c r="E288" s="35"/>
      <c r="F288" s="35"/>
      <c r="G288" s="35"/>
      <c r="H288" s="35"/>
      <c r="I288" s="35"/>
      <c r="J288" s="35"/>
      <c r="L288" s="35"/>
      <c r="M288" s="35"/>
    </row>
    <row r="289" spans="3:13" ht="25.8">
      <c r="C289" s="35"/>
      <c r="D289" s="35"/>
      <c r="E289" s="35"/>
      <c r="F289" s="35"/>
      <c r="G289" s="35"/>
      <c r="H289" s="35"/>
      <c r="I289" s="35"/>
      <c r="J289" s="35"/>
      <c r="L289" s="35"/>
      <c r="M289" s="35"/>
    </row>
    <row r="290" spans="3:13" ht="25.8">
      <c r="C290" s="35"/>
      <c r="D290" s="35"/>
      <c r="E290" s="35"/>
      <c r="F290" s="35"/>
      <c r="G290" s="35"/>
      <c r="H290" s="35"/>
      <c r="I290" s="35"/>
      <c r="J290" s="35"/>
      <c r="L290" s="35"/>
      <c r="M290" s="35"/>
    </row>
    <row r="291" spans="3:13" ht="25.8">
      <c r="C291" s="35"/>
      <c r="D291" s="35"/>
      <c r="E291" s="35"/>
      <c r="F291" s="35"/>
      <c r="G291" s="35"/>
      <c r="H291" s="35"/>
      <c r="I291" s="35"/>
      <c r="J291" s="35"/>
      <c r="L291" s="35"/>
      <c r="M291" s="35"/>
    </row>
    <row r="292" spans="3:13" ht="25.8">
      <c r="C292" s="35"/>
      <c r="D292" s="35"/>
      <c r="E292" s="35"/>
      <c r="F292" s="35"/>
      <c r="G292" s="35"/>
      <c r="H292" s="35"/>
      <c r="I292" s="35"/>
      <c r="J292" s="35"/>
      <c r="L292" s="35"/>
      <c r="M292" s="35"/>
    </row>
    <row r="293" spans="3:13" ht="25.8">
      <c r="C293" s="35"/>
      <c r="D293" s="35"/>
      <c r="E293" s="35"/>
      <c r="F293" s="35"/>
      <c r="G293" s="35"/>
      <c r="H293" s="35"/>
      <c r="I293" s="35"/>
      <c r="J293" s="35"/>
      <c r="L293" s="35"/>
      <c r="M293" s="35"/>
    </row>
    <row r="294" spans="3:13" ht="25.8">
      <c r="C294" s="35"/>
      <c r="D294" s="35"/>
      <c r="E294" s="35"/>
      <c r="F294" s="35"/>
      <c r="G294" s="35"/>
      <c r="H294" s="35"/>
      <c r="I294" s="35"/>
      <c r="J294" s="35"/>
      <c r="L294" s="35"/>
      <c r="M294" s="35"/>
    </row>
    <row r="295" spans="3:13" ht="25.8">
      <c r="C295" s="35"/>
      <c r="D295" s="35"/>
      <c r="E295" s="35"/>
      <c r="F295" s="35"/>
      <c r="G295" s="35"/>
      <c r="H295" s="35"/>
      <c r="I295" s="35"/>
      <c r="J295" s="35"/>
      <c r="L295" s="35"/>
      <c r="M295" s="35"/>
    </row>
    <row r="296" spans="3:13" ht="25.8">
      <c r="C296" s="35"/>
      <c r="D296" s="35"/>
      <c r="E296" s="35"/>
      <c r="F296" s="35"/>
      <c r="G296" s="35"/>
      <c r="H296" s="35"/>
      <c r="I296" s="35"/>
      <c r="J296" s="35"/>
      <c r="L296" s="35"/>
      <c r="M296" s="35"/>
    </row>
    <row r="297" spans="3:13" ht="25.8">
      <c r="C297" s="35"/>
      <c r="D297" s="35"/>
      <c r="E297" s="35"/>
      <c r="F297" s="35"/>
      <c r="G297" s="35"/>
      <c r="H297" s="35"/>
      <c r="I297" s="35"/>
      <c r="J297" s="35"/>
      <c r="L297" s="35"/>
      <c r="M297" s="35"/>
    </row>
    <row r="298" spans="3:13" ht="25.8">
      <c r="C298" s="35"/>
      <c r="D298" s="35"/>
      <c r="E298" s="35"/>
      <c r="F298" s="35"/>
      <c r="G298" s="35"/>
      <c r="H298" s="35"/>
      <c r="I298" s="35"/>
      <c r="J298" s="35"/>
      <c r="L298" s="35"/>
      <c r="M298" s="35"/>
    </row>
    <row r="299" spans="3:13" ht="25.8">
      <c r="C299" s="35"/>
      <c r="D299" s="35"/>
      <c r="E299" s="35"/>
      <c r="F299" s="35"/>
      <c r="G299" s="35"/>
      <c r="H299" s="35"/>
      <c r="I299" s="35"/>
      <c r="J299" s="35"/>
      <c r="L299" s="35"/>
      <c r="M299" s="35"/>
    </row>
    <row r="300" spans="3:13" ht="25.8">
      <c r="C300" s="35"/>
      <c r="D300" s="35"/>
      <c r="E300" s="35"/>
      <c r="F300" s="35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83" priority="8" operator="containsText" text="Light Blue">
      <formula>NOT(ISERROR(SEARCH("Light Blue",F7)))</formula>
    </cfRule>
    <cfRule type="containsText" dxfId="82" priority="18" operator="containsText" text="Orange">
      <formula>NOT(ISERROR(SEARCH("Orange",F7)))</formula>
    </cfRule>
    <cfRule type="containsText" dxfId="81" priority="19" operator="containsText" text="Purple">
      <formula>NOT(ISERROR(SEARCH("Purple",F7)))</formula>
    </cfRule>
  </conditionalFormatting>
  <conditionalFormatting sqref="F7:F37">
    <cfRule type="containsText" dxfId="80" priority="6" operator="containsText" text="Light Blue">
      <formula>NOT(ISERROR(SEARCH("Light Blue",F7)))</formula>
    </cfRule>
    <cfRule type="containsText" dxfId="79" priority="9" operator="containsText" text="Dark Blue">
      <formula>NOT(ISERROR(SEARCH("Dark Blue",F7)))</formula>
    </cfRule>
    <cfRule type="containsText" dxfId="78" priority="10" operator="containsText" text="Blue">
      <formula>NOT(ISERROR(SEARCH("Blue",F7)))</formula>
    </cfRule>
    <cfRule type="containsText" dxfId="77" priority="11" operator="containsText" text="Yellow">
      <formula>NOT(ISERROR(SEARCH("Yellow",F7)))</formula>
    </cfRule>
    <cfRule type="containsText" dxfId="76" priority="12" operator="containsText" text="Light Blue">
      <formula>NOT(ISERROR(SEARCH("Light Blue",F7)))</formula>
    </cfRule>
    <cfRule type="containsText" dxfId="75" priority="13" operator="containsText" text="Dark Green">
      <formula>NOT(ISERROR(SEARCH("Dark Green",F7)))</formula>
    </cfRule>
    <cfRule type="containsText" dxfId="74" priority="14" operator="containsText" text="Brown">
      <formula>NOT(ISERROR(SEARCH("Brown",F7)))</formula>
    </cfRule>
    <cfRule type="containsText" dxfId="73" priority="15" operator="containsText" text="Green">
      <formula>NOT(ISERROR(SEARCH("Green",F7)))</formula>
    </cfRule>
    <cfRule type="containsText" dxfId="72" priority="16" operator="containsText" text="Red">
      <formula>NOT(ISERROR(SEARCH("Red",F7)))</formula>
    </cfRule>
    <cfRule type="containsText" dxfId="71" priority="17" operator="containsText" text="Gray">
      <formula>NOT(ISERROR(SEARCH("Gray",F7)))</formula>
    </cfRule>
  </conditionalFormatting>
  <conditionalFormatting sqref="F8">
    <cfRule type="containsText" dxfId="70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69" priority="5" operator="containsText" text="wHITE">
      <formula>NOT(ISERROR(SEARCH("wHITE",F19)))</formula>
    </cfRule>
  </conditionalFormatting>
  <conditionalFormatting sqref="F7:F37">
    <cfRule type="containsText" dxfId="68" priority="3" operator="containsText" text="White">
      <formula>NOT(ISERROR(SEARCH("White",F7)))</formula>
    </cfRule>
  </conditionalFormatting>
  <conditionalFormatting sqref="I1:I1048576">
    <cfRule type="beginsWith" dxfId="67" priority="2" operator="beginsWith" text="0">
      <formula>LEFT(I1,LEN("0"))="0"</formula>
    </cfRule>
  </conditionalFormatting>
  <conditionalFormatting sqref="J1:J1048576">
    <cfRule type="beginsWith" dxfId="66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zoomScale="70" zoomScaleNormal="70" workbookViewId="0">
      <selection activeCell="J14" sqref="J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145" t="s">
        <v>73</v>
      </c>
      <c r="D2" s="145"/>
      <c r="E2" s="145"/>
      <c r="F2" s="145"/>
      <c r="G2" s="145"/>
      <c r="H2" s="145"/>
      <c r="I2" s="145"/>
      <c r="J2" s="145"/>
      <c r="K2" s="1"/>
    </row>
    <row r="3" spans="3:13" ht="27.75" customHeight="1">
      <c r="C3" s="145"/>
      <c r="D3" s="145"/>
      <c r="E3" s="145"/>
      <c r="F3" s="145"/>
      <c r="G3" s="145"/>
      <c r="H3" s="145"/>
      <c r="I3" s="145"/>
      <c r="J3" s="145"/>
      <c r="K3" s="1"/>
      <c r="L3" s="135" t="s">
        <v>16</v>
      </c>
      <c r="M3" s="135"/>
    </row>
    <row r="4" spans="3:13" ht="27.75" customHeight="1">
      <c r="C4" s="145"/>
      <c r="D4" s="145"/>
      <c r="E4" s="145"/>
      <c r="F4" s="145"/>
      <c r="G4" s="145"/>
      <c r="H4" s="145"/>
      <c r="I4" s="145"/>
      <c r="J4" s="145"/>
      <c r="K4" s="1"/>
      <c r="L4" s="136"/>
      <c r="M4" s="136"/>
    </row>
    <row r="5" spans="3:13" ht="25.8">
      <c r="C5" s="97"/>
      <c r="D5" s="97"/>
      <c r="E5" s="97"/>
      <c r="F5" s="97"/>
      <c r="G5" s="97"/>
      <c r="H5" s="97"/>
      <c r="I5" s="97"/>
      <c r="J5" s="97"/>
      <c r="K5" s="1"/>
      <c r="L5" s="90"/>
      <c r="M5" s="90"/>
    </row>
    <row r="6" spans="3:13" ht="33" customHeight="1">
      <c r="C6" s="98" t="s">
        <v>17</v>
      </c>
      <c r="D6" s="98" t="s">
        <v>10</v>
      </c>
      <c r="E6" s="98" t="s">
        <v>11</v>
      </c>
      <c r="F6" s="98" t="s">
        <v>12</v>
      </c>
      <c r="G6" s="98" t="s">
        <v>13</v>
      </c>
      <c r="H6" s="98" t="s">
        <v>61</v>
      </c>
      <c r="I6" s="98" t="s">
        <v>14</v>
      </c>
      <c r="J6" s="98" t="s">
        <v>15</v>
      </c>
      <c r="K6" s="1"/>
      <c r="L6" s="122" t="s">
        <v>1</v>
      </c>
      <c r="M6" s="123" t="s">
        <v>0</v>
      </c>
    </row>
    <row r="7" spans="3:13" ht="25.8">
      <c r="C7" s="37">
        <v>46174</v>
      </c>
      <c r="D7" s="45" t="s">
        <v>75</v>
      </c>
      <c r="E7" s="45" t="s">
        <v>74</v>
      </c>
      <c r="F7" s="147" t="s">
        <v>83</v>
      </c>
      <c r="G7" s="45" t="s">
        <v>72</v>
      </c>
      <c r="H7" s="45" t="s">
        <v>89</v>
      </c>
      <c r="I7" s="89">
        <v>1954</v>
      </c>
      <c r="J7" s="89">
        <v>1954</v>
      </c>
      <c r="K7" s="1"/>
      <c r="L7" s="35"/>
      <c r="M7" s="35"/>
    </row>
    <row r="8" spans="3:13" ht="25.8">
      <c r="C8" s="37">
        <v>46174</v>
      </c>
      <c r="D8" s="45" t="s">
        <v>75</v>
      </c>
      <c r="E8" s="35" t="s">
        <v>68</v>
      </c>
      <c r="F8" s="102" t="s">
        <v>82</v>
      </c>
      <c r="G8" s="35" t="s">
        <v>79</v>
      </c>
      <c r="H8" s="45" t="s">
        <v>89</v>
      </c>
      <c r="I8" s="36">
        <v>1396</v>
      </c>
      <c r="J8" s="36">
        <v>1396</v>
      </c>
      <c r="K8" s="1"/>
      <c r="L8" s="35"/>
      <c r="M8" s="35"/>
    </row>
    <row r="9" spans="3:13" ht="25.8">
      <c r="C9" s="37">
        <v>46174</v>
      </c>
      <c r="D9" s="45" t="s">
        <v>75</v>
      </c>
      <c r="E9" s="35" t="s">
        <v>76</v>
      </c>
      <c r="F9" s="102" t="s">
        <v>24</v>
      </c>
      <c r="G9" s="35" t="s">
        <v>79</v>
      </c>
      <c r="H9" s="45" t="s">
        <v>89</v>
      </c>
      <c r="I9" s="36">
        <v>393</v>
      </c>
      <c r="J9" s="36">
        <v>393</v>
      </c>
      <c r="K9" s="1"/>
      <c r="L9" s="35"/>
      <c r="M9" s="35"/>
    </row>
    <row r="10" spans="3:13" ht="25.8">
      <c r="C10" s="37">
        <v>46174</v>
      </c>
      <c r="D10" s="45" t="s">
        <v>75</v>
      </c>
      <c r="E10" s="35" t="s">
        <v>76</v>
      </c>
      <c r="F10" s="102" t="s">
        <v>37</v>
      </c>
      <c r="G10" s="35" t="s">
        <v>79</v>
      </c>
      <c r="H10" s="45" t="s">
        <v>89</v>
      </c>
      <c r="I10" s="36">
        <v>370</v>
      </c>
      <c r="J10" s="36">
        <v>370</v>
      </c>
      <c r="K10" s="1"/>
      <c r="L10" s="35"/>
      <c r="M10" s="35"/>
    </row>
    <row r="11" spans="3:13" ht="25.8">
      <c r="C11" s="37">
        <v>46174</v>
      </c>
      <c r="D11" s="45" t="s">
        <v>75</v>
      </c>
      <c r="E11" s="35" t="s">
        <v>80</v>
      </c>
      <c r="F11" s="102" t="s">
        <v>80</v>
      </c>
      <c r="G11" s="35" t="s">
        <v>81</v>
      </c>
      <c r="H11" s="45" t="s">
        <v>89</v>
      </c>
      <c r="I11" s="36">
        <v>200</v>
      </c>
      <c r="J11" s="36">
        <v>200</v>
      </c>
      <c r="K11" s="1"/>
      <c r="L11" s="94"/>
      <c r="M11" s="94"/>
    </row>
    <row r="12" spans="3:13" ht="25.8">
      <c r="C12" s="37">
        <v>46174</v>
      </c>
      <c r="D12" s="45" t="s">
        <v>75</v>
      </c>
      <c r="E12" s="35" t="s">
        <v>77</v>
      </c>
      <c r="F12" s="102" t="s">
        <v>77</v>
      </c>
      <c r="G12" s="35" t="s">
        <v>78</v>
      </c>
      <c r="H12" s="45" t="s">
        <v>89</v>
      </c>
      <c r="I12" s="36">
        <v>105</v>
      </c>
      <c r="J12" s="36">
        <v>105</v>
      </c>
      <c r="K12" s="1"/>
      <c r="L12" s="94"/>
      <c r="M12" s="94"/>
    </row>
    <row r="13" spans="3:13" ht="25.8">
      <c r="C13" s="111"/>
      <c r="D13" s="45" t="s">
        <v>75</v>
      </c>
      <c r="E13" s="94"/>
      <c r="F13" s="112"/>
      <c r="G13" s="94"/>
      <c r="H13" s="94"/>
      <c r="I13" s="130"/>
      <c r="J13" s="130"/>
      <c r="K13" s="1"/>
      <c r="L13" s="94"/>
      <c r="M13" s="94"/>
    </row>
    <row r="14" spans="3:13" ht="25.8">
      <c r="C14" s="111"/>
      <c r="D14" s="45" t="s">
        <v>75</v>
      </c>
      <c r="E14" s="94"/>
      <c r="F14" s="112"/>
      <c r="G14" s="94"/>
      <c r="H14" s="94"/>
      <c r="I14" s="130"/>
      <c r="J14" s="130"/>
      <c r="K14" s="1"/>
      <c r="L14" s="94"/>
      <c r="M14" s="94"/>
    </row>
    <row r="15" spans="3:13" ht="25.8">
      <c r="C15" s="111"/>
      <c r="D15" s="45" t="s">
        <v>75</v>
      </c>
      <c r="E15" s="94"/>
      <c r="F15" s="112"/>
      <c r="G15" s="94"/>
      <c r="H15" s="94"/>
      <c r="I15" s="130"/>
      <c r="J15" s="130"/>
      <c r="K15" s="1"/>
      <c r="L15" s="94"/>
      <c r="M15" s="94"/>
    </row>
    <row r="16" spans="3:13" ht="25.8">
      <c r="C16" s="111"/>
      <c r="D16" s="45" t="s">
        <v>75</v>
      </c>
      <c r="E16" s="94"/>
      <c r="F16" s="112"/>
      <c r="G16" s="94"/>
      <c r="H16" s="94"/>
      <c r="I16" s="130"/>
      <c r="J16" s="130"/>
      <c r="K16" s="1"/>
      <c r="L16" s="94"/>
      <c r="M16" s="94"/>
    </row>
    <row r="17" spans="3:13" ht="25.8">
      <c r="C17" s="111"/>
      <c r="D17" s="45" t="s">
        <v>75</v>
      </c>
      <c r="E17" s="94"/>
      <c r="F17" s="112"/>
      <c r="G17" s="94"/>
      <c r="H17" s="94"/>
      <c r="I17" s="130"/>
      <c r="J17" s="130"/>
      <c r="K17" s="1"/>
      <c r="L17" s="94"/>
      <c r="M17" s="94"/>
    </row>
    <row r="18" spans="3:13" ht="25.8">
      <c r="C18" s="111"/>
      <c r="D18" s="45" t="s">
        <v>75</v>
      </c>
      <c r="E18" s="94"/>
      <c r="F18" s="112"/>
      <c r="G18" s="94"/>
      <c r="H18" s="94"/>
      <c r="I18" s="130"/>
      <c r="J18" s="130"/>
      <c r="K18" s="1"/>
      <c r="L18" s="94"/>
      <c r="M18" s="94"/>
    </row>
    <row r="19" spans="3:13" ht="25.8">
      <c r="C19" s="111"/>
      <c r="D19" s="45" t="s">
        <v>75</v>
      </c>
      <c r="E19" s="94"/>
      <c r="F19" s="112"/>
      <c r="G19" s="94"/>
      <c r="H19" s="94"/>
      <c r="I19" s="130"/>
      <c r="J19" s="130"/>
      <c r="K19" s="1"/>
      <c r="L19" s="94"/>
      <c r="M19" s="94"/>
    </row>
    <row r="20" spans="3:13" ht="25.8">
      <c r="C20" s="111"/>
      <c r="D20" s="45" t="s">
        <v>75</v>
      </c>
      <c r="E20" s="94"/>
      <c r="F20" s="112"/>
      <c r="G20" s="94"/>
      <c r="H20" s="94"/>
      <c r="I20" s="130"/>
      <c r="J20" s="130"/>
      <c r="K20" s="1"/>
      <c r="L20" s="94"/>
      <c r="M20" s="94"/>
    </row>
    <row r="21" spans="3:13" ht="26.25" customHeight="1">
      <c r="C21" s="111"/>
      <c r="D21" s="45" t="s">
        <v>75</v>
      </c>
      <c r="E21" s="94"/>
      <c r="F21" s="112"/>
      <c r="G21" s="94"/>
      <c r="H21" s="94"/>
      <c r="I21" s="130"/>
      <c r="J21" s="130"/>
      <c r="K21" s="1"/>
      <c r="L21" s="94"/>
      <c r="M21" s="94"/>
    </row>
    <row r="22" spans="3:13" ht="26.25" customHeight="1">
      <c r="C22" s="111"/>
      <c r="D22" s="45" t="s">
        <v>75</v>
      </c>
      <c r="E22" s="94"/>
      <c r="F22" s="112"/>
      <c r="G22" s="94"/>
      <c r="H22" s="94"/>
      <c r="I22" s="130"/>
      <c r="J22" s="130"/>
      <c r="K22" s="1"/>
      <c r="L22" s="94"/>
      <c r="M22" s="94"/>
    </row>
    <row r="23" spans="3:13" ht="26.25" customHeight="1">
      <c r="C23" s="111"/>
      <c r="D23" s="45" t="s">
        <v>75</v>
      </c>
      <c r="E23" s="94"/>
      <c r="F23" s="112"/>
      <c r="G23" s="94"/>
      <c r="H23" s="94"/>
      <c r="I23" s="130"/>
      <c r="J23" s="130"/>
      <c r="K23" s="1"/>
      <c r="L23" s="94"/>
      <c r="M23" s="94"/>
    </row>
    <row r="24" spans="3:13" ht="26.25" customHeight="1">
      <c r="C24" s="111"/>
      <c r="D24" s="45" t="s">
        <v>75</v>
      </c>
      <c r="E24" s="94"/>
      <c r="F24" s="112"/>
      <c r="G24" s="94"/>
      <c r="H24" s="94"/>
      <c r="I24" s="130"/>
      <c r="J24" s="130"/>
      <c r="K24" s="1"/>
      <c r="L24" s="94"/>
      <c r="M24" s="94"/>
    </row>
    <row r="25" spans="3:13" ht="26.25" customHeight="1">
      <c r="C25" s="111"/>
      <c r="D25" s="45" t="s">
        <v>75</v>
      </c>
      <c r="E25" s="94"/>
      <c r="F25" s="112"/>
      <c r="G25" s="94"/>
      <c r="H25" s="94"/>
      <c r="I25" s="130"/>
      <c r="J25" s="130"/>
      <c r="K25" s="1"/>
      <c r="L25" s="94"/>
      <c r="M25" s="94"/>
    </row>
    <row r="26" spans="3:13" ht="26.25" customHeight="1">
      <c r="C26" s="111"/>
      <c r="D26" s="45" t="s">
        <v>75</v>
      </c>
      <c r="E26" s="94"/>
      <c r="F26" s="112"/>
      <c r="G26" s="94"/>
      <c r="H26" s="94"/>
      <c r="I26" s="130"/>
      <c r="J26" s="130"/>
      <c r="K26" s="1"/>
      <c r="L26" s="94"/>
      <c r="M26" s="94"/>
    </row>
    <row r="27" spans="3:13" ht="26.25" customHeight="1">
      <c r="C27" s="111"/>
      <c r="D27" s="45" t="s">
        <v>75</v>
      </c>
      <c r="E27" s="94"/>
      <c r="F27" s="112"/>
      <c r="G27" s="94"/>
      <c r="H27" s="94"/>
      <c r="I27" s="130"/>
      <c r="J27" s="130"/>
      <c r="K27" s="1"/>
      <c r="L27" s="94"/>
      <c r="M27" s="94"/>
    </row>
    <row r="28" spans="3:13" ht="26.25" customHeight="1">
      <c r="C28" s="111"/>
      <c r="D28" s="45" t="s">
        <v>75</v>
      </c>
      <c r="E28" s="94"/>
      <c r="F28" s="112"/>
      <c r="G28" s="94"/>
      <c r="H28" s="94"/>
      <c r="I28" s="130"/>
      <c r="J28" s="130"/>
      <c r="K28" s="1"/>
      <c r="L28" s="94"/>
      <c r="M28" s="94"/>
    </row>
    <row r="29" spans="3:13" ht="26.25" customHeight="1">
      <c r="C29" s="111"/>
      <c r="D29" s="45" t="s">
        <v>75</v>
      </c>
      <c r="E29" s="94"/>
      <c r="F29" s="112"/>
      <c r="G29" s="94"/>
      <c r="H29" s="94"/>
      <c r="I29" s="130"/>
      <c r="J29" s="130"/>
      <c r="K29" s="1"/>
      <c r="L29" s="94"/>
      <c r="M29" s="94"/>
    </row>
    <row r="30" spans="3:13" ht="26.25" customHeight="1">
      <c r="C30" s="111"/>
      <c r="D30" s="45" t="s">
        <v>75</v>
      </c>
      <c r="E30" s="94"/>
      <c r="F30" s="112"/>
      <c r="G30" s="94"/>
      <c r="H30" s="94"/>
      <c r="I30" s="130"/>
      <c r="J30" s="130"/>
      <c r="K30" s="1"/>
      <c r="L30" s="94"/>
      <c r="M30" s="94"/>
    </row>
    <row r="31" spans="3:13" ht="26.25" customHeight="1">
      <c r="C31" s="111"/>
      <c r="D31" s="45" t="s">
        <v>75</v>
      </c>
      <c r="E31" s="94"/>
      <c r="F31" s="112"/>
      <c r="G31" s="94"/>
      <c r="H31" s="94"/>
      <c r="I31" s="130"/>
      <c r="J31" s="130"/>
      <c r="K31" s="1"/>
      <c r="L31" s="94"/>
      <c r="M31" s="94"/>
    </row>
    <row r="32" spans="3:13" ht="26.25" customHeight="1">
      <c r="C32" s="106"/>
      <c r="D32" s="45" t="s">
        <v>75</v>
      </c>
      <c r="E32" s="94"/>
      <c r="F32" s="112"/>
      <c r="G32" s="94"/>
      <c r="H32" s="94"/>
      <c r="I32" s="130"/>
      <c r="J32" s="130"/>
      <c r="K32" s="1"/>
      <c r="L32" s="94"/>
      <c r="M32" s="94"/>
    </row>
    <row r="33" spans="3:13" ht="26.25" customHeight="1">
      <c r="C33" s="106"/>
      <c r="D33" s="45" t="s">
        <v>75</v>
      </c>
      <c r="E33" s="94"/>
      <c r="F33" s="112"/>
      <c r="G33" s="94"/>
      <c r="H33" s="94"/>
      <c r="I33" s="130"/>
      <c r="J33" s="130"/>
      <c r="K33" s="1"/>
      <c r="L33" s="94"/>
      <c r="M33" s="94"/>
    </row>
    <row r="34" spans="3:13" ht="26.25" customHeight="1">
      <c r="C34" s="111"/>
      <c r="D34" s="45" t="s">
        <v>75</v>
      </c>
      <c r="E34" s="94"/>
      <c r="F34" s="112"/>
      <c r="G34" s="94"/>
      <c r="H34" s="94"/>
      <c r="I34" s="130"/>
      <c r="J34" s="130"/>
      <c r="K34" s="1"/>
      <c r="L34" s="94"/>
      <c r="M34" s="94"/>
    </row>
    <row r="35" spans="3:13" ht="26.25" customHeight="1">
      <c r="C35" s="111"/>
      <c r="D35" s="45" t="s">
        <v>75</v>
      </c>
      <c r="E35" s="94"/>
      <c r="F35" s="112"/>
      <c r="G35" s="94"/>
      <c r="H35" s="94"/>
      <c r="I35" s="130"/>
      <c r="J35" s="130"/>
      <c r="K35" s="1"/>
      <c r="L35" s="94"/>
      <c r="M35" s="94"/>
    </row>
    <row r="36" spans="3:13" ht="26.25" customHeight="1">
      <c r="C36" s="146"/>
      <c r="D36" s="45" t="s">
        <v>75</v>
      </c>
      <c r="E36" s="35"/>
      <c r="F36" s="102"/>
      <c r="G36" s="35"/>
      <c r="H36" s="35"/>
      <c r="I36" s="36"/>
      <c r="J36" s="36"/>
      <c r="K36" s="1"/>
      <c r="L36" s="94"/>
      <c r="M36" s="94"/>
    </row>
    <row r="37" spans="3:13" ht="26.25" customHeight="1">
      <c r="C37" s="146"/>
      <c r="D37" s="45" t="s">
        <v>75</v>
      </c>
      <c r="E37" s="35"/>
      <c r="F37" s="102"/>
      <c r="G37" s="35"/>
      <c r="H37" s="35"/>
      <c r="I37" s="36"/>
      <c r="J37" s="36"/>
      <c r="K37" s="1"/>
      <c r="L37" s="94"/>
      <c r="M37" s="94"/>
    </row>
    <row r="38" spans="3:13" ht="25.8">
      <c r="C38" s="146"/>
      <c r="D38" s="45" t="s">
        <v>75</v>
      </c>
      <c r="E38" s="35"/>
      <c r="F38" s="35"/>
      <c r="G38" s="35"/>
      <c r="H38" s="35"/>
      <c r="I38" s="36"/>
      <c r="J38" s="36"/>
      <c r="L38" s="94"/>
      <c r="M38" s="94"/>
    </row>
    <row r="39" spans="3:13" ht="25.8">
      <c r="C39" s="146"/>
      <c r="D39" s="45" t="s">
        <v>75</v>
      </c>
      <c r="E39" s="35"/>
      <c r="F39" s="35"/>
      <c r="G39" s="35"/>
      <c r="H39" s="35"/>
      <c r="I39" s="36"/>
      <c r="J39" s="36"/>
      <c r="L39" s="35"/>
      <c r="M39" s="35"/>
    </row>
    <row r="40" spans="3:13" ht="25.8">
      <c r="C40" s="146"/>
      <c r="D40" s="45" t="s">
        <v>75</v>
      </c>
      <c r="E40" s="35"/>
      <c r="F40" s="35"/>
      <c r="G40" s="35"/>
      <c r="H40" s="35"/>
      <c r="I40" s="36"/>
      <c r="J40" s="36"/>
      <c r="L40" s="35"/>
      <c r="M40" s="35"/>
    </row>
    <row r="41" spans="3:13" ht="25.8">
      <c r="C41" s="146"/>
      <c r="D41" s="45" t="s">
        <v>75</v>
      </c>
      <c r="E41" s="35"/>
      <c r="F41" s="35"/>
      <c r="G41" s="35"/>
      <c r="H41" s="35"/>
      <c r="I41" s="36"/>
      <c r="J41" s="36"/>
      <c r="L41" s="35"/>
      <c r="M41" s="35"/>
    </row>
    <row r="42" spans="3:13" ht="25.8">
      <c r="C42" s="146"/>
      <c r="D42" s="45" t="s">
        <v>75</v>
      </c>
      <c r="E42" s="35"/>
      <c r="F42" s="35"/>
      <c r="G42" s="35"/>
      <c r="H42" s="35"/>
      <c r="I42" s="36"/>
      <c r="J42" s="36"/>
      <c r="L42" s="35"/>
      <c r="M42" s="35"/>
    </row>
    <row r="43" spans="3:13" ht="25.8">
      <c r="C43" s="146"/>
      <c r="D43" s="45" t="s">
        <v>75</v>
      </c>
      <c r="E43" s="35"/>
      <c r="F43" s="35"/>
      <c r="G43" s="35"/>
      <c r="H43" s="35"/>
      <c r="I43" s="36"/>
      <c r="J43" s="36"/>
      <c r="L43" s="35"/>
      <c r="M43" s="35"/>
    </row>
    <row r="44" spans="3:13" ht="25.8">
      <c r="C44" s="146"/>
      <c r="D44" s="45" t="s">
        <v>75</v>
      </c>
      <c r="E44" s="35"/>
      <c r="F44" s="35"/>
      <c r="G44" s="35"/>
      <c r="H44" s="35"/>
      <c r="I44" s="36"/>
      <c r="J44" s="36"/>
      <c r="L44" s="35"/>
      <c r="M44" s="35"/>
    </row>
    <row r="45" spans="3:13" ht="25.8">
      <c r="C45" s="146"/>
      <c r="D45" s="45" t="s">
        <v>75</v>
      </c>
      <c r="E45" s="35"/>
      <c r="F45" s="35"/>
      <c r="G45" s="35"/>
      <c r="H45" s="35"/>
      <c r="I45" s="36"/>
      <c r="J45" s="36"/>
      <c r="L45" s="35"/>
      <c r="M45" s="35"/>
    </row>
    <row r="46" spans="3:13" ht="25.8">
      <c r="C46" s="146"/>
      <c r="D46" s="45" t="s">
        <v>75</v>
      </c>
      <c r="E46" s="35"/>
      <c r="F46" s="35"/>
      <c r="G46" s="35"/>
      <c r="H46" s="35"/>
      <c r="I46" s="36"/>
      <c r="J46" s="36"/>
      <c r="L46" s="35"/>
      <c r="M46" s="35"/>
    </row>
    <row r="47" spans="3:13" ht="25.8">
      <c r="C47" s="146"/>
      <c r="D47" s="45" t="s">
        <v>75</v>
      </c>
      <c r="E47" s="35"/>
      <c r="F47" s="35"/>
      <c r="G47" s="35"/>
      <c r="H47" s="35"/>
      <c r="I47" s="36"/>
      <c r="J47" s="36"/>
      <c r="L47" s="35"/>
      <c r="M47" s="35"/>
    </row>
    <row r="48" spans="3:13" ht="25.8">
      <c r="C48" s="146"/>
      <c r="D48" s="45" t="s">
        <v>75</v>
      </c>
      <c r="E48" s="35"/>
      <c r="F48" s="35"/>
      <c r="G48" s="35"/>
      <c r="H48" s="35"/>
      <c r="I48" s="36"/>
      <c r="J48" s="36"/>
      <c r="L48" s="35"/>
      <c r="M48" s="35"/>
    </row>
    <row r="49" spans="3:13" ht="25.8">
      <c r="C49" s="146"/>
      <c r="D49" s="45" t="s">
        <v>75</v>
      </c>
      <c r="E49" s="35"/>
      <c r="F49" s="35"/>
      <c r="G49" s="35"/>
      <c r="H49" s="35"/>
      <c r="I49" s="36"/>
      <c r="J49" s="36"/>
      <c r="L49" s="35"/>
      <c r="M49" s="35"/>
    </row>
    <row r="50" spans="3:13" ht="25.8">
      <c r="C50" s="146"/>
      <c r="D50" s="45" t="s">
        <v>75</v>
      </c>
      <c r="E50" s="35"/>
      <c r="F50" s="35"/>
      <c r="G50" s="35"/>
      <c r="H50" s="35"/>
      <c r="I50" s="36"/>
      <c r="J50" s="36"/>
      <c r="L50" s="35"/>
      <c r="M50" s="35"/>
    </row>
    <row r="51" spans="3:13" ht="25.8">
      <c r="C51" s="146"/>
      <c r="D51" s="45" t="s">
        <v>75</v>
      </c>
      <c r="E51" s="35"/>
      <c r="F51" s="35"/>
      <c r="G51" s="35"/>
      <c r="H51" s="35"/>
      <c r="I51" s="36"/>
      <c r="J51" s="36"/>
      <c r="L51" s="35"/>
      <c r="M51" s="35"/>
    </row>
    <row r="52" spans="3:13" ht="25.8">
      <c r="C52" s="146"/>
      <c r="D52" s="45" t="s">
        <v>75</v>
      </c>
      <c r="E52" s="35"/>
      <c r="F52" s="35"/>
      <c r="G52" s="35"/>
      <c r="H52" s="35"/>
      <c r="I52" s="36"/>
      <c r="J52" s="36"/>
      <c r="L52" s="35"/>
      <c r="M52" s="35"/>
    </row>
    <row r="53" spans="3:13" ht="25.8">
      <c r="C53" s="146"/>
      <c r="D53" s="45" t="s">
        <v>75</v>
      </c>
      <c r="E53" s="35"/>
      <c r="F53" s="35"/>
      <c r="G53" s="35"/>
      <c r="H53" s="35"/>
      <c r="I53" s="36"/>
      <c r="J53" s="36"/>
      <c r="L53" s="35"/>
      <c r="M53" s="35"/>
    </row>
    <row r="54" spans="3:13" ht="25.8">
      <c r="C54" s="146"/>
      <c r="D54" s="45" t="s">
        <v>75</v>
      </c>
      <c r="E54" s="35"/>
      <c r="F54" s="35"/>
      <c r="G54" s="35"/>
      <c r="H54" s="35"/>
      <c r="I54" s="36"/>
      <c r="J54" s="36"/>
      <c r="L54" s="35"/>
      <c r="M54" s="35"/>
    </row>
    <row r="55" spans="3:13" ht="25.8">
      <c r="C55" s="146"/>
      <c r="D55" s="45" t="s">
        <v>75</v>
      </c>
      <c r="E55" s="35"/>
      <c r="F55" s="35"/>
      <c r="G55" s="35"/>
      <c r="H55" s="35"/>
      <c r="I55" s="36"/>
      <c r="J55" s="36"/>
      <c r="L55" s="35"/>
      <c r="M55" s="35"/>
    </row>
    <row r="56" spans="3:13" ht="25.8">
      <c r="C56" s="146"/>
      <c r="D56" s="45" t="s">
        <v>75</v>
      </c>
      <c r="E56" s="35"/>
      <c r="F56" s="35"/>
      <c r="G56" s="35"/>
      <c r="H56" s="35"/>
      <c r="I56" s="36"/>
      <c r="J56" s="36"/>
      <c r="L56" s="35"/>
      <c r="M56" s="35"/>
    </row>
    <row r="57" spans="3:13" ht="25.8">
      <c r="C57" s="146"/>
      <c r="D57" s="45" t="s">
        <v>75</v>
      </c>
      <c r="E57" s="35"/>
      <c r="F57" s="35"/>
      <c r="G57" s="35"/>
      <c r="H57" s="35"/>
      <c r="I57" s="36"/>
      <c r="J57" s="36"/>
      <c r="L57" s="35"/>
      <c r="M57" s="35"/>
    </row>
    <row r="58" spans="3:13" ht="25.8">
      <c r="C58" s="146"/>
      <c r="D58" s="45" t="s">
        <v>75</v>
      </c>
      <c r="E58" s="35"/>
      <c r="F58" s="35"/>
      <c r="G58" s="35"/>
      <c r="H58" s="35"/>
      <c r="I58" s="36"/>
      <c r="J58" s="36"/>
      <c r="L58" s="35"/>
      <c r="M58" s="35"/>
    </row>
    <row r="59" spans="3:13" ht="25.8">
      <c r="C59" s="146"/>
      <c r="D59" s="45" t="s">
        <v>75</v>
      </c>
      <c r="E59" s="35"/>
      <c r="F59" s="35"/>
      <c r="G59" s="35"/>
      <c r="H59" s="35"/>
      <c r="I59" s="36"/>
      <c r="J59" s="36"/>
      <c r="L59" s="35"/>
      <c r="M59" s="35"/>
    </row>
    <row r="60" spans="3:13" ht="25.8">
      <c r="C60" s="146"/>
      <c r="D60" s="45" t="s">
        <v>75</v>
      </c>
      <c r="E60" s="35"/>
      <c r="F60" s="35"/>
      <c r="G60" s="35"/>
      <c r="H60" s="35"/>
      <c r="I60" s="36"/>
      <c r="J60" s="36"/>
      <c r="L60" s="35"/>
      <c r="M60" s="35"/>
    </row>
    <row r="61" spans="3:13" ht="25.8">
      <c r="C61" s="35"/>
      <c r="D61" s="45" t="s">
        <v>75</v>
      </c>
      <c r="E61" s="35"/>
      <c r="F61" s="35"/>
      <c r="G61" s="35"/>
      <c r="H61" s="35"/>
      <c r="I61" s="36"/>
      <c r="J61" s="36"/>
      <c r="L61" s="35"/>
      <c r="M61" s="35"/>
    </row>
    <row r="62" spans="3:13" ht="25.8">
      <c r="C62" s="35"/>
      <c r="D62" s="45" t="s">
        <v>75</v>
      </c>
      <c r="E62" s="35"/>
      <c r="F62" s="35"/>
      <c r="G62" s="35"/>
      <c r="H62" s="35"/>
      <c r="I62" s="36"/>
      <c r="J62" s="36"/>
      <c r="L62" s="35"/>
      <c r="M62" s="35"/>
    </row>
    <row r="63" spans="3:13" ht="25.8">
      <c r="C63" s="35"/>
      <c r="D63" s="45" t="s">
        <v>75</v>
      </c>
      <c r="E63" s="35"/>
      <c r="F63" s="35"/>
      <c r="G63" s="35"/>
      <c r="H63" s="35"/>
      <c r="I63" s="36"/>
      <c r="J63" s="36"/>
      <c r="L63" s="35"/>
      <c r="M63" s="35"/>
    </row>
    <row r="64" spans="3:13" ht="25.8">
      <c r="C64" s="35"/>
      <c r="D64" s="45" t="s">
        <v>75</v>
      </c>
      <c r="E64" s="35"/>
      <c r="F64" s="35"/>
      <c r="G64" s="35"/>
      <c r="H64" s="35"/>
      <c r="I64" s="36"/>
      <c r="J64" s="36"/>
      <c r="L64" s="35"/>
      <c r="M64" s="35"/>
    </row>
    <row r="65" spans="3:13" ht="25.8">
      <c r="C65" s="35"/>
      <c r="D65" s="45" t="s">
        <v>75</v>
      </c>
      <c r="E65" s="35"/>
      <c r="F65" s="35"/>
      <c r="G65" s="35"/>
      <c r="H65" s="35"/>
      <c r="I65" s="36"/>
      <c r="J65" s="36"/>
      <c r="L65" s="35"/>
      <c r="M65" s="35"/>
    </row>
    <row r="66" spans="3:13" ht="25.8">
      <c r="C66" s="35"/>
      <c r="D66" s="45" t="s">
        <v>75</v>
      </c>
      <c r="E66" s="35"/>
      <c r="F66" s="35"/>
      <c r="G66" s="35"/>
      <c r="H66" s="35"/>
      <c r="I66" s="36"/>
      <c r="J66" s="36"/>
      <c r="L66" s="35"/>
      <c r="M66" s="35"/>
    </row>
    <row r="67" spans="3:13" ht="25.8">
      <c r="C67" s="35"/>
      <c r="D67" s="45" t="s">
        <v>75</v>
      </c>
      <c r="E67" s="35"/>
      <c r="F67" s="35"/>
      <c r="G67" s="35"/>
      <c r="H67" s="35"/>
      <c r="I67" s="36"/>
      <c r="J67" s="36"/>
      <c r="L67" s="35"/>
      <c r="M67" s="35"/>
    </row>
    <row r="68" spans="3:13" ht="25.8">
      <c r="C68" s="35"/>
      <c r="D68" s="45" t="s">
        <v>75</v>
      </c>
      <c r="E68" s="35"/>
      <c r="F68" s="35"/>
      <c r="G68" s="35"/>
      <c r="H68" s="35"/>
      <c r="I68" s="36"/>
      <c r="J68" s="36"/>
      <c r="L68" s="35"/>
      <c r="M68" s="35"/>
    </row>
    <row r="69" spans="3:13" ht="25.8">
      <c r="C69" s="35"/>
      <c r="D69" s="45" t="s">
        <v>75</v>
      </c>
      <c r="E69" s="35"/>
      <c r="F69" s="35"/>
      <c r="G69" s="35"/>
      <c r="H69" s="35"/>
      <c r="I69" s="36"/>
      <c r="J69" s="36"/>
      <c r="L69" s="35"/>
      <c r="M69" s="35"/>
    </row>
    <row r="70" spans="3:13" ht="25.8">
      <c r="C70" s="35"/>
      <c r="D70" s="45" t="s">
        <v>75</v>
      </c>
      <c r="E70" s="35"/>
      <c r="F70" s="35"/>
      <c r="G70" s="35"/>
      <c r="H70" s="35"/>
      <c r="I70" s="36"/>
      <c r="J70" s="36"/>
      <c r="L70" s="35"/>
      <c r="M70" s="35"/>
    </row>
    <row r="71" spans="3:13" ht="25.8">
      <c r="C71" s="35"/>
      <c r="D71" s="45" t="s">
        <v>75</v>
      </c>
      <c r="E71" s="35"/>
      <c r="F71" s="35"/>
      <c r="G71" s="35"/>
      <c r="H71" s="35"/>
      <c r="I71" s="36"/>
      <c r="J71" s="36"/>
      <c r="L71" s="35"/>
      <c r="M71" s="35"/>
    </row>
    <row r="72" spans="3:13" ht="25.8">
      <c r="C72" s="35"/>
      <c r="D72" s="45" t="s">
        <v>75</v>
      </c>
      <c r="E72" s="35"/>
      <c r="F72" s="35"/>
      <c r="G72" s="35"/>
      <c r="H72" s="35"/>
      <c r="I72" s="36"/>
      <c r="J72" s="36"/>
      <c r="L72" s="35"/>
      <c r="M72" s="35"/>
    </row>
    <row r="73" spans="3:13" ht="25.8">
      <c r="C73" s="35"/>
      <c r="D73" s="45" t="s">
        <v>75</v>
      </c>
      <c r="E73" s="35"/>
      <c r="F73" s="35"/>
      <c r="G73" s="35"/>
      <c r="H73" s="35"/>
      <c r="I73" s="36"/>
      <c r="J73" s="36"/>
      <c r="L73" s="35"/>
      <c r="M73" s="35"/>
    </row>
    <row r="74" spans="3:13" ht="25.8">
      <c r="C74" s="35"/>
      <c r="D74" s="45" t="s">
        <v>75</v>
      </c>
      <c r="E74" s="35"/>
      <c r="F74" s="35"/>
      <c r="G74" s="35"/>
      <c r="H74" s="35"/>
      <c r="I74" s="36"/>
      <c r="J74" s="36"/>
      <c r="L74" s="35"/>
      <c r="M74" s="35"/>
    </row>
    <row r="75" spans="3:13" ht="25.8">
      <c r="C75" s="35"/>
      <c r="D75" s="45" t="s">
        <v>75</v>
      </c>
      <c r="E75" s="35"/>
      <c r="F75" s="35"/>
      <c r="G75" s="35"/>
      <c r="H75" s="35"/>
      <c r="I75" s="36"/>
      <c r="J75" s="36"/>
      <c r="L75" s="35"/>
      <c r="M75" s="35"/>
    </row>
    <row r="76" spans="3:13" ht="25.8">
      <c r="C76" s="35"/>
      <c r="D76" s="45" t="s">
        <v>75</v>
      </c>
      <c r="E76" s="35"/>
      <c r="F76" s="35"/>
      <c r="G76" s="35"/>
      <c r="H76" s="35"/>
      <c r="I76" s="36"/>
      <c r="J76" s="36"/>
      <c r="L76" s="35"/>
      <c r="M76" s="35"/>
    </row>
    <row r="77" spans="3:13" ht="25.8">
      <c r="C77" s="35"/>
      <c r="D77" s="45" t="s">
        <v>75</v>
      </c>
      <c r="E77" s="35"/>
      <c r="F77" s="35"/>
      <c r="G77" s="35"/>
      <c r="H77" s="35"/>
      <c r="I77" s="36"/>
      <c r="J77" s="36"/>
      <c r="L77" s="35"/>
      <c r="M77" s="35"/>
    </row>
    <row r="78" spans="3:13" ht="25.8">
      <c r="C78" s="35"/>
      <c r="D78" s="45" t="s">
        <v>75</v>
      </c>
      <c r="E78" s="35"/>
      <c r="F78" s="35"/>
      <c r="G78" s="35"/>
      <c r="H78" s="35"/>
      <c r="I78" s="36"/>
      <c r="J78" s="36"/>
      <c r="L78" s="35"/>
      <c r="M78" s="35"/>
    </row>
    <row r="79" spans="3:13" ht="25.8">
      <c r="C79" s="35"/>
      <c r="D79" s="45" t="s">
        <v>75</v>
      </c>
      <c r="E79" s="35"/>
      <c r="F79" s="35"/>
      <c r="G79" s="35"/>
      <c r="H79" s="35"/>
      <c r="I79" s="36"/>
      <c r="J79" s="36"/>
      <c r="L79" s="35"/>
      <c r="M79" s="35"/>
    </row>
    <row r="80" spans="3:13" ht="25.8">
      <c r="C80" s="35"/>
      <c r="D80" s="45" t="s">
        <v>75</v>
      </c>
      <c r="E80" s="35"/>
      <c r="F80" s="35"/>
      <c r="G80" s="35"/>
      <c r="H80" s="35"/>
      <c r="I80" s="36"/>
      <c r="J80" s="36"/>
      <c r="L80" s="35"/>
      <c r="M80" s="35"/>
    </row>
    <row r="81" spans="3:13" ht="25.8">
      <c r="C81" s="35"/>
      <c r="D81" s="45" t="s">
        <v>75</v>
      </c>
      <c r="E81" s="35"/>
      <c r="F81" s="35"/>
      <c r="G81" s="35"/>
      <c r="H81" s="35"/>
      <c r="I81" s="36"/>
      <c r="J81" s="36"/>
      <c r="L81" s="35"/>
      <c r="M81" s="35"/>
    </row>
    <row r="82" spans="3:13" ht="25.8">
      <c r="C82" s="35"/>
      <c r="D82" s="45" t="s">
        <v>75</v>
      </c>
      <c r="E82" s="35"/>
      <c r="F82" s="35"/>
      <c r="G82" s="35"/>
      <c r="H82" s="35"/>
      <c r="I82" s="36"/>
      <c r="J82" s="36"/>
      <c r="L82" s="35"/>
      <c r="M82" s="35"/>
    </row>
    <row r="83" spans="3:13" ht="25.8">
      <c r="C83" s="35"/>
      <c r="D83" s="45" t="s">
        <v>75</v>
      </c>
      <c r="E83" s="35"/>
      <c r="F83" s="35"/>
      <c r="G83" s="35"/>
      <c r="H83" s="35"/>
      <c r="I83" s="36"/>
      <c r="J83" s="36"/>
      <c r="L83" s="35"/>
      <c r="M83" s="35"/>
    </row>
    <row r="84" spans="3:13" ht="25.8">
      <c r="C84" s="35"/>
      <c r="D84" s="45" t="s">
        <v>75</v>
      </c>
      <c r="E84" s="35"/>
      <c r="F84" s="35"/>
      <c r="G84" s="35"/>
      <c r="H84" s="35"/>
      <c r="I84" s="36"/>
      <c r="J84" s="36"/>
      <c r="L84" s="35"/>
      <c r="M84" s="35"/>
    </row>
    <row r="85" spans="3:13" ht="25.8">
      <c r="C85" s="35"/>
      <c r="D85" s="45" t="s">
        <v>75</v>
      </c>
      <c r="E85" s="35"/>
      <c r="F85" s="35"/>
      <c r="G85" s="35"/>
      <c r="H85" s="35"/>
      <c r="I85" s="36"/>
      <c r="J85" s="36"/>
      <c r="L85" s="35"/>
      <c r="M85" s="35"/>
    </row>
    <row r="86" spans="3:13" ht="25.8">
      <c r="C86" s="35"/>
      <c r="D86" s="45" t="s">
        <v>75</v>
      </c>
      <c r="E86" s="35"/>
      <c r="F86" s="35"/>
      <c r="G86" s="35"/>
      <c r="H86" s="35"/>
      <c r="I86" s="36"/>
      <c r="J86" s="36"/>
      <c r="L86" s="35"/>
      <c r="M86" s="35"/>
    </row>
    <row r="87" spans="3:13" ht="25.8">
      <c r="C87" s="35"/>
      <c r="D87" s="45" t="s">
        <v>75</v>
      </c>
      <c r="E87" s="35"/>
      <c r="F87" s="35"/>
      <c r="G87" s="35"/>
      <c r="H87" s="35"/>
      <c r="I87" s="36"/>
      <c r="J87" s="36"/>
      <c r="L87" s="35"/>
      <c r="M87" s="35"/>
    </row>
    <row r="88" spans="3:13" ht="25.8">
      <c r="C88" s="35"/>
      <c r="D88" s="45" t="s">
        <v>75</v>
      </c>
      <c r="E88" s="35"/>
      <c r="F88" s="35"/>
      <c r="G88" s="35"/>
      <c r="H88" s="35"/>
      <c r="I88" s="36"/>
      <c r="J88" s="36"/>
      <c r="L88" s="35"/>
      <c r="M88" s="35"/>
    </row>
    <row r="89" spans="3:13" ht="25.8">
      <c r="C89" s="35"/>
      <c r="D89" s="45" t="s">
        <v>75</v>
      </c>
      <c r="E89" s="35"/>
      <c r="F89" s="35"/>
      <c r="G89" s="35"/>
      <c r="H89" s="35"/>
      <c r="I89" s="36"/>
      <c r="J89" s="36"/>
      <c r="L89" s="35"/>
      <c r="M89" s="35"/>
    </row>
    <row r="90" spans="3:13" ht="25.8">
      <c r="C90" s="35"/>
      <c r="D90" s="45" t="s">
        <v>75</v>
      </c>
      <c r="E90" s="35"/>
      <c r="F90" s="35"/>
      <c r="G90" s="35"/>
      <c r="H90" s="35"/>
      <c r="I90" s="36"/>
      <c r="J90" s="36"/>
      <c r="L90" s="35"/>
      <c r="M90" s="35"/>
    </row>
    <row r="91" spans="3:13" ht="25.8">
      <c r="C91" s="35"/>
      <c r="D91" s="45" t="s">
        <v>75</v>
      </c>
      <c r="E91" s="35"/>
      <c r="F91" s="35"/>
      <c r="G91" s="35"/>
      <c r="H91" s="35"/>
      <c r="I91" s="36"/>
      <c r="J91" s="36"/>
      <c r="L91" s="35"/>
      <c r="M91" s="35"/>
    </row>
    <row r="92" spans="3:13" ht="25.8">
      <c r="C92" s="35"/>
      <c r="D92" s="45" t="s">
        <v>75</v>
      </c>
      <c r="E92" s="35"/>
      <c r="F92" s="35"/>
      <c r="G92" s="35"/>
      <c r="H92" s="35"/>
      <c r="I92" s="36"/>
      <c r="J92" s="36"/>
      <c r="L92" s="35"/>
      <c r="M92" s="35"/>
    </row>
    <row r="93" spans="3:13" ht="25.8">
      <c r="C93" s="35"/>
      <c r="D93" s="45" t="s">
        <v>75</v>
      </c>
      <c r="E93" s="35"/>
      <c r="F93" s="35"/>
      <c r="G93" s="35"/>
      <c r="H93" s="35"/>
      <c r="I93" s="36"/>
      <c r="J93" s="36"/>
      <c r="L93" s="35"/>
      <c r="M93" s="35"/>
    </row>
    <row r="94" spans="3:13" ht="25.8">
      <c r="C94" s="35"/>
      <c r="D94" s="45" t="s">
        <v>75</v>
      </c>
      <c r="E94" s="35"/>
      <c r="F94" s="35"/>
      <c r="G94" s="35"/>
      <c r="H94" s="35"/>
      <c r="I94" s="36"/>
      <c r="J94" s="36"/>
      <c r="L94" s="35"/>
      <c r="M94" s="35"/>
    </row>
    <row r="95" spans="3:13" ht="25.8">
      <c r="C95" s="35"/>
      <c r="D95" s="45" t="s">
        <v>75</v>
      </c>
      <c r="E95" s="35"/>
      <c r="F95" s="35"/>
      <c r="G95" s="35"/>
      <c r="H95" s="35"/>
      <c r="I95" s="36"/>
      <c r="J95" s="36"/>
      <c r="L95" s="35"/>
      <c r="M95" s="35"/>
    </row>
    <row r="96" spans="3:13" ht="25.8">
      <c r="C96" s="35"/>
      <c r="D96" s="45" t="s">
        <v>75</v>
      </c>
      <c r="E96" s="35"/>
      <c r="F96" s="35"/>
      <c r="G96" s="35"/>
      <c r="H96" s="35"/>
      <c r="I96" s="36"/>
      <c r="J96" s="36"/>
      <c r="L96" s="35"/>
      <c r="M96" s="35"/>
    </row>
    <row r="97" spans="3:13" ht="25.8">
      <c r="C97" s="35"/>
      <c r="D97" s="45" t="s">
        <v>75</v>
      </c>
      <c r="E97" s="35"/>
      <c r="F97" s="35"/>
      <c r="G97" s="35"/>
      <c r="H97" s="35"/>
      <c r="I97" s="36"/>
      <c r="J97" s="36"/>
      <c r="L97" s="35"/>
      <c r="M97" s="35"/>
    </row>
    <row r="98" spans="3:13" ht="25.8">
      <c r="C98" s="35"/>
      <c r="D98" s="45" t="s">
        <v>75</v>
      </c>
      <c r="E98" s="35"/>
      <c r="F98" s="35"/>
      <c r="G98" s="35"/>
      <c r="H98" s="35"/>
      <c r="I98" s="36"/>
      <c r="J98" s="36"/>
      <c r="L98" s="35"/>
      <c r="M98" s="35"/>
    </row>
    <row r="99" spans="3:13" ht="25.8">
      <c r="C99" s="35"/>
      <c r="D99" s="45" t="s">
        <v>75</v>
      </c>
      <c r="E99" s="35"/>
      <c r="F99" s="35"/>
      <c r="G99" s="35"/>
      <c r="H99" s="35"/>
      <c r="I99" s="36"/>
      <c r="J99" s="36"/>
      <c r="L99" s="35"/>
      <c r="M99" s="35"/>
    </row>
    <row r="100" spans="3:13" ht="25.8">
      <c r="C100" s="35"/>
      <c r="D100" s="45" t="s">
        <v>75</v>
      </c>
      <c r="E100" s="35"/>
      <c r="F100" s="35"/>
      <c r="G100" s="35"/>
      <c r="H100" s="35"/>
      <c r="I100" s="36"/>
      <c r="J100" s="36"/>
      <c r="L100" s="35"/>
      <c r="M100" s="35"/>
    </row>
    <row r="101" spans="3:13" ht="25.8">
      <c r="C101" s="35"/>
      <c r="D101" s="45" t="s">
        <v>75</v>
      </c>
      <c r="E101" s="35"/>
      <c r="F101" s="35"/>
      <c r="G101" s="35"/>
      <c r="H101" s="35"/>
      <c r="I101" s="36"/>
      <c r="J101" s="36"/>
      <c r="L101" s="35"/>
      <c r="M101" s="35"/>
    </row>
    <row r="102" spans="3:13" ht="25.8">
      <c r="C102" s="35"/>
      <c r="D102" s="45" t="s">
        <v>75</v>
      </c>
      <c r="E102" s="35"/>
      <c r="F102" s="35"/>
      <c r="G102" s="35"/>
      <c r="H102" s="35"/>
      <c r="I102" s="36"/>
      <c r="J102" s="36"/>
      <c r="L102" s="35"/>
      <c r="M102" s="35"/>
    </row>
    <row r="103" spans="3:13" ht="25.8">
      <c r="C103" s="35"/>
      <c r="D103" s="45" t="s">
        <v>75</v>
      </c>
      <c r="E103" s="35"/>
      <c r="F103" s="35"/>
      <c r="G103" s="35"/>
      <c r="H103" s="35"/>
      <c r="I103" s="36"/>
      <c r="J103" s="36"/>
      <c r="L103" s="35"/>
      <c r="M103" s="35"/>
    </row>
    <row r="104" spans="3:13" ht="25.8">
      <c r="C104" s="35"/>
      <c r="D104" s="45" t="s">
        <v>75</v>
      </c>
      <c r="E104" s="35"/>
      <c r="F104" s="35"/>
      <c r="G104" s="35"/>
      <c r="H104" s="35"/>
      <c r="I104" s="36"/>
      <c r="J104" s="36"/>
      <c r="L104" s="35"/>
      <c r="M104" s="35"/>
    </row>
    <row r="105" spans="3:13" ht="25.8">
      <c r="C105" s="35"/>
      <c r="D105" s="45" t="s">
        <v>75</v>
      </c>
      <c r="E105" s="35"/>
      <c r="F105" s="35"/>
      <c r="G105" s="35"/>
      <c r="H105" s="35"/>
      <c r="I105" s="36"/>
      <c r="J105" s="36"/>
      <c r="L105" s="35"/>
      <c r="M105" s="35"/>
    </row>
    <row r="106" spans="3:13" ht="25.8">
      <c r="C106" s="35"/>
      <c r="D106" s="45" t="s">
        <v>75</v>
      </c>
      <c r="E106" s="35"/>
      <c r="F106" s="35"/>
      <c r="G106" s="35"/>
      <c r="H106" s="35"/>
      <c r="I106" s="36"/>
      <c r="J106" s="36"/>
      <c r="L106" s="35"/>
      <c r="M106" s="35"/>
    </row>
    <row r="107" spans="3:13" ht="25.8">
      <c r="C107" s="35"/>
      <c r="D107" s="45" t="s">
        <v>75</v>
      </c>
      <c r="E107" s="35"/>
      <c r="F107" s="35"/>
      <c r="G107" s="35"/>
      <c r="H107" s="35"/>
      <c r="I107" s="36"/>
      <c r="J107" s="36"/>
      <c r="L107" s="35"/>
      <c r="M107" s="35"/>
    </row>
    <row r="108" spans="3:13" ht="25.8">
      <c r="C108" s="35"/>
      <c r="D108" s="45" t="s">
        <v>75</v>
      </c>
      <c r="E108" s="35"/>
      <c r="F108" s="35"/>
      <c r="G108" s="35"/>
      <c r="H108" s="35"/>
      <c r="I108" s="36"/>
      <c r="J108" s="36"/>
      <c r="L108" s="35"/>
      <c r="M108" s="35"/>
    </row>
    <row r="109" spans="3:13" ht="25.8">
      <c r="C109" s="35"/>
      <c r="D109" s="45" t="s">
        <v>75</v>
      </c>
      <c r="E109" s="35"/>
      <c r="F109" s="35"/>
      <c r="G109" s="35"/>
      <c r="H109" s="35"/>
      <c r="I109" s="36"/>
      <c r="J109" s="36"/>
      <c r="L109" s="35"/>
      <c r="M109" s="35"/>
    </row>
    <row r="110" spans="3:13" ht="25.8">
      <c r="C110" s="35"/>
      <c r="D110" s="45" t="s">
        <v>75</v>
      </c>
      <c r="E110" s="35"/>
      <c r="F110" s="35"/>
      <c r="G110" s="35"/>
      <c r="H110" s="35"/>
      <c r="I110" s="36"/>
      <c r="J110" s="36"/>
      <c r="L110" s="35"/>
      <c r="M110" s="35"/>
    </row>
    <row r="111" spans="3:13" ht="25.8">
      <c r="C111" s="35"/>
      <c r="D111" s="45" t="s">
        <v>75</v>
      </c>
      <c r="E111" s="35"/>
      <c r="F111" s="35"/>
      <c r="G111" s="35"/>
      <c r="H111" s="35"/>
      <c r="I111" s="36"/>
      <c r="J111" s="36"/>
      <c r="L111" s="35"/>
      <c r="M111" s="35"/>
    </row>
    <row r="112" spans="3:13" ht="25.8">
      <c r="C112" s="35"/>
      <c r="D112" s="45" t="s">
        <v>75</v>
      </c>
      <c r="E112" s="35"/>
      <c r="F112" s="35"/>
      <c r="G112" s="35"/>
      <c r="H112" s="35"/>
      <c r="I112" s="36"/>
      <c r="J112" s="36"/>
      <c r="L112" s="35"/>
      <c r="M112" s="35"/>
    </row>
    <row r="113" spans="3:13" ht="25.8">
      <c r="C113" s="35"/>
      <c r="D113" s="45" t="s">
        <v>75</v>
      </c>
      <c r="E113" s="35"/>
      <c r="F113" s="35"/>
      <c r="G113" s="35"/>
      <c r="H113" s="35"/>
      <c r="I113" s="36"/>
      <c r="J113" s="36"/>
      <c r="L113" s="35"/>
      <c r="M113" s="35"/>
    </row>
    <row r="114" spans="3:13" ht="25.8">
      <c r="C114" s="35"/>
      <c r="D114" s="45" t="s">
        <v>75</v>
      </c>
      <c r="E114" s="35"/>
      <c r="F114" s="35"/>
      <c r="G114" s="35"/>
      <c r="H114" s="35"/>
      <c r="I114" s="36"/>
      <c r="J114" s="36"/>
      <c r="L114" s="35"/>
      <c r="M114" s="35"/>
    </row>
    <row r="115" spans="3:13" ht="25.8">
      <c r="C115" s="35"/>
      <c r="D115" s="45" t="s">
        <v>75</v>
      </c>
      <c r="E115" s="35"/>
      <c r="F115" s="35"/>
      <c r="G115" s="35"/>
      <c r="H115" s="35"/>
      <c r="I115" s="36"/>
      <c r="J115" s="36"/>
      <c r="L115" s="35"/>
      <c r="M115" s="35"/>
    </row>
    <row r="116" spans="3:13" ht="25.8">
      <c r="C116" s="35"/>
      <c r="D116" s="45" t="s">
        <v>75</v>
      </c>
      <c r="E116" s="35"/>
      <c r="F116" s="35"/>
      <c r="G116" s="35"/>
      <c r="H116" s="35"/>
      <c r="I116" s="36"/>
      <c r="J116" s="36"/>
      <c r="L116" s="35"/>
      <c r="M116" s="35"/>
    </row>
    <row r="117" spans="3:13" ht="25.8">
      <c r="C117" s="35"/>
      <c r="D117" s="45" t="s">
        <v>75</v>
      </c>
      <c r="E117" s="35"/>
      <c r="F117" s="35"/>
      <c r="G117" s="35"/>
      <c r="H117" s="35"/>
      <c r="I117" s="36"/>
      <c r="J117" s="36"/>
      <c r="L117" s="35"/>
      <c r="M117" s="35"/>
    </row>
    <row r="118" spans="3:13" ht="25.8">
      <c r="C118" s="35"/>
      <c r="D118" s="45" t="s">
        <v>75</v>
      </c>
      <c r="E118" s="35"/>
      <c r="F118" s="35"/>
      <c r="G118" s="35"/>
      <c r="H118" s="35"/>
      <c r="I118" s="36"/>
      <c r="J118" s="36"/>
      <c r="L118" s="35"/>
      <c r="M118" s="35"/>
    </row>
    <row r="119" spans="3:13" ht="25.8">
      <c r="C119" s="35"/>
      <c r="D119" s="45" t="s">
        <v>75</v>
      </c>
      <c r="E119" s="35"/>
      <c r="F119" s="35"/>
      <c r="G119" s="35"/>
      <c r="H119" s="35"/>
      <c r="I119" s="36"/>
      <c r="J119" s="36"/>
      <c r="L119" s="35"/>
      <c r="M119" s="35"/>
    </row>
    <row r="120" spans="3:13" ht="25.8">
      <c r="C120" s="35"/>
      <c r="D120" s="45" t="s">
        <v>75</v>
      </c>
      <c r="E120" s="35"/>
      <c r="F120" s="35"/>
      <c r="G120" s="35"/>
      <c r="H120" s="35"/>
      <c r="I120" s="36"/>
      <c r="J120" s="36"/>
      <c r="L120" s="35"/>
      <c r="M120" s="35"/>
    </row>
    <row r="121" spans="3:13" ht="25.8">
      <c r="C121" s="35"/>
      <c r="D121" s="45" t="s">
        <v>75</v>
      </c>
      <c r="E121" s="35"/>
      <c r="F121" s="35"/>
      <c r="G121" s="35"/>
      <c r="H121" s="35"/>
      <c r="I121" s="36"/>
      <c r="J121" s="36"/>
      <c r="L121" s="35"/>
      <c r="M121" s="35"/>
    </row>
    <row r="122" spans="3:13" ht="25.8">
      <c r="C122" s="35"/>
      <c r="D122" s="45" t="s">
        <v>75</v>
      </c>
      <c r="E122" s="35"/>
      <c r="F122" s="35"/>
      <c r="G122" s="35"/>
      <c r="H122" s="35"/>
      <c r="I122" s="36"/>
      <c r="J122" s="36"/>
      <c r="L122" s="35"/>
      <c r="M122" s="35"/>
    </row>
    <row r="123" spans="3:13" ht="25.8">
      <c r="C123" s="35"/>
      <c r="D123" s="45" t="s">
        <v>75</v>
      </c>
      <c r="E123" s="35"/>
      <c r="F123" s="35"/>
      <c r="G123" s="35"/>
      <c r="H123" s="35"/>
      <c r="I123" s="36"/>
      <c r="J123" s="36"/>
      <c r="L123" s="35"/>
      <c r="M123" s="35"/>
    </row>
    <row r="124" spans="3:13" ht="25.8">
      <c r="C124" s="35"/>
      <c r="D124" s="45" t="s">
        <v>75</v>
      </c>
      <c r="E124" s="35"/>
      <c r="F124" s="35"/>
      <c r="G124" s="35"/>
      <c r="H124" s="35"/>
      <c r="I124" s="36"/>
      <c r="J124" s="36"/>
      <c r="L124" s="35"/>
      <c r="M124" s="35"/>
    </row>
    <row r="125" spans="3:13" ht="25.8">
      <c r="C125" s="35"/>
      <c r="D125" s="45" t="s">
        <v>75</v>
      </c>
      <c r="E125" s="35"/>
      <c r="F125" s="35"/>
      <c r="G125" s="35"/>
      <c r="H125" s="35"/>
      <c r="I125" s="36"/>
      <c r="J125" s="36"/>
      <c r="L125" s="35"/>
      <c r="M125" s="35"/>
    </row>
    <row r="126" spans="3:13" ht="25.8">
      <c r="C126" s="35"/>
      <c r="D126" s="45" t="s">
        <v>75</v>
      </c>
      <c r="E126" s="35"/>
      <c r="F126" s="35"/>
      <c r="G126" s="35"/>
      <c r="H126" s="35"/>
      <c r="I126" s="36"/>
      <c r="J126" s="36"/>
      <c r="L126" s="35"/>
      <c r="M126" s="35"/>
    </row>
    <row r="127" spans="3:13" ht="25.8">
      <c r="C127" s="35"/>
      <c r="D127" s="45" t="s">
        <v>75</v>
      </c>
      <c r="E127" s="35"/>
      <c r="F127" s="35"/>
      <c r="G127" s="35"/>
      <c r="H127" s="35"/>
      <c r="I127" s="36"/>
      <c r="J127" s="36"/>
      <c r="L127" s="35"/>
      <c r="M127" s="35"/>
    </row>
    <row r="128" spans="3:13" ht="25.8">
      <c r="C128" s="35"/>
      <c r="D128" s="45" t="s">
        <v>75</v>
      </c>
      <c r="E128" s="35"/>
      <c r="F128" s="35"/>
      <c r="G128" s="35"/>
      <c r="H128" s="35"/>
      <c r="I128" s="36"/>
      <c r="J128" s="36"/>
      <c r="L128" s="35"/>
      <c r="M128" s="35"/>
    </row>
    <row r="129" spans="3:13" ht="25.8">
      <c r="C129" s="35"/>
      <c r="D129" s="45" t="s">
        <v>75</v>
      </c>
      <c r="E129" s="35"/>
      <c r="F129" s="35"/>
      <c r="G129" s="35"/>
      <c r="H129" s="35"/>
      <c r="I129" s="36"/>
      <c r="J129" s="36"/>
      <c r="L129" s="35"/>
      <c r="M129" s="35"/>
    </row>
    <row r="130" spans="3:13" ht="25.8">
      <c r="C130" s="35"/>
      <c r="D130" s="45" t="s">
        <v>75</v>
      </c>
      <c r="E130" s="35"/>
      <c r="F130" s="35"/>
      <c r="G130" s="35"/>
      <c r="H130" s="35"/>
      <c r="I130" s="36"/>
      <c r="J130" s="36"/>
      <c r="L130" s="35"/>
      <c r="M130" s="35"/>
    </row>
    <row r="131" spans="3:13" ht="25.8">
      <c r="C131" s="35"/>
      <c r="D131" s="45" t="s">
        <v>75</v>
      </c>
      <c r="E131" s="35"/>
      <c r="F131" s="35"/>
      <c r="G131" s="35"/>
      <c r="H131" s="35"/>
      <c r="I131" s="36"/>
      <c r="J131" s="36"/>
      <c r="L131" s="35"/>
      <c r="M131" s="35"/>
    </row>
    <row r="132" spans="3:13" ht="25.8">
      <c r="C132" s="35"/>
      <c r="D132" s="45" t="s">
        <v>75</v>
      </c>
      <c r="E132" s="35"/>
      <c r="F132" s="35"/>
      <c r="G132" s="35"/>
      <c r="H132" s="35"/>
      <c r="I132" s="36"/>
      <c r="J132" s="36"/>
      <c r="L132" s="35"/>
      <c r="M132" s="35"/>
    </row>
    <row r="133" spans="3:13" ht="25.8">
      <c r="C133" s="35"/>
      <c r="D133" s="45" t="s">
        <v>75</v>
      </c>
      <c r="E133" s="35"/>
      <c r="F133" s="35"/>
      <c r="G133" s="35"/>
      <c r="H133" s="35"/>
      <c r="I133" s="36"/>
      <c r="J133" s="36"/>
      <c r="L133" s="35"/>
      <c r="M133" s="35"/>
    </row>
    <row r="134" spans="3:13" ht="25.8">
      <c r="C134" s="35"/>
      <c r="D134" s="45" t="s">
        <v>75</v>
      </c>
      <c r="E134" s="35"/>
      <c r="F134" s="35"/>
      <c r="G134" s="35"/>
      <c r="H134" s="35"/>
      <c r="I134" s="36"/>
      <c r="J134" s="36"/>
      <c r="L134" s="35"/>
      <c r="M134" s="35"/>
    </row>
    <row r="135" spans="3:13" ht="25.8">
      <c r="C135" s="35"/>
      <c r="D135" s="45" t="s">
        <v>75</v>
      </c>
      <c r="E135" s="35"/>
      <c r="F135" s="35"/>
      <c r="G135" s="35"/>
      <c r="H135" s="35"/>
      <c r="I135" s="36"/>
      <c r="J135" s="36"/>
      <c r="L135" s="35"/>
      <c r="M135" s="35"/>
    </row>
    <row r="136" spans="3:13" ht="25.8">
      <c r="C136" s="35"/>
      <c r="D136" s="45" t="s">
        <v>75</v>
      </c>
      <c r="E136" s="35"/>
      <c r="F136" s="35"/>
      <c r="G136" s="35"/>
      <c r="H136" s="35"/>
      <c r="I136" s="36"/>
      <c r="J136" s="36"/>
      <c r="L136" s="35"/>
      <c r="M136" s="35"/>
    </row>
    <row r="137" spans="3:13" ht="25.8">
      <c r="C137" s="35"/>
      <c r="D137" s="45" t="s">
        <v>75</v>
      </c>
      <c r="E137" s="35"/>
      <c r="F137" s="35"/>
      <c r="G137" s="35"/>
      <c r="H137" s="35"/>
      <c r="I137" s="36"/>
      <c r="J137" s="36"/>
      <c r="L137" s="35"/>
      <c r="M137" s="35"/>
    </row>
    <row r="138" spans="3:13" ht="25.8">
      <c r="C138" s="35"/>
      <c r="D138" s="45" t="s">
        <v>75</v>
      </c>
      <c r="E138" s="35"/>
      <c r="F138" s="35"/>
      <c r="G138" s="35"/>
      <c r="H138" s="35"/>
      <c r="I138" s="36"/>
      <c r="J138" s="36"/>
      <c r="L138" s="35"/>
      <c r="M138" s="35"/>
    </row>
    <row r="139" spans="3:13" ht="25.8">
      <c r="C139" s="35"/>
      <c r="D139" s="45" t="s">
        <v>75</v>
      </c>
      <c r="E139" s="35"/>
      <c r="F139" s="35"/>
      <c r="G139" s="35"/>
      <c r="H139" s="35"/>
      <c r="I139" s="36"/>
      <c r="J139" s="36"/>
      <c r="L139" s="35"/>
      <c r="M139" s="35"/>
    </row>
    <row r="140" spans="3:13" ht="25.8">
      <c r="C140" s="35"/>
      <c r="D140" s="45" t="s">
        <v>75</v>
      </c>
      <c r="E140" s="35"/>
      <c r="F140" s="35"/>
      <c r="G140" s="35"/>
      <c r="H140" s="35"/>
      <c r="I140" s="36"/>
      <c r="J140" s="36"/>
      <c r="L140" s="35"/>
      <c r="M140" s="35"/>
    </row>
    <row r="141" spans="3:13" ht="25.8">
      <c r="C141" s="35"/>
      <c r="D141" s="45" t="s">
        <v>75</v>
      </c>
      <c r="E141" s="35"/>
      <c r="F141" s="35"/>
      <c r="G141" s="35"/>
      <c r="H141" s="35"/>
      <c r="I141" s="36"/>
      <c r="J141" s="36"/>
      <c r="L141" s="35"/>
      <c r="M141" s="35"/>
    </row>
    <row r="142" spans="3:13" ht="25.8">
      <c r="C142" s="35"/>
      <c r="D142" s="45" t="s">
        <v>75</v>
      </c>
      <c r="E142" s="35"/>
      <c r="F142" s="35"/>
      <c r="G142" s="35"/>
      <c r="H142" s="35"/>
      <c r="I142" s="36"/>
      <c r="J142" s="36"/>
      <c r="L142" s="35"/>
      <c r="M142" s="35"/>
    </row>
    <row r="143" spans="3:13" ht="25.8">
      <c r="C143" s="35"/>
      <c r="D143" s="45" t="s">
        <v>75</v>
      </c>
      <c r="E143" s="35"/>
      <c r="F143" s="35"/>
      <c r="G143" s="35"/>
      <c r="H143" s="35"/>
      <c r="I143" s="36"/>
      <c r="J143" s="36"/>
      <c r="L143" s="35"/>
      <c r="M143" s="35"/>
    </row>
    <row r="144" spans="3:13" ht="25.8">
      <c r="C144" s="35"/>
      <c r="D144" s="45" t="s">
        <v>75</v>
      </c>
      <c r="E144" s="35"/>
      <c r="F144" s="35"/>
      <c r="G144" s="35"/>
      <c r="H144" s="35"/>
      <c r="I144" s="36"/>
      <c r="J144" s="36"/>
      <c r="L144" s="35"/>
      <c r="M144" s="35"/>
    </row>
    <row r="145" spans="3:13" ht="25.8">
      <c r="C145" s="35"/>
      <c r="D145" s="45" t="s">
        <v>75</v>
      </c>
      <c r="E145" s="35"/>
      <c r="F145" s="35"/>
      <c r="G145" s="35"/>
      <c r="H145" s="35"/>
      <c r="I145" s="36"/>
      <c r="J145" s="36"/>
      <c r="L145" s="35"/>
      <c r="M145" s="35"/>
    </row>
    <row r="146" spans="3:13" ht="25.8">
      <c r="C146" s="35"/>
      <c r="D146" s="45" t="s">
        <v>75</v>
      </c>
      <c r="E146" s="35"/>
      <c r="F146" s="35"/>
      <c r="G146" s="35"/>
      <c r="H146" s="35"/>
      <c r="I146" s="36"/>
      <c r="J146" s="36"/>
      <c r="L146" s="35"/>
      <c r="M146" s="35"/>
    </row>
    <row r="147" spans="3:13" ht="25.8">
      <c r="C147" s="35"/>
      <c r="D147" s="45" t="s">
        <v>75</v>
      </c>
      <c r="E147" s="35"/>
      <c r="F147" s="35"/>
      <c r="G147" s="35"/>
      <c r="H147" s="35"/>
      <c r="I147" s="36"/>
      <c r="J147" s="36"/>
      <c r="L147" s="35"/>
      <c r="M147" s="35"/>
    </row>
    <row r="148" spans="3:13" ht="25.8">
      <c r="C148" s="35"/>
      <c r="D148" s="45" t="s">
        <v>75</v>
      </c>
      <c r="E148" s="35"/>
      <c r="F148" s="35"/>
      <c r="G148" s="35"/>
      <c r="H148" s="35"/>
      <c r="I148" s="36"/>
      <c r="J148" s="36"/>
      <c r="L148" s="35"/>
      <c r="M148" s="35"/>
    </row>
    <row r="149" spans="3:13" ht="25.8">
      <c r="C149" s="35"/>
      <c r="D149" s="45" t="s">
        <v>75</v>
      </c>
      <c r="E149" s="35"/>
      <c r="F149" s="35"/>
      <c r="G149" s="35"/>
      <c r="H149" s="35"/>
      <c r="I149" s="36"/>
      <c r="J149" s="36"/>
      <c r="L149" s="35"/>
      <c r="M149" s="35"/>
    </row>
    <row r="150" spans="3:13" ht="25.8">
      <c r="C150" s="35"/>
      <c r="D150" s="45" t="s">
        <v>75</v>
      </c>
      <c r="E150" s="35"/>
      <c r="F150" s="35"/>
      <c r="G150" s="35"/>
      <c r="H150" s="35"/>
      <c r="I150" s="36"/>
      <c r="J150" s="36"/>
      <c r="L150" s="35"/>
      <c r="M150" s="35"/>
    </row>
    <row r="151" spans="3:13" ht="25.8">
      <c r="C151" s="35"/>
      <c r="D151" s="45" t="s">
        <v>75</v>
      </c>
      <c r="E151" s="35"/>
      <c r="F151" s="35"/>
      <c r="G151" s="35"/>
      <c r="H151" s="35"/>
      <c r="I151" s="36"/>
      <c r="J151" s="36"/>
      <c r="L151" s="35"/>
      <c r="M151" s="35"/>
    </row>
    <row r="152" spans="3:13" ht="25.8">
      <c r="C152" s="35"/>
      <c r="D152" s="45" t="s">
        <v>75</v>
      </c>
      <c r="E152" s="35"/>
      <c r="F152" s="35"/>
      <c r="G152" s="35"/>
      <c r="H152" s="35"/>
      <c r="I152" s="36"/>
      <c r="J152" s="36"/>
      <c r="L152" s="35"/>
      <c r="M152" s="35"/>
    </row>
    <row r="153" spans="3:13" ht="25.8">
      <c r="C153" s="35"/>
      <c r="D153" s="45" t="s">
        <v>75</v>
      </c>
      <c r="E153" s="35"/>
      <c r="F153" s="35"/>
      <c r="G153" s="35"/>
      <c r="H153" s="35"/>
      <c r="I153" s="36"/>
      <c r="J153" s="36"/>
      <c r="L153" s="35"/>
      <c r="M153" s="35"/>
    </row>
    <row r="154" spans="3:13" ht="25.8">
      <c r="C154" s="35"/>
      <c r="D154" s="45" t="s">
        <v>75</v>
      </c>
      <c r="E154" s="35"/>
      <c r="F154" s="35"/>
      <c r="G154" s="35"/>
      <c r="H154" s="35"/>
      <c r="I154" s="36"/>
      <c r="J154" s="36"/>
      <c r="L154" s="35"/>
      <c r="M154" s="35"/>
    </row>
    <row r="155" spans="3:13" ht="25.8">
      <c r="C155" s="35"/>
      <c r="D155" s="45" t="s">
        <v>75</v>
      </c>
      <c r="E155" s="35"/>
      <c r="F155" s="35"/>
      <c r="G155" s="35"/>
      <c r="H155" s="35"/>
      <c r="I155" s="36"/>
      <c r="J155" s="36"/>
      <c r="L155" s="35"/>
      <c r="M155" s="35"/>
    </row>
    <row r="156" spans="3:13" ht="25.8">
      <c r="C156" s="35"/>
      <c r="D156" s="45" t="s">
        <v>75</v>
      </c>
      <c r="E156" s="35"/>
      <c r="F156" s="35"/>
      <c r="G156" s="35"/>
      <c r="H156" s="35"/>
      <c r="I156" s="36"/>
      <c r="J156" s="36"/>
      <c r="L156" s="35"/>
      <c r="M156" s="35"/>
    </row>
    <row r="157" spans="3:13" ht="25.8">
      <c r="C157" s="35"/>
      <c r="D157" s="45" t="s">
        <v>75</v>
      </c>
      <c r="E157" s="35"/>
      <c r="F157" s="35"/>
      <c r="G157" s="35"/>
      <c r="H157" s="35"/>
      <c r="I157" s="36"/>
      <c r="J157" s="36"/>
      <c r="L157" s="35"/>
      <c r="M157" s="35"/>
    </row>
    <row r="158" spans="3:13" ht="25.8">
      <c r="C158" s="35"/>
      <c r="D158" s="45" t="s">
        <v>75</v>
      </c>
      <c r="E158" s="35"/>
      <c r="F158" s="35"/>
      <c r="G158" s="35"/>
      <c r="H158" s="35"/>
      <c r="I158" s="36"/>
      <c r="J158" s="36"/>
      <c r="L158" s="35"/>
      <c r="M158" s="35"/>
    </row>
    <row r="159" spans="3:13" ht="25.8">
      <c r="C159" s="35"/>
      <c r="D159" s="45" t="s">
        <v>75</v>
      </c>
      <c r="E159" s="35"/>
      <c r="F159" s="35"/>
      <c r="G159" s="35"/>
      <c r="H159" s="35"/>
      <c r="I159" s="36"/>
      <c r="J159" s="36"/>
      <c r="L159" s="35"/>
      <c r="M159" s="35"/>
    </row>
    <row r="160" spans="3:13" ht="25.8">
      <c r="C160" s="35"/>
      <c r="D160" s="45" t="s">
        <v>75</v>
      </c>
      <c r="E160" s="35"/>
      <c r="F160" s="35"/>
      <c r="G160" s="35"/>
      <c r="H160" s="35"/>
      <c r="I160" s="36"/>
      <c r="J160" s="36"/>
      <c r="L160" s="35"/>
      <c r="M160" s="35"/>
    </row>
    <row r="161" spans="3:13" ht="25.8">
      <c r="C161" s="35"/>
      <c r="D161" s="45" t="s">
        <v>75</v>
      </c>
      <c r="E161" s="35"/>
      <c r="F161" s="35"/>
      <c r="G161" s="35"/>
      <c r="H161" s="35"/>
      <c r="I161" s="36"/>
      <c r="J161" s="36"/>
      <c r="L161" s="35"/>
      <c r="M161" s="35"/>
    </row>
    <row r="162" spans="3:13" ht="25.8">
      <c r="C162" s="35"/>
      <c r="D162" s="45" t="s">
        <v>75</v>
      </c>
      <c r="E162" s="35"/>
      <c r="F162" s="35"/>
      <c r="G162" s="35"/>
      <c r="H162" s="35"/>
      <c r="I162" s="36"/>
      <c r="J162" s="36"/>
      <c r="L162" s="35"/>
      <c r="M162" s="35"/>
    </row>
    <row r="163" spans="3:13" ht="25.8">
      <c r="C163" s="35"/>
      <c r="D163" s="45" t="s">
        <v>75</v>
      </c>
      <c r="E163" s="35"/>
      <c r="F163" s="35"/>
      <c r="G163" s="35"/>
      <c r="H163" s="35"/>
      <c r="I163" s="36"/>
      <c r="J163" s="36"/>
      <c r="L163" s="35"/>
      <c r="M163" s="35"/>
    </row>
    <row r="164" spans="3:13" ht="25.8">
      <c r="C164" s="35"/>
      <c r="D164" s="45" t="s">
        <v>75</v>
      </c>
      <c r="E164" s="35"/>
      <c r="F164" s="35"/>
      <c r="G164" s="35"/>
      <c r="H164" s="35"/>
      <c r="I164" s="36"/>
      <c r="J164" s="36"/>
      <c r="L164" s="35"/>
      <c r="M164" s="35"/>
    </row>
    <row r="165" spans="3:13" ht="25.8">
      <c r="C165" s="35"/>
      <c r="D165" s="45" t="s">
        <v>75</v>
      </c>
      <c r="E165" s="35"/>
      <c r="F165" s="35"/>
      <c r="G165" s="35"/>
      <c r="H165" s="35"/>
      <c r="I165" s="36"/>
      <c r="J165" s="36"/>
      <c r="L165" s="35"/>
      <c r="M165" s="35"/>
    </row>
    <row r="166" spans="3:13" ht="25.8">
      <c r="C166" s="35"/>
      <c r="D166" s="45" t="s">
        <v>75</v>
      </c>
      <c r="E166" s="35"/>
      <c r="F166" s="35"/>
      <c r="G166" s="35"/>
      <c r="H166" s="35"/>
      <c r="I166" s="36"/>
      <c r="J166" s="36"/>
      <c r="L166" s="35"/>
      <c r="M166" s="35"/>
    </row>
    <row r="167" spans="3:13" ht="25.8">
      <c r="C167" s="35"/>
      <c r="D167" s="45" t="s">
        <v>75</v>
      </c>
      <c r="E167" s="35"/>
      <c r="F167" s="35"/>
      <c r="G167" s="35"/>
      <c r="H167" s="35"/>
      <c r="I167" s="36"/>
      <c r="J167" s="36"/>
      <c r="L167" s="35"/>
      <c r="M167" s="35"/>
    </row>
    <row r="168" spans="3:13" ht="25.8">
      <c r="C168" s="35"/>
      <c r="D168" s="45" t="s">
        <v>75</v>
      </c>
      <c r="E168" s="35"/>
      <c r="F168" s="35"/>
      <c r="G168" s="35"/>
      <c r="H168" s="35"/>
      <c r="I168" s="36"/>
      <c r="J168" s="36"/>
      <c r="L168" s="35"/>
      <c r="M168" s="35"/>
    </row>
    <row r="169" spans="3:13" ht="25.8">
      <c r="C169" s="35"/>
      <c r="D169" s="45" t="s">
        <v>75</v>
      </c>
      <c r="E169" s="35"/>
      <c r="F169" s="35"/>
      <c r="G169" s="35"/>
      <c r="H169" s="35"/>
      <c r="I169" s="36"/>
      <c r="J169" s="36"/>
      <c r="L169" s="35"/>
      <c r="M169" s="35"/>
    </row>
    <row r="170" spans="3:13" ht="25.8">
      <c r="C170" s="35"/>
      <c r="D170" s="45" t="s">
        <v>75</v>
      </c>
      <c r="E170" s="35"/>
      <c r="F170" s="35"/>
      <c r="G170" s="35"/>
      <c r="H170" s="35"/>
      <c r="I170" s="36"/>
      <c r="J170" s="36"/>
      <c r="L170" s="35"/>
      <c r="M170" s="35"/>
    </row>
    <row r="171" spans="3:13" ht="25.8">
      <c r="C171" s="35"/>
      <c r="D171" s="45" t="s">
        <v>75</v>
      </c>
      <c r="E171" s="35"/>
      <c r="F171" s="35"/>
      <c r="G171" s="35"/>
      <c r="H171" s="35"/>
      <c r="I171" s="36"/>
      <c r="J171" s="36"/>
      <c r="L171" s="35"/>
      <c r="M171" s="35"/>
    </row>
    <row r="172" spans="3:13" ht="25.8">
      <c r="C172" s="35"/>
      <c r="D172" s="45" t="s">
        <v>75</v>
      </c>
      <c r="E172" s="35"/>
      <c r="F172" s="35"/>
      <c r="G172" s="35"/>
      <c r="H172" s="35"/>
      <c r="I172" s="36"/>
      <c r="J172" s="36"/>
      <c r="L172" s="35"/>
      <c r="M172" s="35"/>
    </row>
    <row r="173" spans="3:13" ht="25.8">
      <c r="C173" s="35"/>
      <c r="D173" s="45" t="s">
        <v>75</v>
      </c>
      <c r="E173" s="35"/>
      <c r="F173" s="35"/>
      <c r="G173" s="35"/>
      <c r="H173" s="35"/>
      <c r="I173" s="36"/>
      <c r="J173" s="36"/>
      <c r="L173" s="35"/>
      <c r="M173" s="35"/>
    </row>
    <row r="174" spans="3:13" ht="25.8">
      <c r="C174" s="35"/>
      <c r="D174" s="45" t="s">
        <v>75</v>
      </c>
      <c r="E174" s="35"/>
      <c r="F174" s="35"/>
      <c r="G174" s="35"/>
      <c r="H174" s="35"/>
      <c r="I174" s="36"/>
      <c r="J174" s="36"/>
      <c r="L174" s="35"/>
      <c r="M174" s="35"/>
    </row>
    <row r="175" spans="3:13" ht="25.8">
      <c r="C175" s="35"/>
      <c r="D175" s="45" t="s">
        <v>75</v>
      </c>
      <c r="E175" s="35"/>
      <c r="F175" s="35"/>
      <c r="G175" s="35"/>
      <c r="H175" s="35"/>
      <c r="I175" s="36"/>
      <c r="J175" s="36"/>
      <c r="L175" s="35"/>
      <c r="M175" s="35"/>
    </row>
    <row r="176" spans="3:13" ht="25.8">
      <c r="C176" s="35"/>
      <c r="D176" s="45" t="s">
        <v>75</v>
      </c>
      <c r="E176" s="35"/>
      <c r="F176" s="35"/>
      <c r="G176" s="35"/>
      <c r="H176" s="35"/>
      <c r="I176" s="36"/>
      <c r="J176" s="36"/>
      <c r="L176" s="35"/>
      <c r="M176" s="35"/>
    </row>
    <row r="177" spans="3:13" ht="25.8">
      <c r="C177" s="35"/>
      <c r="D177" s="45" t="s">
        <v>75</v>
      </c>
      <c r="E177" s="35"/>
      <c r="F177" s="35"/>
      <c r="G177" s="35"/>
      <c r="H177" s="35"/>
      <c r="I177" s="36"/>
      <c r="J177" s="36"/>
      <c r="L177" s="35"/>
      <c r="M177" s="35"/>
    </row>
    <row r="178" spans="3:13" ht="25.8">
      <c r="C178" s="35"/>
      <c r="D178" s="45" t="s">
        <v>75</v>
      </c>
      <c r="E178" s="35"/>
      <c r="F178" s="35"/>
      <c r="G178" s="35"/>
      <c r="H178" s="35"/>
      <c r="I178" s="36"/>
      <c r="J178" s="36"/>
      <c r="L178" s="35"/>
      <c r="M178" s="35"/>
    </row>
    <row r="179" spans="3:13" ht="25.8">
      <c r="C179" s="35"/>
      <c r="D179" s="45" t="s">
        <v>75</v>
      </c>
      <c r="E179" s="35"/>
      <c r="F179" s="35"/>
      <c r="G179" s="35"/>
      <c r="H179" s="35"/>
      <c r="I179" s="36"/>
      <c r="J179" s="36"/>
      <c r="L179" s="35"/>
      <c r="M179" s="35"/>
    </row>
    <row r="180" spans="3:13" ht="25.8">
      <c r="C180" s="35"/>
      <c r="D180" s="45" t="s">
        <v>75</v>
      </c>
      <c r="E180" s="35"/>
      <c r="F180" s="35"/>
      <c r="G180" s="35"/>
      <c r="H180" s="35"/>
      <c r="I180" s="36"/>
      <c r="J180" s="36"/>
      <c r="L180" s="35"/>
      <c r="M180" s="35"/>
    </row>
    <row r="181" spans="3:13" ht="25.8">
      <c r="C181" s="35"/>
      <c r="D181" s="45" t="s">
        <v>75</v>
      </c>
      <c r="E181" s="35"/>
      <c r="F181" s="35"/>
      <c r="G181" s="35"/>
      <c r="H181" s="35"/>
      <c r="I181" s="36"/>
      <c r="J181" s="36"/>
      <c r="L181" s="35"/>
      <c r="M181" s="35"/>
    </row>
    <row r="182" spans="3:13" ht="25.8">
      <c r="C182" s="35"/>
      <c r="D182" s="45" t="s">
        <v>75</v>
      </c>
      <c r="E182" s="35"/>
      <c r="F182" s="35"/>
      <c r="G182" s="35"/>
      <c r="H182" s="35"/>
      <c r="I182" s="36"/>
      <c r="J182" s="36"/>
      <c r="L182" s="35"/>
      <c r="M182" s="35"/>
    </row>
    <row r="183" spans="3:13" ht="25.8">
      <c r="C183" s="35"/>
      <c r="D183" s="45" t="s">
        <v>75</v>
      </c>
      <c r="E183" s="35"/>
      <c r="F183" s="35"/>
      <c r="G183" s="35"/>
      <c r="H183" s="35"/>
      <c r="I183" s="36"/>
      <c r="J183" s="36"/>
      <c r="L183" s="35"/>
      <c r="M183" s="35"/>
    </row>
    <row r="184" spans="3:13" ht="25.8">
      <c r="C184" s="35"/>
      <c r="D184" s="45" t="s">
        <v>75</v>
      </c>
      <c r="E184" s="35"/>
      <c r="F184" s="35"/>
      <c r="G184" s="35"/>
      <c r="H184" s="35"/>
      <c r="I184" s="36"/>
      <c r="J184" s="36"/>
      <c r="L184" s="35"/>
      <c r="M184" s="35"/>
    </row>
    <row r="185" spans="3:13" ht="25.8">
      <c r="C185" s="35"/>
      <c r="D185" s="45" t="s">
        <v>75</v>
      </c>
      <c r="E185" s="35"/>
      <c r="F185" s="35"/>
      <c r="G185" s="35"/>
      <c r="H185" s="35"/>
      <c r="I185" s="36"/>
      <c r="J185" s="36"/>
      <c r="L185" s="35"/>
      <c r="M185" s="35"/>
    </row>
    <row r="186" spans="3:13" ht="25.8">
      <c r="C186" s="35"/>
      <c r="D186" s="45" t="s">
        <v>75</v>
      </c>
      <c r="E186" s="35"/>
      <c r="F186" s="35"/>
      <c r="G186" s="35"/>
      <c r="H186" s="35"/>
      <c r="I186" s="36"/>
      <c r="J186" s="36"/>
      <c r="L186" s="35"/>
      <c r="M186" s="35"/>
    </row>
    <row r="187" spans="3:13" ht="25.8">
      <c r="C187" s="35"/>
      <c r="D187" s="45" t="s">
        <v>75</v>
      </c>
      <c r="E187" s="35"/>
      <c r="F187" s="35"/>
      <c r="G187" s="35"/>
      <c r="H187" s="35"/>
      <c r="I187" s="36"/>
      <c r="J187" s="36"/>
      <c r="L187" s="35"/>
      <c r="M187" s="35"/>
    </row>
    <row r="188" spans="3:13" ht="25.8">
      <c r="C188" s="35"/>
      <c r="D188" s="45" t="s">
        <v>75</v>
      </c>
      <c r="E188" s="35"/>
      <c r="F188" s="35"/>
      <c r="G188" s="35"/>
      <c r="H188" s="35"/>
      <c r="I188" s="36"/>
      <c r="J188" s="36"/>
      <c r="L188" s="35"/>
      <c r="M188" s="35"/>
    </row>
    <row r="189" spans="3:13" ht="25.8">
      <c r="C189" s="35"/>
      <c r="D189" s="45" t="s">
        <v>75</v>
      </c>
      <c r="E189" s="35"/>
      <c r="F189" s="35"/>
      <c r="G189" s="35"/>
      <c r="H189" s="35"/>
      <c r="I189" s="36"/>
      <c r="J189" s="36"/>
      <c r="L189" s="35"/>
      <c r="M189" s="35"/>
    </row>
    <row r="190" spans="3:13" ht="25.8">
      <c r="C190" s="35"/>
      <c r="D190" s="45" t="s">
        <v>75</v>
      </c>
      <c r="E190" s="35"/>
      <c r="F190" s="35"/>
      <c r="G190" s="35"/>
      <c r="H190" s="35"/>
      <c r="I190" s="36"/>
      <c r="J190" s="36"/>
      <c r="L190" s="35"/>
      <c r="M190" s="35"/>
    </row>
    <row r="191" spans="3:13" ht="25.8">
      <c r="C191" s="35"/>
      <c r="D191" s="45" t="s">
        <v>75</v>
      </c>
      <c r="E191" s="35"/>
      <c r="F191" s="35"/>
      <c r="G191" s="35"/>
      <c r="H191" s="35"/>
      <c r="I191" s="36"/>
      <c r="J191" s="36"/>
      <c r="L191" s="35"/>
      <c r="M191" s="35"/>
    </row>
    <row r="192" spans="3:13" ht="25.8">
      <c r="C192" s="35"/>
      <c r="D192" s="45" t="s">
        <v>75</v>
      </c>
      <c r="E192" s="35"/>
      <c r="F192" s="35"/>
      <c r="G192" s="35"/>
      <c r="H192" s="35"/>
      <c r="I192" s="36"/>
      <c r="J192" s="36"/>
      <c r="L192" s="35"/>
      <c r="M192" s="35"/>
    </row>
    <row r="193" spans="3:13" ht="25.8">
      <c r="C193" s="35"/>
      <c r="D193" s="45" t="s">
        <v>75</v>
      </c>
      <c r="E193" s="35"/>
      <c r="F193" s="35"/>
      <c r="G193" s="35"/>
      <c r="H193" s="35"/>
      <c r="I193" s="36"/>
      <c r="J193" s="36"/>
      <c r="L193" s="35"/>
      <c r="M193" s="35"/>
    </row>
    <row r="194" spans="3:13" ht="25.8">
      <c r="C194" s="35"/>
      <c r="D194" s="45" t="s">
        <v>75</v>
      </c>
      <c r="E194" s="35"/>
      <c r="F194" s="35"/>
      <c r="G194" s="35"/>
      <c r="H194" s="35"/>
      <c r="I194" s="36"/>
      <c r="J194" s="36"/>
      <c r="L194" s="35"/>
      <c r="M194" s="35"/>
    </row>
    <row r="195" spans="3:13" ht="25.8">
      <c r="C195" s="35"/>
      <c r="D195" s="45" t="s">
        <v>75</v>
      </c>
      <c r="E195" s="35"/>
      <c r="F195" s="35"/>
      <c r="G195" s="35"/>
      <c r="H195" s="35"/>
      <c r="I195" s="36"/>
      <c r="J195" s="36"/>
      <c r="L195" s="35"/>
      <c r="M195" s="35"/>
    </row>
    <row r="196" spans="3:13" ht="25.8">
      <c r="C196" s="35"/>
      <c r="D196" s="45" t="s">
        <v>75</v>
      </c>
      <c r="E196" s="35"/>
      <c r="F196" s="35"/>
      <c r="G196" s="35"/>
      <c r="H196" s="35"/>
      <c r="I196" s="36"/>
      <c r="J196" s="36"/>
      <c r="L196" s="35"/>
      <c r="M196" s="35"/>
    </row>
    <row r="197" spans="3:13" ht="25.8">
      <c r="C197" s="35"/>
      <c r="D197" s="45" t="s">
        <v>75</v>
      </c>
      <c r="E197" s="35"/>
      <c r="F197" s="35"/>
      <c r="G197" s="35"/>
      <c r="H197" s="35"/>
      <c r="I197" s="36"/>
      <c r="J197" s="36"/>
      <c r="L197" s="35"/>
      <c r="M197" s="35"/>
    </row>
    <row r="198" spans="3:13" ht="25.8">
      <c r="C198" s="35"/>
      <c r="D198" s="45" t="s">
        <v>75</v>
      </c>
      <c r="E198" s="35"/>
      <c r="F198" s="35"/>
      <c r="G198" s="35"/>
      <c r="H198" s="35"/>
      <c r="I198" s="36"/>
      <c r="J198" s="36"/>
      <c r="L198" s="35"/>
      <c r="M198" s="35"/>
    </row>
    <row r="199" spans="3:13" ht="25.8">
      <c r="C199" s="35"/>
      <c r="D199" s="45" t="s">
        <v>75</v>
      </c>
      <c r="E199" s="35"/>
      <c r="F199" s="35"/>
      <c r="G199" s="35"/>
      <c r="H199" s="35"/>
      <c r="I199" s="36"/>
      <c r="J199" s="36"/>
      <c r="L199" s="35"/>
      <c r="M199" s="35"/>
    </row>
    <row r="200" spans="3:13" ht="25.8">
      <c r="C200" s="35"/>
      <c r="D200" s="45" t="s">
        <v>75</v>
      </c>
      <c r="E200" s="35"/>
      <c r="F200" s="35"/>
      <c r="G200" s="35"/>
      <c r="H200" s="35"/>
      <c r="I200" s="36"/>
      <c r="J200" s="36"/>
      <c r="L200" s="35"/>
      <c r="M200" s="35"/>
    </row>
    <row r="201" spans="3:13" ht="25.8">
      <c r="C201" s="35"/>
      <c r="D201" s="45" t="s">
        <v>75</v>
      </c>
      <c r="E201" s="35"/>
      <c r="F201" s="35"/>
      <c r="G201" s="35"/>
      <c r="H201" s="35"/>
      <c r="I201" s="36"/>
      <c r="J201" s="36"/>
      <c r="L201" s="35"/>
      <c r="M201" s="35"/>
    </row>
    <row r="202" spans="3:13" ht="25.8">
      <c r="C202" s="35"/>
      <c r="D202" s="45" t="s">
        <v>75</v>
      </c>
      <c r="E202" s="35"/>
      <c r="F202" s="35"/>
      <c r="G202" s="35"/>
      <c r="H202" s="35"/>
      <c r="I202" s="36"/>
      <c r="J202" s="36"/>
      <c r="L202" s="35"/>
      <c r="M202" s="35"/>
    </row>
    <row r="203" spans="3:13" ht="25.8">
      <c r="C203" s="35"/>
      <c r="D203" s="45" t="s">
        <v>75</v>
      </c>
      <c r="E203" s="35"/>
      <c r="F203" s="35"/>
      <c r="G203" s="35"/>
      <c r="H203" s="35"/>
      <c r="I203" s="36"/>
      <c r="J203" s="36"/>
      <c r="L203" s="35"/>
      <c r="M203" s="35"/>
    </row>
    <row r="204" spans="3:13" ht="25.8">
      <c r="C204" s="35"/>
      <c r="D204" s="45" t="s">
        <v>75</v>
      </c>
      <c r="E204" s="35"/>
      <c r="F204" s="35"/>
      <c r="G204" s="35"/>
      <c r="H204" s="35"/>
      <c r="I204" s="36"/>
      <c r="J204" s="36"/>
      <c r="L204" s="35"/>
      <c r="M204" s="35"/>
    </row>
    <row r="205" spans="3:13" ht="25.8">
      <c r="C205" s="35"/>
      <c r="D205" s="45" t="s">
        <v>75</v>
      </c>
      <c r="E205" s="35"/>
      <c r="F205" s="35"/>
      <c r="G205" s="35"/>
      <c r="H205" s="35"/>
      <c r="I205" s="36"/>
      <c r="J205" s="36"/>
      <c r="L205" s="35"/>
      <c r="M205" s="35"/>
    </row>
    <row r="206" spans="3:13" ht="25.8">
      <c r="C206" s="35"/>
      <c r="D206" s="45" t="s">
        <v>75</v>
      </c>
      <c r="E206" s="35"/>
      <c r="F206" s="35"/>
      <c r="G206" s="35"/>
      <c r="H206" s="35"/>
      <c r="I206" s="36"/>
      <c r="J206" s="36"/>
      <c r="L206" s="35"/>
      <c r="M206" s="35"/>
    </row>
    <row r="207" spans="3:13" ht="25.8">
      <c r="C207" s="35"/>
      <c r="D207" s="45" t="s">
        <v>75</v>
      </c>
      <c r="E207" s="35"/>
      <c r="F207" s="35"/>
      <c r="G207" s="35"/>
      <c r="H207" s="35"/>
      <c r="I207" s="36"/>
      <c r="J207" s="36"/>
      <c r="L207" s="35"/>
      <c r="M207" s="35"/>
    </row>
    <row r="208" spans="3:13" ht="25.8">
      <c r="C208" s="35"/>
      <c r="D208" s="45" t="s">
        <v>75</v>
      </c>
      <c r="E208" s="35"/>
      <c r="F208" s="35"/>
      <c r="G208" s="35"/>
      <c r="H208" s="35"/>
      <c r="I208" s="36"/>
      <c r="J208" s="36"/>
      <c r="L208" s="35"/>
      <c r="M208" s="35"/>
    </row>
    <row r="209" spans="3:13" ht="25.8">
      <c r="C209" s="35"/>
      <c r="D209" s="45" t="s">
        <v>75</v>
      </c>
      <c r="E209" s="35"/>
      <c r="F209" s="35"/>
      <c r="G209" s="35"/>
      <c r="H209" s="35"/>
      <c r="I209" s="36"/>
      <c r="J209" s="36"/>
      <c r="L209" s="35"/>
      <c r="M209" s="35"/>
    </row>
    <row r="210" spans="3:13" ht="25.8">
      <c r="C210" s="35"/>
      <c r="D210" s="45" t="s">
        <v>75</v>
      </c>
      <c r="E210" s="35"/>
      <c r="F210" s="35"/>
      <c r="G210" s="35"/>
      <c r="H210" s="35"/>
      <c r="I210" s="36"/>
      <c r="J210" s="36"/>
      <c r="L210" s="35"/>
      <c r="M210" s="35"/>
    </row>
    <row r="211" spans="3:13" ht="25.8">
      <c r="C211" s="35"/>
      <c r="D211" s="45" t="s">
        <v>75</v>
      </c>
      <c r="E211" s="35"/>
      <c r="F211" s="35"/>
      <c r="G211" s="35"/>
      <c r="H211" s="35"/>
      <c r="I211" s="36"/>
      <c r="J211" s="36"/>
      <c r="L211" s="35"/>
      <c r="M211" s="35"/>
    </row>
    <row r="212" spans="3:13" ht="25.8">
      <c r="C212" s="35"/>
      <c r="D212" s="45" t="s">
        <v>75</v>
      </c>
      <c r="E212" s="35"/>
      <c r="F212" s="35"/>
      <c r="G212" s="35"/>
      <c r="H212" s="35"/>
      <c r="I212" s="36"/>
      <c r="J212" s="36"/>
      <c r="L212" s="35"/>
      <c r="M212" s="35"/>
    </row>
    <row r="213" spans="3:13" ht="25.8">
      <c r="C213" s="35"/>
      <c r="D213" s="45" t="s">
        <v>75</v>
      </c>
      <c r="E213" s="35"/>
      <c r="F213" s="35"/>
      <c r="G213" s="35"/>
      <c r="H213" s="35"/>
      <c r="I213" s="36"/>
      <c r="J213" s="36"/>
      <c r="L213" s="35"/>
      <c r="M213" s="35"/>
    </row>
    <row r="214" spans="3:13" ht="25.8">
      <c r="C214" s="35"/>
      <c r="D214" s="45" t="s">
        <v>75</v>
      </c>
      <c r="E214" s="35"/>
      <c r="F214" s="35"/>
      <c r="G214" s="35"/>
      <c r="H214" s="35"/>
      <c r="I214" s="36"/>
      <c r="J214" s="36"/>
      <c r="L214" s="35"/>
      <c r="M214" s="35"/>
    </row>
    <row r="215" spans="3:13" ht="25.8">
      <c r="C215" s="35"/>
      <c r="D215" s="45" t="s">
        <v>75</v>
      </c>
      <c r="E215" s="35"/>
      <c r="F215" s="35"/>
      <c r="G215" s="35"/>
      <c r="H215" s="35"/>
      <c r="I215" s="36"/>
      <c r="J215" s="36"/>
      <c r="L215" s="35"/>
      <c r="M215" s="35"/>
    </row>
    <row r="216" spans="3:13" ht="25.8">
      <c r="C216" s="35"/>
      <c r="D216" s="45" t="s">
        <v>75</v>
      </c>
      <c r="E216" s="35"/>
      <c r="F216" s="35"/>
      <c r="G216" s="35"/>
      <c r="H216" s="35"/>
      <c r="I216" s="36"/>
      <c r="J216" s="36"/>
      <c r="L216" s="35"/>
      <c r="M216" s="35"/>
    </row>
    <row r="217" spans="3:13" ht="25.8">
      <c r="C217" s="35"/>
      <c r="D217" s="45" t="s">
        <v>75</v>
      </c>
      <c r="E217" s="35"/>
      <c r="F217" s="35"/>
      <c r="G217" s="35"/>
      <c r="H217" s="35"/>
      <c r="I217" s="36"/>
      <c r="J217" s="36"/>
      <c r="L217" s="35"/>
      <c r="M217" s="35"/>
    </row>
    <row r="218" spans="3:13" ht="25.8">
      <c r="C218" s="35"/>
      <c r="D218" s="45" t="s">
        <v>75</v>
      </c>
      <c r="E218" s="35"/>
      <c r="F218" s="35"/>
      <c r="G218" s="35"/>
      <c r="H218" s="35"/>
      <c r="I218" s="36"/>
      <c r="J218" s="36"/>
      <c r="L218" s="35"/>
      <c r="M218" s="35"/>
    </row>
    <row r="219" spans="3:13" ht="25.8">
      <c r="C219" s="35"/>
      <c r="D219" s="45" t="s">
        <v>75</v>
      </c>
      <c r="E219" s="35"/>
      <c r="F219" s="35"/>
      <c r="G219" s="35"/>
      <c r="H219" s="35"/>
      <c r="I219" s="36"/>
      <c r="J219" s="36"/>
      <c r="L219" s="35"/>
      <c r="M219" s="35"/>
    </row>
    <row r="220" spans="3:13" ht="25.8">
      <c r="C220" s="35"/>
      <c r="D220" s="45" t="s">
        <v>75</v>
      </c>
      <c r="E220" s="35"/>
      <c r="F220" s="35"/>
      <c r="G220" s="35"/>
      <c r="H220" s="35"/>
      <c r="I220" s="36"/>
      <c r="J220" s="36"/>
      <c r="L220" s="35"/>
      <c r="M220" s="35"/>
    </row>
    <row r="221" spans="3:13" ht="25.8">
      <c r="C221" s="35"/>
      <c r="D221" s="45" t="s">
        <v>75</v>
      </c>
      <c r="E221" s="35"/>
      <c r="F221" s="35"/>
      <c r="G221" s="35"/>
      <c r="H221" s="35"/>
      <c r="I221" s="36"/>
      <c r="J221" s="36"/>
      <c r="L221" s="35"/>
      <c r="M221" s="35"/>
    </row>
    <row r="222" spans="3:13" ht="25.8">
      <c r="C222" s="35"/>
      <c r="D222" s="45" t="s">
        <v>75</v>
      </c>
      <c r="E222" s="35"/>
      <c r="F222" s="35"/>
      <c r="G222" s="35"/>
      <c r="H222" s="35"/>
      <c r="I222" s="36"/>
      <c r="J222" s="36"/>
      <c r="L222" s="35"/>
      <c r="M222" s="35"/>
    </row>
    <row r="223" spans="3:13" ht="25.8">
      <c r="C223" s="35"/>
      <c r="D223" s="45" t="s">
        <v>75</v>
      </c>
      <c r="E223" s="35"/>
      <c r="F223" s="35"/>
      <c r="G223" s="35"/>
      <c r="H223" s="35"/>
      <c r="I223" s="36"/>
      <c r="J223" s="36"/>
      <c r="L223" s="35"/>
      <c r="M223" s="35"/>
    </row>
    <row r="224" spans="3:13" ht="25.8">
      <c r="C224" s="35"/>
      <c r="D224" s="45" t="s">
        <v>75</v>
      </c>
      <c r="E224" s="35"/>
      <c r="F224" s="35"/>
      <c r="G224" s="35"/>
      <c r="H224" s="35"/>
      <c r="I224" s="36"/>
      <c r="J224" s="36"/>
      <c r="L224" s="35"/>
      <c r="M224" s="35"/>
    </row>
    <row r="225" spans="3:13" ht="25.8">
      <c r="C225" s="35"/>
      <c r="D225" s="45" t="s">
        <v>75</v>
      </c>
      <c r="E225" s="35"/>
      <c r="F225" s="35"/>
      <c r="G225" s="35"/>
      <c r="H225" s="35"/>
      <c r="I225" s="36"/>
      <c r="J225" s="36"/>
      <c r="L225" s="35"/>
      <c r="M225" s="35"/>
    </row>
    <row r="226" spans="3:13" ht="25.8">
      <c r="C226" s="35"/>
      <c r="D226" s="45" t="s">
        <v>75</v>
      </c>
      <c r="E226" s="35"/>
      <c r="F226" s="35"/>
      <c r="G226" s="35"/>
      <c r="H226" s="35"/>
      <c r="I226" s="36"/>
      <c r="J226" s="36"/>
      <c r="L226" s="35"/>
      <c r="M226" s="35"/>
    </row>
    <row r="227" spans="3:13" ht="25.8">
      <c r="C227" s="35"/>
      <c r="D227" s="45" t="s">
        <v>75</v>
      </c>
      <c r="E227" s="35"/>
      <c r="F227" s="35"/>
      <c r="G227" s="35"/>
      <c r="H227" s="35"/>
      <c r="I227" s="36"/>
      <c r="J227" s="36"/>
      <c r="L227" s="35"/>
      <c r="M227" s="35"/>
    </row>
    <row r="228" spans="3:13" ht="25.8">
      <c r="C228" s="35"/>
      <c r="D228" s="45" t="s">
        <v>75</v>
      </c>
      <c r="E228" s="35"/>
      <c r="F228" s="35"/>
      <c r="G228" s="35"/>
      <c r="H228" s="35"/>
      <c r="I228" s="36"/>
      <c r="J228" s="36"/>
      <c r="L228" s="35"/>
      <c r="M228" s="35"/>
    </row>
    <row r="229" spans="3:13" ht="25.8">
      <c r="C229" s="35"/>
      <c r="D229" s="45" t="s">
        <v>75</v>
      </c>
      <c r="E229" s="35"/>
      <c r="F229" s="35"/>
      <c r="G229" s="35"/>
      <c r="H229" s="35"/>
      <c r="I229" s="36"/>
      <c r="J229" s="36"/>
      <c r="L229" s="35"/>
      <c r="M229" s="35"/>
    </row>
    <row r="230" spans="3:13" ht="25.8">
      <c r="C230" s="35"/>
      <c r="D230" s="45" t="s">
        <v>75</v>
      </c>
      <c r="E230" s="35"/>
      <c r="F230" s="35"/>
      <c r="G230" s="35"/>
      <c r="H230" s="35"/>
      <c r="I230" s="36"/>
      <c r="J230" s="36"/>
      <c r="L230" s="35"/>
      <c r="M230" s="35"/>
    </row>
    <row r="231" spans="3:13" ht="25.8">
      <c r="C231" s="35"/>
      <c r="D231" s="45" t="s">
        <v>75</v>
      </c>
      <c r="E231" s="35"/>
      <c r="F231" s="35"/>
      <c r="G231" s="35"/>
      <c r="H231" s="35"/>
      <c r="I231" s="36"/>
      <c r="J231" s="36"/>
      <c r="L231" s="35"/>
      <c r="M231" s="35"/>
    </row>
    <row r="232" spans="3:13" ht="25.8">
      <c r="C232" s="35"/>
      <c r="D232" s="45" t="s">
        <v>75</v>
      </c>
      <c r="E232" s="35"/>
      <c r="F232" s="35"/>
      <c r="G232" s="35"/>
      <c r="H232" s="35"/>
      <c r="I232" s="36"/>
      <c r="J232" s="36"/>
      <c r="L232" s="35"/>
      <c r="M232" s="35"/>
    </row>
    <row r="233" spans="3:13" ht="25.8">
      <c r="C233" s="35"/>
      <c r="D233" s="45" t="s">
        <v>75</v>
      </c>
      <c r="E233" s="35"/>
      <c r="F233" s="35"/>
      <c r="G233" s="35"/>
      <c r="H233" s="35"/>
      <c r="I233" s="36"/>
      <c r="J233" s="36"/>
      <c r="L233" s="35"/>
      <c r="M233" s="35"/>
    </row>
    <row r="234" spans="3:13" ht="25.8">
      <c r="C234" s="35"/>
      <c r="D234" s="45" t="s">
        <v>75</v>
      </c>
      <c r="E234" s="35"/>
      <c r="F234" s="35"/>
      <c r="G234" s="35"/>
      <c r="H234" s="35"/>
      <c r="I234" s="36"/>
      <c r="J234" s="36"/>
      <c r="L234" s="35"/>
      <c r="M234" s="35"/>
    </row>
    <row r="235" spans="3:13" ht="25.8">
      <c r="C235" s="35"/>
      <c r="D235" s="45" t="s">
        <v>75</v>
      </c>
      <c r="E235" s="35"/>
      <c r="F235" s="35"/>
      <c r="G235" s="35"/>
      <c r="H235" s="35"/>
      <c r="I235" s="36"/>
      <c r="J235" s="36"/>
      <c r="L235" s="35"/>
      <c r="M235" s="35"/>
    </row>
    <row r="236" spans="3:13" ht="25.8">
      <c r="C236" s="35"/>
      <c r="D236" s="45" t="s">
        <v>75</v>
      </c>
      <c r="E236" s="35"/>
      <c r="F236" s="35"/>
      <c r="G236" s="35"/>
      <c r="H236" s="35"/>
      <c r="I236" s="36"/>
      <c r="J236" s="36"/>
      <c r="L236" s="35"/>
      <c r="M236" s="35"/>
    </row>
    <row r="237" spans="3:13" ht="25.8">
      <c r="C237" s="35"/>
      <c r="D237" s="45" t="s">
        <v>75</v>
      </c>
      <c r="E237" s="35"/>
      <c r="F237" s="35"/>
      <c r="G237" s="35"/>
      <c r="H237" s="35"/>
      <c r="I237" s="36"/>
      <c r="J237" s="36"/>
      <c r="L237" s="35"/>
      <c r="M237" s="35"/>
    </row>
    <row r="238" spans="3:13" ht="25.8">
      <c r="C238" s="35"/>
      <c r="D238" s="45" t="s">
        <v>75</v>
      </c>
      <c r="E238" s="35"/>
      <c r="F238" s="35"/>
      <c r="G238" s="35"/>
      <c r="H238" s="35"/>
      <c r="I238" s="36"/>
      <c r="J238" s="36"/>
      <c r="L238" s="35"/>
      <c r="M238" s="35"/>
    </row>
    <row r="239" spans="3:13" ht="25.8">
      <c r="C239" s="35"/>
      <c r="D239" s="45" t="s">
        <v>75</v>
      </c>
      <c r="E239" s="35"/>
      <c r="F239" s="35"/>
      <c r="G239" s="35"/>
      <c r="H239" s="35"/>
      <c r="I239" s="36"/>
      <c r="J239" s="36"/>
      <c r="L239" s="35"/>
      <c r="M239" s="35"/>
    </row>
    <row r="240" spans="3:13" ht="25.8">
      <c r="C240" s="35"/>
      <c r="D240" s="45" t="s">
        <v>75</v>
      </c>
      <c r="E240" s="35"/>
      <c r="F240" s="35"/>
      <c r="G240" s="35"/>
      <c r="H240" s="35"/>
      <c r="I240" s="36"/>
      <c r="J240" s="36"/>
      <c r="L240" s="35"/>
      <c r="M240" s="35"/>
    </row>
    <row r="241" spans="3:13" ht="25.8">
      <c r="C241" s="35"/>
      <c r="D241" s="45" t="s">
        <v>75</v>
      </c>
      <c r="E241" s="35"/>
      <c r="F241" s="35"/>
      <c r="G241" s="35"/>
      <c r="H241" s="35"/>
      <c r="I241" s="36"/>
      <c r="J241" s="36"/>
      <c r="L241" s="35"/>
      <c r="M241" s="35"/>
    </row>
    <row r="242" spans="3:13" ht="25.8">
      <c r="C242" s="35"/>
      <c r="D242" s="45" t="s">
        <v>75</v>
      </c>
      <c r="E242" s="35"/>
      <c r="F242" s="35"/>
      <c r="G242" s="35"/>
      <c r="H242" s="35"/>
      <c r="I242" s="36"/>
      <c r="J242" s="36"/>
      <c r="L242" s="35"/>
      <c r="M242" s="35"/>
    </row>
    <row r="243" spans="3:13" ht="25.8">
      <c r="C243" s="35"/>
      <c r="D243" s="45" t="s">
        <v>75</v>
      </c>
      <c r="E243" s="35"/>
      <c r="F243" s="35"/>
      <c r="G243" s="35"/>
      <c r="H243" s="35"/>
      <c r="I243" s="36"/>
      <c r="J243" s="36"/>
      <c r="L243" s="35"/>
      <c r="M243" s="35"/>
    </row>
    <row r="244" spans="3:13" ht="25.8">
      <c r="C244" s="35"/>
      <c r="D244" s="45" t="s">
        <v>75</v>
      </c>
      <c r="E244" s="35"/>
      <c r="F244" s="35"/>
      <c r="G244" s="35"/>
      <c r="H244" s="35"/>
      <c r="I244" s="36"/>
      <c r="J244" s="36"/>
      <c r="L244" s="35"/>
      <c r="M244" s="35"/>
    </row>
    <row r="245" spans="3:13" ht="25.8">
      <c r="C245" s="35"/>
      <c r="D245" s="45" t="s">
        <v>75</v>
      </c>
      <c r="E245" s="35"/>
      <c r="F245" s="35"/>
      <c r="G245" s="35"/>
      <c r="H245" s="35"/>
      <c r="I245" s="36"/>
      <c r="J245" s="36"/>
      <c r="L245" s="35"/>
      <c r="M245" s="35"/>
    </row>
    <row r="246" spans="3:13" ht="25.8">
      <c r="C246" s="35"/>
      <c r="D246" s="45" t="s">
        <v>75</v>
      </c>
      <c r="E246" s="35"/>
      <c r="F246" s="35"/>
      <c r="G246" s="35"/>
      <c r="H246" s="35"/>
      <c r="I246" s="36"/>
      <c r="J246" s="36"/>
      <c r="L246" s="35"/>
      <c r="M246" s="35"/>
    </row>
    <row r="247" spans="3:13" ht="25.8">
      <c r="C247" s="35"/>
      <c r="D247" s="45" t="s">
        <v>75</v>
      </c>
      <c r="E247" s="35"/>
      <c r="F247" s="35"/>
      <c r="G247" s="35"/>
      <c r="H247" s="35"/>
      <c r="I247" s="36"/>
      <c r="J247" s="36"/>
      <c r="L247" s="35"/>
      <c r="M247" s="35"/>
    </row>
    <row r="248" spans="3:13" ht="25.8">
      <c r="C248" s="35"/>
      <c r="D248" s="45" t="s">
        <v>75</v>
      </c>
      <c r="E248" s="35"/>
      <c r="F248" s="35"/>
      <c r="G248" s="35"/>
      <c r="H248" s="35"/>
      <c r="I248" s="36"/>
      <c r="J248" s="36"/>
      <c r="L248" s="35"/>
      <c r="M248" s="35"/>
    </row>
    <row r="249" spans="3:13" ht="25.8">
      <c r="C249" s="35"/>
      <c r="D249" s="45" t="s">
        <v>75</v>
      </c>
      <c r="E249" s="35"/>
      <c r="F249" s="35"/>
      <c r="G249" s="35"/>
      <c r="H249" s="35"/>
      <c r="I249" s="36"/>
      <c r="J249" s="36"/>
      <c r="L249" s="35"/>
      <c r="M249" s="35"/>
    </row>
    <row r="250" spans="3:13" ht="25.8">
      <c r="C250" s="35"/>
      <c r="D250" s="45" t="s">
        <v>75</v>
      </c>
      <c r="E250" s="35"/>
      <c r="F250" s="35"/>
      <c r="G250" s="35"/>
      <c r="H250" s="35"/>
      <c r="I250" s="36"/>
      <c r="J250" s="36"/>
      <c r="L250" s="35"/>
      <c r="M250" s="35"/>
    </row>
    <row r="251" spans="3:13" ht="25.8">
      <c r="C251" s="35"/>
      <c r="D251" s="45" t="s">
        <v>75</v>
      </c>
      <c r="E251" s="35"/>
      <c r="F251" s="35"/>
      <c r="G251" s="35"/>
      <c r="H251" s="35"/>
      <c r="I251" s="36"/>
      <c r="J251" s="36"/>
      <c r="L251" s="35"/>
      <c r="M251" s="35"/>
    </row>
    <row r="252" spans="3:13" ht="25.8">
      <c r="C252" s="35"/>
      <c r="D252" s="45" t="s">
        <v>75</v>
      </c>
      <c r="E252" s="35"/>
      <c r="F252" s="35"/>
      <c r="G252" s="35"/>
      <c r="H252" s="35"/>
      <c r="I252" s="36"/>
      <c r="J252" s="36"/>
      <c r="L252" s="35"/>
      <c r="M252" s="35"/>
    </row>
    <row r="253" spans="3:13" ht="25.8">
      <c r="C253" s="35"/>
      <c r="D253" s="45" t="s">
        <v>75</v>
      </c>
      <c r="E253" s="35"/>
      <c r="F253" s="35"/>
      <c r="G253" s="35"/>
      <c r="H253" s="35"/>
      <c r="I253" s="36"/>
      <c r="J253" s="36"/>
      <c r="L253" s="35"/>
      <c r="M253" s="35"/>
    </row>
    <row r="254" spans="3:13" ht="25.8">
      <c r="C254" s="35"/>
      <c r="D254" s="45" t="s">
        <v>75</v>
      </c>
      <c r="E254" s="35"/>
      <c r="F254" s="35"/>
      <c r="G254" s="35"/>
      <c r="H254" s="35"/>
      <c r="I254" s="36"/>
      <c r="J254" s="36"/>
      <c r="L254" s="35"/>
      <c r="M254" s="35"/>
    </row>
    <row r="255" spans="3:13" ht="25.8">
      <c r="C255" s="35"/>
      <c r="D255" s="45" t="s">
        <v>75</v>
      </c>
      <c r="E255" s="35"/>
      <c r="F255" s="35"/>
      <c r="G255" s="35"/>
      <c r="H255" s="35"/>
      <c r="I255" s="36"/>
      <c r="J255" s="36"/>
      <c r="L255" s="35"/>
      <c r="M255" s="35"/>
    </row>
    <row r="256" spans="3:13" ht="25.8">
      <c r="C256" s="35"/>
      <c r="D256" s="45" t="s">
        <v>75</v>
      </c>
      <c r="E256" s="35"/>
      <c r="F256" s="35"/>
      <c r="G256" s="35"/>
      <c r="H256" s="35"/>
      <c r="I256" s="36"/>
      <c r="J256" s="36"/>
      <c r="L256" s="35"/>
      <c r="M256" s="35"/>
    </row>
    <row r="257" spans="3:13" ht="25.8">
      <c r="C257" s="35"/>
      <c r="D257" s="45" t="s">
        <v>75</v>
      </c>
      <c r="E257" s="35"/>
      <c r="F257" s="35"/>
      <c r="G257" s="35"/>
      <c r="H257" s="35"/>
      <c r="I257" s="36"/>
      <c r="J257" s="36"/>
      <c r="L257" s="35"/>
      <c r="M257" s="35"/>
    </row>
    <row r="258" spans="3:13" ht="25.8">
      <c r="C258" s="35"/>
      <c r="D258" s="45" t="s">
        <v>75</v>
      </c>
      <c r="E258" s="35"/>
      <c r="F258" s="35"/>
      <c r="G258" s="35"/>
      <c r="H258" s="35"/>
      <c r="I258" s="36"/>
      <c r="J258" s="36"/>
      <c r="L258" s="35"/>
      <c r="M258" s="35"/>
    </row>
    <row r="259" spans="3:13" ht="25.8">
      <c r="C259" s="35"/>
      <c r="D259" s="45" t="s">
        <v>75</v>
      </c>
      <c r="E259" s="35"/>
      <c r="F259" s="35"/>
      <c r="G259" s="35"/>
      <c r="H259" s="35"/>
      <c r="I259" s="36"/>
      <c r="J259" s="36"/>
      <c r="L259" s="35"/>
      <c r="M259" s="35"/>
    </row>
    <row r="260" spans="3:13" ht="25.8">
      <c r="C260" s="35"/>
      <c r="D260" s="45" t="s">
        <v>75</v>
      </c>
      <c r="E260" s="35"/>
      <c r="F260" s="35"/>
      <c r="G260" s="35"/>
      <c r="H260" s="35"/>
      <c r="I260" s="36"/>
      <c r="J260" s="36"/>
      <c r="L260" s="35"/>
      <c r="M260" s="35"/>
    </row>
    <row r="261" spans="3:13" ht="25.8">
      <c r="C261" s="35"/>
      <c r="D261" s="45" t="s">
        <v>75</v>
      </c>
      <c r="E261" s="35"/>
      <c r="F261" s="35"/>
      <c r="G261" s="35"/>
      <c r="H261" s="35"/>
      <c r="I261" s="36"/>
      <c r="J261" s="36"/>
      <c r="L261" s="35"/>
      <c r="M261" s="35"/>
    </row>
    <row r="262" spans="3:13" ht="25.8">
      <c r="C262" s="35"/>
      <c r="D262" s="45" t="s">
        <v>75</v>
      </c>
      <c r="E262" s="35"/>
      <c r="F262" s="35"/>
      <c r="G262" s="35"/>
      <c r="H262" s="35"/>
      <c r="I262" s="36"/>
      <c r="J262" s="36"/>
      <c r="L262" s="35"/>
      <c r="M262" s="35"/>
    </row>
    <row r="263" spans="3:13" ht="25.8">
      <c r="C263" s="35"/>
      <c r="D263" s="45" t="s">
        <v>75</v>
      </c>
      <c r="E263" s="35"/>
      <c r="F263" s="35"/>
      <c r="G263" s="35"/>
      <c r="H263" s="35"/>
      <c r="I263" s="36"/>
      <c r="J263" s="36"/>
      <c r="L263" s="35"/>
      <c r="M263" s="35"/>
    </row>
    <row r="264" spans="3:13" ht="25.8">
      <c r="C264" s="35"/>
      <c r="D264" s="45" t="s">
        <v>75</v>
      </c>
      <c r="E264" s="35"/>
      <c r="F264" s="35"/>
      <c r="G264" s="35"/>
      <c r="H264" s="35"/>
      <c r="I264" s="36"/>
      <c r="J264" s="36"/>
      <c r="L264" s="35"/>
      <c r="M264" s="35"/>
    </row>
    <row r="265" spans="3:13" ht="25.8">
      <c r="C265" s="35"/>
      <c r="D265" s="45" t="s">
        <v>75</v>
      </c>
      <c r="E265" s="35"/>
      <c r="F265" s="35"/>
      <c r="G265" s="35"/>
      <c r="H265" s="35"/>
      <c r="I265" s="36"/>
      <c r="J265" s="36"/>
      <c r="L265" s="35"/>
      <c r="M265" s="35"/>
    </row>
    <row r="266" spans="3:13" ht="25.8">
      <c r="C266" s="35"/>
      <c r="D266" s="45" t="s">
        <v>75</v>
      </c>
      <c r="E266" s="35"/>
      <c r="F266" s="35"/>
      <c r="G266" s="35"/>
      <c r="H266" s="35"/>
      <c r="I266" s="36"/>
      <c r="J266" s="36"/>
      <c r="L266" s="35"/>
      <c r="M266" s="35"/>
    </row>
    <row r="267" spans="3:13" ht="25.8">
      <c r="C267" s="35"/>
      <c r="D267" s="45" t="s">
        <v>75</v>
      </c>
      <c r="E267" s="35"/>
      <c r="F267" s="35"/>
      <c r="G267" s="35"/>
      <c r="H267" s="35"/>
      <c r="I267" s="36"/>
      <c r="J267" s="36"/>
      <c r="L267" s="35"/>
      <c r="M267" s="35"/>
    </row>
    <row r="268" spans="3:13" ht="25.8">
      <c r="C268" s="35"/>
      <c r="D268" s="45" t="s">
        <v>75</v>
      </c>
      <c r="E268" s="35"/>
      <c r="F268" s="35"/>
      <c r="G268" s="35"/>
      <c r="H268" s="35"/>
      <c r="I268" s="36"/>
      <c r="J268" s="36"/>
      <c r="L268" s="35"/>
      <c r="M268" s="35"/>
    </row>
    <row r="269" spans="3:13" ht="25.8">
      <c r="C269" s="35"/>
      <c r="D269" s="45" t="s">
        <v>75</v>
      </c>
      <c r="E269" s="35"/>
      <c r="F269" s="35"/>
      <c r="G269" s="35"/>
      <c r="H269" s="35"/>
      <c r="I269" s="36"/>
      <c r="J269" s="36"/>
      <c r="L269" s="35"/>
      <c r="M269" s="35"/>
    </row>
    <row r="270" spans="3:13" ht="25.8">
      <c r="C270" s="35"/>
      <c r="D270" s="45" t="s">
        <v>75</v>
      </c>
      <c r="E270" s="35"/>
      <c r="F270" s="35"/>
      <c r="G270" s="35"/>
      <c r="H270" s="35"/>
      <c r="I270" s="36"/>
      <c r="J270" s="36"/>
      <c r="L270" s="35"/>
      <c r="M270" s="35"/>
    </row>
    <row r="271" spans="3:13" ht="25.8">
      <c r="C271" s="35"/>
      <c r="D271" s="45" t="s">
        <v>75</v>
      </c>
      <c r="E271" s="35"/>
      <c r="F271" s="35"/>
      <c r="G271" s="35"/>
      <c r="H271" s="35"/>
      <c r="I271" s="36"/>
      <c r="J271" s="36"/>
      <c r="L271" s="35"/>
      <c r="M271" s="35"/>
    </row>
    <row r="272" spans="3:13" ht="25.8">
      <c r="C272" s="35"/>
      <c r="D272" s="45" t="s">
        <v>75</v>
      </c>
      <c r="E272" s="35"/>
      <c r="F272" s="35"/>
      <c r="G272" s="35"/>
      <c r="H272" s="35"/>
      <c r="I272" s="36"/>
      <c r="J272" s="36"/>
      <c r="L272" s="35"/>
      <c r="M272" s="35"/>
    </row>
    <row r="273" spans="3:13" ht="25.8">
      <c r="C273" s="35"/>
      <c r="D273" s="45" t="s">
        <v>75</v>
      </c>
      <c r="E273" s="35"/>
      <c r="F273" s="35"/>
      <c r="G273" s="35"/>
      <c r="H273" s="35"/>
      <c r="I273" s="36"/>
      <c r="J273" s="36"/>
      <c r="L273" s="35"/>
      <c r="M273" s="35"/>
    </row>
    <row r="274" spans="3:13" ht="25.8">
      <c r="C274" s="35"/>
      <c r="D274" s="45" t="s">
        <v>75</v>
      </c>
      <c r="E274" s="35"/>
      <c r="F274" s="35"/>
      <c r="G274" s="35"/>
      <c r="H274" s="35"/>
      <c r="I274" s="36"/>
      <c r="J274" s="36"/>
      <c r="L274" s="35"/>
      <c r="M274" s="35"/>
    </row>
    <row r="275" spans="3:13" ht="25.8">
      <c r="C275" s="35"/>
      <c r="D275" s="45" t="s">
        <v>75</v>
      </c>
      <c r="E275" s="35"/>
      <c r="F275" s="35"/>
      <c r="G275" s="35"/>
      <c r="H275" s="35"/>
      <c r="I275" s="36"/>
      <c r="J275" s="36"/>
      <c r="L275" s="35"/>
      <c r="M275" s="35"/>
    </row>
    <row r="276" spans="3:13" ht="25.8">
      <c r="C276" s="35"/>
      <c r="D276" s="45" t="s">
        <v>75</v>
      </c>
      <c r="E276" s="35"/>
      <c r="F276" s="35"/>
      <c r="G276" s="35"/>
      <c r="H276" s="35"/>
      <c r="I276" s="36"/>
      <c r="J276" s="36"/>
      <c r="L276" s="35"/>
      <c r="M276" s="35"/>
    </row>
    <row r="277" spans="3:13" ht="25.8">
      <c r="C277" s="35"/>
      <c r="D277" s="45" t="s">
        <v>75</v>
      </c>
      <c r="E277" s="35"/>
      <c r="F277" s="35"/>
      <c r="G277" s="35"/>
      <c r="H277" s="35"/>
      <c r="I277" s="36"/>
      <c r="J277" s="36"/>
      <c r="L277" s="35"/>
      <c r="M277" s="35"/>
    </row>
    <row r="278" spans="3:13" ht="25.8">
      <c r="C278" s="35"/>
      <c r="D278" s="45" t="s">
        <v>75</v>
      </c>
      <c r="E278" s="35"/>
      <c r="F278" s="35"/>
      <c r="G278" s="35"/>
      <c r="H278" s="35"/>
      <c r="I278" s="36"/>
      <c r="J278" s="36"/>
      <c r="L278" s="35"/>
      <c r="M278" s="35"/>
    </row>
    <row r="279" spans="3:13" ht="25.8">
      <c r="C279" s="35"/>
      <c r="D279" s="45" t="s">
        <v>75</v>
      </c>
      <c r="E279" s="35"/>
      <c r="F279" s="35"/>
      <c r="G279" s="35"/>
      <c r="H279" s="35"/>
      <c r="I279" s="36"/>
      <c r="J279" s="36"/>
      <c r="L279" s="35"/>
      <c r="M279" s="35"/>
    </row>
    <row r="280" spans="3:13" ht="25.8">
      <c r="C280" s="35"/>
      <c r="D280" s="45" t="s">
        <v>75</v>
      </c>
      <c r="E280" s="35"/>
      <c r="F280" s="35"/>
      <c r="G280" s="35"/>
      <c r="H280" s="35"/>
      <c r="I280" s="36"/>
      <c r="J280" s="36"/>
      <c r="L280" s="35"/>
      <c r="M280" s="35"/>
    </row>
    <row r="281" spans="3:13" ht="25.8">
      <c r="C281" s="35"/>
      <c r="D281" s="45" t="s">
        <v>75</v>
      </c>
      <c r="E281" s="35"/>
      <c r="F281" s="35"/>
      <c r="G281" s="35"/>
      <c r="H281" s="35"/>
      <c r="I281" s="36"/>
      <c r="J281" s="36"/>
      <c r="L281" s="35"/>
      <c r="M281" s="35"/>
    </row>
    <row r="282" spans="3:13" ht="25.8">
      <c r="C282" s="35"/>
      <c r="D282" s="45" t="s">
        <v>75</v>
      </c>
      <c r="E282" s="35"/>
      <c r="F282" s="35"/>
      <c r="G282" s="35"/>
      <c r="H282" s="35"/>
      <c r="I282" s="36"/>
      <c r="J282" s="36"/>
      <c r="L282" s="35"/>
      <c r="M282" s="35"/>
    </row>
    <row r="283" spans="3:13" ht="25.8">
      <c r="C283" s="35"/>
      <c r="D283" s="45" t="s">
        <v>75</v>
      </c>
      <c r="E283" s="35"/>
      <c r="F283" s="35"/>
      <c r="G283" s="35"/>
      <c r="H283" s="35"/>
      <c r="I283" s="36"/>
      <c r="J283" s="36"/>
      <c r="L283" s="35"/>
      <c r="M283" s="35"/>
    </row>
    <row r="284" spans="3:13" ht="25.8">
      <c r="C284" s="35"/>
      <c r="D284" s="45" t="s">
        <v>75</v>
      </c>
      <c r="E284" s="35"/>
      <c r="F284" s="35"/>
      <c r="G284" s="35"/>
      <c r="H284" s="35"/>
      <c r="I284" s="36"/>
      <c r="J284" s="36"/>
      <c r="L284" s="35"/>
      <c r="M284" s="35"/>
    </row>
    <row r="285" spans="3:13" ht="25.8">
      <c r="C285" s="35"/>
      <c r="D285" s="45" t="s">
        <v>75</v>
      </c>
      <c r="E285" s="35"/>
      <c r="F285" s="35"/>
      <c r="G285" s="35"/>
      <c r="H285" s="35"/>
      <c r="I285" s="36"/>
      <c r="J285" s="36"/>
      <c r="L285" s="35"/>
      <c r="M285" s="35"/>
    </row>
    <row r="286" spans="3:13" ht="25.8">
      <c r="C286" s="35"/>
      <c r="D286" s="45" t="s">
        <v>75</v>
      </c>
      <c r="E286" s="35"/>
      <c r="F286" s="35"/>
      <c r="G286" s="35"/>
      <c r="H286" s="35"/>
      <c r="I286" s="36"/>
      <c r="J286" s="36"/>
      <c r="L286" s="35"/>
      <c r="M286" s="35"/>
    </row>
    <row r="287" spans="3:13" ht="25.8">
      <c r="C287" s="35"/>
      <c r="D287" s="45" t="s">
        <v>75</v>
      </c>
      <c r="E287" s="35"/>
      <c r="F287" s="35"/>
      <c r="G287" s="35"/>
      <c r="H287" s="35"/>
      <c r="I287" s="36"/>
      <c r="J287" s="36"/>
      <c r="L287" s="35"/>
      <c r="M287" s="35"/>
    </row>
    <row r="288" spans="3:13" ht="25.8">
      <c r="C288" s="35"/>
      <c r="D288" s="45" t="s">
        <v>75</v>
      </c>
      <c r="E288" s="35"/>
      <c r="F288" s="35"/>
      <c r="G288" s="35"/>
      <c r="H288" s="35"/>
      <c r="I288" s="36"/>
      <c r="J288" s="36"/>
      <c r="L288" s="35"/>
      <c r="M288" s="35"/>
    </row>
    <row r="289" spans="3:13" ht="25.8">
      <c r="C289" s="35"/>
      <c r="D289" s="45" t="s">
        <v>75</v>
      </c>
      <c r="E289" s="35"/>
      <c r="F289" s="35"/>
      <c r="G289" s="35"/>
      <c r="H289" s="35"/>
      <c r="I289" s="36"/>
      <c r="J289" s="36"/>
      <c r="L289" s="35"/>
      <c r="M289" s="35"/>
    </row>
    <row r="290" spans="3:13" ht="25.8">
      <c r="C290" s="35"/>
      <c r="D290" s="45" t="s">
        <v>75</v>
      </c>
      <c r="E290" s="35"/>
      <c r="F290" s="35"/>
      <c r="G290" s="35"/>
      <c r="H290" s="35"/>
      <c r="I290" s="36"/>
      <c r="J290" s="36"/>
      <c r="L290" s="35"/>
      <c r="M290" s="35"/>
    </row>
    <row r="291" spans="3:13" ht="25.8">
      <c r="C291" s="35"/>
      <c r="D291" s="45" t="s">
        <v>75</v>
      </c>
      <c r="E291" s="35"/>
      <c r="F291" s="35"/>
      <c r="G291" s="35"/>
      <c r="H291" s="35"/>
      <c r="I291" s="36"/>
      <c r="J291" s="36"/>
      <c r="L291" s="35"/>
      <c r="M291" s="35"/>
    </row>
    <row r="292" spans="3:13" ht="25.8">
      <c r="C292" s="35"/>
      <c r="D292" s="45" t="s">
        <v>75</v>
      </c>
      <c r="E292" s="35"/>
      <c r="F292" s="35"/>
      <c r="G292" s="35"/>
      <c r="H292" s="35"/>
      <c r="I292" s="36"/>
      <c r="J292" s="36"/>
      <c r="L292" s="35"/>
      <c r="M292" s="35"/>
    </row>
    <row r="293" spans="3:13" ht="25.8">
      <c r="C293" s="35"/>
      <c r="D293" s="45" t="s">
        <v>75</v>
      </c>
      <c r="E293" s="35"/>
      <c r="F293" s="35"/>
      <c r="G293" s="35"/>
      <c r="H293" s="35"/>
      <c r="I293" s="36"/>
      <c r="J293" s="36"/>
      <c r="L293" s="35"/>
      <c r="M293" s="35"/>
    </row>
    <row r="294" spans="3:13" ht="25.8">
      <c r="C294" s="35"/>
      <c r="D294" s="45" t="s">
        <v>75</v>
      </c>
      <c r="E294" s="35"/>
      <c r="F294" s="35"/>
      <c r="G294" s="35"/>
      <c r="H294" s="35"/>
      <c r="I294" s="36"/>
      <c r="J294" s="36"/>
      <c r="L294" s="35"/>
      <c r="M294" s="35"/>
    </row>
    <row r="295" spans="3:13" ht="25.8">
      <c r="C295" s="35"/>
      <c r="D295" s="45" t="s">
        <v>75</v>
      </c>
      <c r="E295" s="35"/>
      <c r="F295" s="35"/>
      <c r="G295" s="35"/>
      <c r="H295" s="35"/>
      <c r="I295" s="36"/>
      <c r="J295" s="36"/>
      <c r="L295" s="35"/>
      <c r="M295" s="35"/>
    </row>
    <row r="296" spans="3:13" ht="25.8">
      <c r="C296" s="35"/>
      <c r="D296" s="45" t="s">
        <v>75</v>
      </c>
      <c r="E296" s="35"/>
      <c r="F296" s="35"/>
      <c r="G296" s="35"/>
      <c r="H296" s="35"/>
      <c r="I296" s="36"/>
      <c r="J296" s="36"/>
      <c r="L296" s="35"/>
      <c r="M296" s="35"/>
    </row>
    <row r="297" spans="3:13" ht="25.8">
      <c r="C297" s="35"/>
      <c r="D297" s="45" t="s">
        <v>75</v>
      </c>
      <c r="E297" s="35"/>
      <c r="F297" s="35"/>
      <c r="G297" s="35"/>
      <c r="H297" s="35"/>
      <c r="I297" s="36"/>
      <c r="J297" s="36"/>
      <c r="L297" s="35"/>
      <c r="M297" s="35"/>
    </row>
    <row r="298" spans="3:13" ht="25.8">
      <c r="C298" s="35"/>
      <c r="D298" s="45" t="s">
        <v>75</v>
      </c>
      <c r="E298" s="35"/>
      <c r="F298" s="35"/>
      <c r="G298" s="35"/>
      <c r="H298" s="35"/>
      <c r="I298" s="36"/>
      <c r="J298" s="36"/>
      <c r="L298" s="35"/>
      <c r="M298" s="35"/>
    </row>
    <row r="299" spans="3:13" ht="25.8">
      <c r="C299" s="35"/>
      <c r="D299" s="45" t="s">
        <v>75</v>
      </c>
      <c r="E299" s="35"/>
      <c r="F299" s="35"/>
      <c r="G299" s="35"/>
      <c r="H299" s="35"/>
      <c r="I299" s="36"/>
      <c r="J299" s="36"/>
      <c r="L299" s="35"/>
      <c r="M299" s="35"/>
    </row>
    <row r="300" spans="3:13" ht="25.8">
      <c r="C300" s="35"/>
      <c r="D300" s="45" t="s">
        <v>75</v>
      </c>
      <c r="E300" s="35"/>
      <c r="F300" s="35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44" priority="13" operator="containsText" text="Light Blue">
      <formula>NOT(ISERROR(SEARCH("Light Blue",F7)))</formula>
    </cfRule>
    <cfRule type="containsText" dxfId="43" priority="23" operator="containsText" text="Orange">
      <formula>NOT(ISERROR(SEARCH("Orange",F7)))</formula>
    </cfRule>
    <cfRule type="containsText" dxfId="42" priority="24" operator="containsText" text="Purple">
      <formula>NOT(ISERROR(SEARCH("Purple",F7)))</formula>
    </cfRule>
  </conditionalFormatting>
  <conditionalFormatting sqref="F7:F37">
    <cfRule type="containsText" dxfId="41" priority="11" operator="containsText" text="Light Blue">
      <formula>NOT(ISERROR(SEARCH("Light Blue",F7)))</formula>
    </cfRule>
    <cfRule type="containsText" dxfId="40" priority="14" operator="containsText" text="Dark Blue">
      <formula>NOT(ISERROR(SEARCH("Dark Blue",F7)))</formula>
    </cfRule>
    <cfRule type="containsText" dxfId="39" priority="15" operator="containsText" text="Blue">
      <formula>NOT(ISERROR(SEARCH("Blue",F7)))</formula>
    </cfRule>
    <cfRule type="containsText" dxfId="38" priority="16" operator="containsText" text="Yellow">
      <formula>NOT(ISERROR(SEARCH("Yellow",F7)))</formula>
    </cfRule>
    <cfRule type="containsText" dxfId="37" priority="17" operator="containsText" text="Light Blue">
      <formula>NOT(ISERROR(SEARCH("Light Blue",F7)))</formula>
    </cfRule>
    <cfRule type="containsText" dxfId="36" priority="18" operator="containsText" text="Dark Green">
      <formula>NOT(ISERROR(SEARCH("Dark Green",F7)))</formula>
    </cfRule>
    <cfRule type="containsText" dxfId="35" priority="19" operator="containsText" text="Brown">
      <formula>NOT(ISERROR(SEARCH("Brown",F7)))</formula>
    </cfRule>
    <cfRule type="containsText" dxfId="34" priority="20" operator="containsText" text="Green">
      <formula>NOT(ISERROR(SEARCH("Green",F7)))</formula>
    </cfRule>
    <cfRule type="containsText" dxfId="33" priority="21" operator="containsText" text="Red">
      <formula>NOT(ISERROR(SEARCH("Red",F7)))</formula>
    </cfRule>
    <cfRule type="containsText" dxfId="32" priority="22" operator="containsText" text="Gray">
      <formula>NOT(ISERROR(SEARCH("Gray",F7)))</formula>
    </cfRule>
  </conditionalFormatting>
  <conditionalFormatting sqref="F8">
    <cfRule type="containsText" dxfId="31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30" priority="10" operator="containsText" text="wHITE">
      <formula>NOT(ISERROR(SEARCH("wHITE",F19)))</formula>
    </cfRule>
  </conditionalFormatting>
  <conditionalFormatting sqref="F7:F37">
    <cfRule type="containsText" dxfId="29" priority="8" operator="containsText" text="White">
      <formula>NOT(ISERROR(SEARCH("White",F7)))</formula>
    </cfRule>
  </conditionalFormatting>
  <conditionalFormatting sqref="F1:F4 F6:F1048576">
    <cfRule type="containsText" dxfId="28" priority="3" operator="containsText" text="CW641">
      <formula>NOT(ISERROR(SEARCH("CW641",F1)))</formula>
    </cfRule>
    <cfRule type="containsText" dxfId="27" priority="4" operator="containsText" text="QC">
      <formula>NOT(ISERROR(SEARCH("QC",F1)))</formula>
    </cfRule>
    <cfRule type="containsText" dxfId="26" priority="5" operator="containsText" text="White">
      <formula>NOT(ISERROR(SEARCH("White",F1)))</formula>
    </cfRule>
    <cfRule type="containsText" dxfId="25" priority="6" operator="containsText" text="QC">
      <formula>NOT(ISERROR(SEARCH("QC",F1)))</formula>
    </cfRule>
    <cfRule type="containsText" dxfId="24" priority="7" operator="containsText" text="Green+">
      <formula>NOT(ISERROR(SEARCH("Green+",F1)))</formula>
    </cfRule>
  </conditionalFormatting>
  <conditionalFormatting sqref="J1:J1048576">
    <cfRule type="beginsWith" dxfId="23" priority="2" operator="beginsWith" text="0">
      <formula>LEFT(J1,LEN("0"))="0"</formula>
    </cfRule>
  </conditionalFormatting>
  <conditionalFormatting sqref="I1:I1048576">
    <cfRule type="beginsWith" dxfId="22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tabSelected="1" view="pageBreakPreview" zoomScale="90" zoomScaleNormal="100" zoomScaleSheetLayoutView="90" workbookViewId="0">
      <selection activeCell="Q19" sqref="Q19:R20"/>
    </sheetView>
  </sheetViews>
  <sheetFormatPr defaultColWidth="9.109375" defaultRowHeight="14.4"/>
  <cols>
    <col min="1" max="6" width="9.109375" style="18"/>
    <col min="7" max="7" width="9.109375" style="30"/>
    <col min="8" max="8" width="10.5546875" style="30" customWidth="1"/>
    <col min="9" max="10" width="11" style="32" customWidth="1"/>
    <col min="11" max="11" width="9.109375" style="18"/>
    <col min="12" max="12" width="12.33203125" style="18" customWidth="1"/>
    <col min="13" max="13" width="9.109375" style="18"/>
    <col min="14" max="16" width="11" style="18" customWidth="1"/>
    <col min="17" max="18" width="9.109375" style="18" customWidth="1"/>
    <col min="19" max="19" width="16" style="18" customWidth="1"/>
    <col min="20" max="16384" width="9.109375" style="18"/>
  </cols>
  <sheetData>
    <row r="1" spans="4:21" ht="14.4" customHeight="1">
      <c r="G1" s="48" t="s">
        <v>3</v>
      </c>
      <c r="H1" s="48"/>
      <c r="I1" s="48" t="s">
        <v>2</v>
      </c>
      <c r="J1" s="48"/>
      <c r="K1" s="48" t="s">
        <v>5</v>
      </c>
      <c r="L1" s="48"/>
      <c r="M1" s="48" t="s">
        <v>59</v>
      </c>
      <c r="N1" s="73"/>
      <c r="O1" s="48" t="s">
        <v>4</v>
      </c>
      <c r="P1" s="48"/>
      <c r="Q1" s="50" t="s">
        <v>75</v>
      </c>
      <c r="R1" s="48"/>
      <c r="S1" s="23"/>
      <c r="T1" s="24"/>
      <c r="U1" s="24"/>
    </row>
    <row r="2" spans="4:21" ht="15" customHeight="1">
      <c r="D2" s="19"/>
      <c r="E2" s="19"/>
      <c r="F2" s="19"/>
      <c r="G2" s="48"/>
      <c r="H2" s="48"/>
      <c r="I2" s="48"/>
      <c r="J2" s="48"/>
      <c r="K2" s="48"/>
      <c r="L2" s="48"/>
      <c r="M2" s="48"/>
      <c r="N2" s="73"/>
      <c r="O2" s="48"/>
      <c r="P2" s="48"/>
      <c r="Q2" s="50"/>
      <c r="R2" s="48"/>
      <c r="S2" s="23"/>
      <c r="T2" s="24"/>
      <c r="U2" s="24"/>
    </row>
    <row r="3" spans="4:21" ht="15" customHeight="1">
      <c r="D3" s="19"/>
      <c r="E3" s="19"/>
      <c r="F3" s="19"/>
      <c r="G3" s="48" t="s">
        <v>28</v>
      </c>
      <c r="H3" s="48"/>
      <c r="I3" s="73" t="s">
        <v>28</v>
      </c>
      <c r="J3" s="50"/>
      <c r="K3" s="73" t="s">
        <v>28</v>
      </c>
      <c r="L3" s="50"/>
      <c r="M3" s="48" t="s">
        <v>60</v>
      </c>
      <c r="N3" s="73"/>
      <c r="O3" s="48" t="s">
        <v>45</v>
      </c>
      <c r="P3" s="48"/>
      <c r="Q3" s="50" t="s">
        <v>74</v>
      </c>
      <c r="R3" s="48"/>
      <c r="S3" s="23"/>
      <c r="T3" s="24"/>
      <c r="U3" s="24"/>
    </row>
    <row r="4" spans="4:21" ht="15" customHeight="1">
      <c r="D4" s="19"/>
      <c r="E4" s="19"/>
      <c r="F4" s="19"/>
      <c r="G4" s="52" cm="1">
        <f t="array" ref="G4">LOOKUP(2,1/(Chicken!F:F="Purple"),Chicken!J:J)</f>
        <v>41312</v>
      </c>
      <c r="H4" s="52"/>
      <c r="I4" s="52" cm="1">
        <f t="array" ref="I4">LOOKUP(2,1/(COW!F:F="Purple"),COW!J:J)</f>
        <v>32066</v>
      </c>
      <c r="J4" s="52"/>
      <c r="K4" s="52" cm="1">
        <f t="array" ref="K4">LOOKUP(2,1/(WithOut!F:F="Purple (10)"),WithOut!J:J)</f>
        <v>7466</v>
      </c>
      <c r="L4" s="52"/>
      <c r="M4" s="52">
        <f>LOOKUP(2,1/(Plastic!F:F="Purple Popp"),Plastic!J:J)</f>
        <v>6208</v>
      </c>
      <c r="N4" s="82"/>
      <c r="O4" s="46">
        <f>LOOKUP(2,1/(Koptimix!F:F="Red Black(1i)"),Koptimix!J:J)</f>
        <v>27016</v>
      </c>
      <c r="P4" s="46"/>
      <c r="Q4" s="51" cm="1">
        <f t="array" ref="Q4">LOOKUP(2,1/(Roll!F:F="CW641"),Roll!J:J)</f>
        <v>1954</v>
      </c>
      <c r="R4" s="52"/>
      <c r="S4" s="23"/>
      <c r="T4" s="23"/>
      <c r="U4" s="23"/>
    </row>
    <row r="5" spans="4:21" ht="15" customHeight="1">
      <c r="D5" s="19"/>
      <c r="E5" s="19"/>
      <c r="F5" s="19"/>
      <c r="G5" s="52"/>
      <c r="H5" s="52"/>
      <c r="I5" s="52"/>
      <c r="J5" s="52"/>
      <c r="K5" s="52"/>
      <c r="L5" s="52"/>
      <c r="M5" s="52"/>
      <c r="N5" s="82"/>
      <c r="O5" s="46"/>
      <c r="P5" s="46"/>
      <c r="Q5" s="51"/>
      <c r="R5" s="52"/>
      <c r="S5" s="23"/>
      <c r="T5" s="23"/>
      <c r="U5" s="23"/>
    </row>
    <row r="6" spans="4:21" ht="15" customHeight="1">
      <c r="D6" s="19"/>
      <c r="E6" s="19"/>
      <c r="F6" s="19"/>
      <c r="G6" s="49" t="s">
        <v>30</v>
      </c>
      <c r="H6" s="49"/>
      <c r="I6" s="74" t="s">
        <v>36</v>
      </c>
      <c r="J6" s="53"/>
      <c r="K6" s="74" t="s">
        <v>36</v>
      </c>
      <c r="L6" s="53"/>
      <c r="M6" s="49" t="s">
        <v>62</v>
      </c>
      <c r="N6" s="74"/>
      <c r="O6" s="49" t="s">
        <v>46</v>
      </c>
      <c r="P6" s="49"/>
      <c r="Q6" s="53" t="s">
        <v>68</v>
      </c>
      <c r="R6" s="49"/>
      <c r="S6" s="23"/>
      <c r="T6" s="23"/>
      <c r="U6" s="23"/>
    </row>
    <row r="7" spans="4:21" ht="15" customHeight="1">
      <c r="D7" s="19"/>
      <c r="E7" s="19"/>
      <c r="F7" s="19"/>
      <c r="G7" s="75" cm="1">
        <f t="array" ref="G7">LOOKUP(2,1/(Chicken!F:F="Orange"),Chicken!J:J)</f>
        <v>59</v>
      </c>
      <c r="H7" s="75"/>
      <c r="I7" s="72" cm="1">
        <f t="array" ref="I7">LOOKUP(2,1/(COW!F:F="Red"),COW!J:J)</f>
        <v>4534</v>
      </c>
      <c r="J7" s="72"/>
      <c r="K7" s="72" cm="1">
        <f t="array" ref="K7">LOOKUP(2,1/(WithOut!F:F="Red"),WithOut!J:J)</f>
        <v>23928</v>
      </c>
      <c r="L7" s="72"/>
      <c r="M7" s="83">
        <f>LOOKUP(2,1/(Plastic!F:F="Blue Popp"),Plastic!J:J)</f>
        <v>7150</v>
      </c>
      <c r="N7" s="84"/>
      <c r="O7" s="46">
        <f>LOOKUP(2,1/(Koptimix!F:F="Blue Green(1J)"),Koptimix!J:J)</f>
        <v>25695</v>
      </c>
      <c r="P7" s="46"/>
      <c r="Q7" s="54">
        <f>LOOKUP(2,1/(Roll!F:F="Green+"),Roll!J:J)</f>
        <v>1396</v>
      </c>
      <c r="R7" s="55"/>
      <c r="S7" s="20"/>
      <c r="T7" s="20"/>
      <c r="U7" s="20"/>
    </row>
    <row r="8" spans="4:21" ht="15" customHeight="1">
      <c r="D8" s="19"/>
      <c r="E8" s="19"/>
      <c r="F8" s="19"/>
      <c r="G8" s="75"/>
      <c r="H8" s="75"/>
      <c r="I8" s="72"/>
      <c r="J8" s="72"/>
      <c r="K8" s="72"/>
      <c r="L8" s="72"/>
      <c r="M8" s="83"/>
      <c r="N8" s="84"/>
      <c r="O8" s="46"/>
      <c r="P8" s="46"/>
      <c r="Q8" s="54"/>
      <c r="R8" s="55"/>
      <c r="S8" s="21"/>
      <c r="T8" s="26"/>
      <c r="U8" s="26"/>
    </row>
    <row r="9" spans="4:21" s="12" customFormat="1" ht="15" customHeight="1">
      <c r="G9" s="47" t="s">
        <v>84</v>
      </c>
      <c r="H9" s="47"/>
      <c r="I9" s="47" t="s">
        <v>30</v>
      </c>
      <c r="J9" s="47"/>
      <c r="K9" s="47" t="s">
        <v>30</v>
      </c>
      <c r="L9" s="47"/>
      <c r="M9" s="47" t="s">
        <v>63</v>
      </c>
      <c r="N9" s="79"/>
      <c r="O9" s="47" t="s">
        <v>47</v>
      </c>
      <c r="P9" s="47"/>
      <c r="Q9" s="58" t="s">
        <v>76</v>
      </c>
      <c r="R9" s="47"/>
      <c r="S9" s="21"/>
      <c r="T9" s="26"/>
      <c r="U9" s="26"/>
    </row>
    <row r="10" spans="4:21" ht="15" customHeight="1">
      <c r="D10" s="19"/>
      <c r="E10" s="19"/>
      <c r="F10" s="19"/>
      <c r="G10" s="76" cm="1">
        <f t="array" ref="G10">LOOKUP(2,1/(Chicken!F:F="Orange (13)"),Chicken!J:J)</f>
        <v>0</v>
      </c>
      <c r="H10" s="76"/>
      <c r="I10" s="75" cm="1">
        <f t="array" ref="I10">LOOKUP(2,1/(COW!F:F="Orange"),COW!J:J)</f>
        <v>3626</v>
      </c>
      <c r="J10" s="75"/>
      <c r="K10" s="75" cm="1">
        <f t="array" ref="K10">LOOKUP(2,1/(WithOut!F:F="Orange (10)"),WithOut!J:J)</f>
        <v>7450</v>
      </c>
      <c r="L10" s="75"/>
      <c r="M10" s="55">
        <f>LOOKUP(2,1/(Plastic!F:F="Green Popp"),Plastic!J:J)</f>
        <v>7092</v>
      </c>
      <c r="N10" s="80"/>
      <c r="O10" s="46" cm="1">
        <f t="array" ref="O10">LOOKUP(2,1/(Koptimix!F:F="Blue Black(1H)"),Koptimix!J:J)</f>
        <v>41655</v>
      </c>
      <c r="P10" s="46"/>
      <c r="Q10" s="61">
        <f>LOOKUP(2,1/(Roll!F:F="Green"),Roll!J:J)</f>
        <v>370</v>
      </c>
      <c r="R10" s="62"/>
      <c r="S10" s="28"/>
      <c r="T10" s="29"/>
      <c r="U10" s="29"/>
    </row>
    <row r="11" spans="4:21" ht="15" customHeight="1">
      <c r="D11" s="19"/>
      <c r="E11" s="19"/>
      <c r="F11" s="19"/>
      <c r="G11" s="76"/>
      <c r="H11" s="76"/>
      <c r="I11" s="75"/>
      <c r="J11" s="75"/>
      <c r="K11" s="75"/>
      <c r="L11" s="75"/>
      <c r="M11" s="55"/>
      <c r="N11" s="80"/>
      <c r="O11" s="46"/>
      <c r="P11" s="46"/>
      <c r="Q11" s="61"/>
      <c r="R11" s="62"/>
      <c r="S11" s="28"/>
      <c r="T11" s="29"/>
      <c r="U11" s="29"/>
    </row>
    <row r="12" spans="4:21" s="12" customFormat="1" ht="15" customHeight="1">
      <c r="G12" s="47" t="s">
        <v>34</v>
      </c>
      <c r="H12" s="47"/>
      <c r="I12" s="47" t="s">
        <v>24</v>
      </c>
      <c r="J12" s="47"/>
      <c r="K12" s="47" t="s">
        <v>24</v>
      </c>
      <c r="L12" s="47"/>
      <c r="M12" s="47" t="s">
        <v>86</v>
      </c>
      <c r="N12" s="79"/>
      <c r="O12" s="47" t="s">
        <v>49</v>
      </c>
      <c r="P12" s="47"/>
      <c r="Q12" s="58" t="s">
        <v>76</v>
      </c>
      <c r="R12" s="47"/>
      <c r="S12" s="28"/>
      <c r="T12" s="29"/>
      <c r="U12" s="29"/>
    </row>
    <row r="13" spans="4:21" ht="15" customHeight="1">
      <c r="D13" s="19"/>
      <c r="E13" s="19"/>
      <c r="F13" s="19"/>
      <c r="G13" s="75" cm="1">
        <f t="array" ref="G13">LOOKUP(2,1/(Chicken!F:F="Orange (70*45)"),Chicken!J:J)</f>
        <v>210</v>
      </c>
      <c r="H13" s="75"/>
      <c r="I13" s="64" cm="1">
        <f t="array" ref="I13">LOOKUP(2,1/(COW!F:F="Blue"),COW!J:J)</f>
        <v>47153</v>
      </c>
      <c r="J13" s="64"/>
      <c r="K13" s="64" cm="1">
        <f t="array" ref="K13">LOOKUP(2,1/(WithOut!F:F="Blue"),WithOut!J:J)</f>
        <v>6397</v>
      </c>
      <c r="L13" s="64"/>
      <c r="M13" s="75">
        <f>LOOKUP(2,1/(Plastic!F:F="White 25G"),Plastic!J:J)</f>
        <v>998</v>
      </c>
      <c r="N13" s="81"/>
      <c r="O13" s="46" cm="1">
        <f t="array" ref="O13">LOOKUP(2,1/(Koptimix!F:F="Red Dark Blue(1E)"),Koptimix!J:J)</f>
        <v>9176</v>
      </c>
      <c r="P13" s="46"/>
      <c r="Q13" s="63">
        <f>LOOKUP(2,1/(Roll!F:F="Blue"),Roll!J:J)</f>
        <v>393</v>
      </c>
      <c r="R13" s="64"/>
      <c r="S13" s="28"/>
      <c r="T13" s="29"/>
      <c r="U13" s="29"/>
    </row>
    <row r="14" spans="4:21" ht="15" customHeight="1">
      <c r="D14" s="19"/>
      <c r="E14" s="19"/>
      <c r="F14" s="19"/>
      <c r="G14" s="75"/>
      <c r="H14" s="75"/>
      <c r="I14" s="64"/>
      <c r="J14" s="64"/>
      <c r="K14" s="64"/>
      <c r="L14" s="64"/>
      <c r="M14" s="75"/>
      <c r="N14" s="81"/>
      <c r="O14" s="46"/>
      <c r="P14" s="46"/>
      <c r="Q14" s="63"/>
      <c r="R14" s="64"/>
      <c r="S14" s="20"/>
      <c r="T14" s="20"/>
      <c r="U14" s="20"/>
    </row>
    <row r="15" spans="4:21" s="12" customFormat="1" ht="15" customHeight="1">
      <c r="G15" s="47" t="s">
        <v>31</v>
      </c>
      <c r="H15" s="47"/>
      <c r="I15" s="47" t="s">
        <v>38</v>
      </c>
      <c r="J15" s="47"/>
      <c r="K15" s="47" t="s">
        <v>42</v>
      </c>
      <c r="L15" s="47"/>
      <c r="M15" s="47" t="s">
        <v>87</v>
      </c>
      <c r="N15" s="79"/>
      <c r="O15" s="47" t="s">
        <v>48</v>
      </c>
      <c r="P15" s="47"/>
      <c r="Q15" s="58" t="s">
        <v>77</v>
      </c>
      <c r="R15" s="47"/>
      <c r="S15" s="20"/>
      <c r="T15" s="20"/>
      <c r="U15" s="20"/>
    </row>
    <row r="16" spans="4:21" ht="15" customHeight="1">
      <c r="D16" s="19"/>
      <c r="E16" s="19"/>
      <c r="F16" s="19"/>
      <c r="G16" s="57" cm="1">
        <f t="array" ref="G16">LOOKUP(2,1/(Chicken!F:F="Gray"),Chicken!J:J)</f>
        <v>6887</v>
      </c>
      <c r="H16" s="57"/>
      <c r="I16" s="55" cm="1">
        <f t="array" ref="I16">LOOKUP(2,1/(COW!F:F="Dark Green"),COW!J:J)</f>
        <v>38033</v>
      </c>
      <c r="J16" s="55"/>
      <c r="K16" s="78" cm="1">
        <f t="array" ref="K16">LOOKUP(2,1/(WithOut!F:F="Brown"),WithOut!J:J)</f>
        <v>5223</v>
      </c>
      <c r="L16" s="78"/>
      <c r="M16" s="57">
        <f>LOOKUP(2,1/(Plastic!F:F="White 50G"),Plastic!J:J)</f>
        <v>1640</v>
      </c>
      <c r="N16" s="86"/>
      <c r="O16" s="46" cm="1">
        <f t="array" ref="O16">LOOKUP(2,1/(Koptimix!F:F="Blue Gray(1A)"),Koptimix!J:J)</f>
        <v>8004</v>
      </c>
      <c r="P16" s="46"/>
      <c r="Q16" s="56">
        <f>LOOKUP(2,1/(Roll!F:F="QC"),Roll!J:J)</f>
        <v>105</v>
      </c>
      <c r="R16" s="57"/>
      <c r="S16" s="20"/>
      <c r="T16" s="20"/>
      <c r="U16" s="20"/>
    </row>
    <row r="17" spans="4:21" ht="15" customHeight="1">
      <c r="D17" s="19"/>
      <c r="E17" s="19"/>
      <c r="F17" s="19"/>
      <c r="G17" s="57"/>
      <c r="H17" s="57"/>
      <c r="I17" s="55"/>
      <c r="J17" s="55"/>
      <c r="K17" s="78"/>
      <c r="L17" s="78"/>
      <c r="M17" s="57"/>
      <c r="N17" s="86"/>
      <c r="O17" s="46"/>
      <c r="P17" s="46"/>
      <c r="Q17" s="56"/>
      <c r="R17" s="57"/>
      <c r="S17" s="20"/>
      <c r="T17" s="20"/>
      <c r="U17" s="20"/>
    </row>
    <row r="18" spans="4:21" s="12" customFormat="1" ht="15" customHeight="1">
      <c r="G18" s="47" t="s">
        <v>36</v>
      </c>
      <c r="H18" s="47"/>
      <c r="I18" s="47" t="s">
        <v>44</v>
      </c>
      <c r="J18" s="47"/>
      <c r="K18" s="47" t="s">
        <v>58</v>
      </c>
      <c r="L18" s="47"/>
      <c r="M18" s="47" t="s">
        <v>36</v>
      </c>
      <c r="N18" s="79"/>
      <c r="O18" s="47" t="s">
        <v>50</v>
      </c>
      <c r="P18" s="47"/>
      <c r="Q18" s="58" t="s">
        <v>80</v>
      </c>
      <c r="R18" s="47"/>
      <c r="S18" s="20"/>
      <c r="T18" s="20"/>
      <c r="U18" s="20"/>
    </row>
    <row r="19" spans="4:21" ht="15" customHeight="1">
      <c r="D19" s="19"/>
      <c r="E19" s="19"/>
      <c r="F19" s="19"/>
      <c r="G19" s="72" cm="1">
        <f t="array" ref="G19">LOOKUP(2,1/(Chicken!F:F="Red"),Chicken!J:J)</f>
        <v>1099</v>
      </c>
      <c r="H19" s="72"/>
      <c r="I19" s="55" cm="1">
        <f t="array" ref="I19">LOOKUP(2,1/(COW!F:F="Dark Green(75*50*13)"),COW!J:J)</f>
        <v>903</v>
      </c>
      <c r="J19" s="55"/>
      <c r="K19" s="60" cm="1">
        <f t="array" ref="K19">LOOKUP(2,1/(WithOut!F:F="White"),WithOut!J:J)</f>
        <v>4805</v>
      </c>
      <c r="L19" s="60"/>
      <c r="M19" s="72">
        <f>LOOKUP(2,1/(Plastic!F:F="Red"),Plastic!J:J)</f>
        <v>10000</v>
      </c>
      <c r="N19" s="87"/>
      <c r="O19" s="46" cm="1">
        <f t="array" ref="O19">LOOKUP(2,1/(Koptimix!F:F="Purple Dark Blue(1B)"),Koptimix!J:J)</f>
        <v>10090</v>
      </c>
      <c r="P19" s="46"/>
      <c r="Q19" s="59">
        <f>LOOKUP(2,1/(Roll!F:F="Plain White"),Roll!J:J)</f>
        <v>200</v>
      </c>
      <c r="R19" s="60"/>
      <c r="S19" s="21"/>
      <c r="T19" s="20"/>
      <c r="U19" s="20"/>
    </row>
    <row r="20" spans="4:21" ht="15" customHeight="1">
      <c r="D20" s="19"/>
      <c r="E20" s="19"/>
      <c r="F20" s="19"/>
      <c r="G20" s="72"/>
      <c r="H20" s="72"/>
      <c r="I20" s="55"/>
      <c r="J20" s="55"/>
      <c r="K20" s="60"/>
      <c r="L20" s="60"/>
      <c r="M20" s="72"/>
      <c r="N20" s="87"/>
      <c r="O20" s="46"/>
      <c r="P20" s="46"/>
      <c r="Q20" s="59"/>
      <c r="R20" s="60"/>
      <c r="S20" s="28"/>
      <c r="T20" s="20"/>
      <c r="U20" s="20"/>
    </row>
    <row r="21" spans="4:21" ht="15" customHeight="1">
      <c r="D21" s="19"/>
      <c r="E21" s="19"/>
      <c r="F21" s="19"/>
      <c r="G21" s="47" t="s">
        <v>37</v>
      </c>
      <c r="H21" s="47"/>
      <c r="I21" s="47" t="s">
        <v>37</v>
      </c>
      <c r="J21" s="47"/>
      <c r="K21" s="47" t="s">
        <v>37</v>
      </c>
      <c r="L21" s="47"/>
      <c r="M21" s="47" t="s">
        <v>37</v>
      </c>
      <c r="N21" s="79"/>
      <c r="O21" s="47" t="s">
        <v>51</v>
      </c>
      <c r="P21" s="47"/>
      <c r="Q21" s="28"/>
      <c r="R21" s="28"/>
      <c r="S21" s="28"/>
      <c r="T21" s="20"/>
      <c r="U21" s="20"/>
    </row>
    <row r="22" spans="4:21" ht="15" customHeight="1">
      <c r="D22" s="19"/>
      <c r="E22" s="19"/>
      <c r="F22" s="19"/>
      <c r="G22" s="62" cm="1">
        <f t="array" ref="G22">LOOKUP(2,1/(Chicken!F:F="Green"),Chicken!J:J)</f>
        <v>54216</v>
      </c>
      <c r="H22" s="62"/>
      <c r="I22" s="62" cm="1">
        <f t="array" ref="I22">LOOKUP(2,1/(COW!F:F="Green"),COW!J:J)</f>
        <v>5904</v>
      </c>
      <c r="J22" s="62"/>
      <c r="K22" s="55" cm="1">
        <f t="array" ref="K22">LOOKUP(2,1/(WithOut!F:F="Green"),WithOut!J:J)</f>
        <v>20251</v>
      </c>
      <c r="L22" s="55"/>
      <c r="M22" s="62">
        <f>LOOKUP(2,1/(Plastic!F:F="Green"),Plastic!J:J)</f>
        <v>10000</v>
      </c>
      <c r="N22" s="88"/>
      <c r="O22" s="46" cm="1">
        <f t="array" ref="O22">LOOKUP(2,1/(Koptimix!F:F="Blue Purple(1C)"),Koptimix!J:J)</f>
        <v>21187</v>
      </c>
      <c r="P22" s="46"/>
      <c r="Q22" s="28"/>
      <c r="R22" s="28"/>
      <c r="S22" s="28"/>
      <c r="T22" s="20"/>
      <c r="U22" s="20"/>
    </row>
    <row r="23" spans="4:21" ht="15" customHeight="1">
      <c r="D23" s="19"/>
      <c r="E23" s="19"/>
      <c r="F23" s="19"/>
      <c r="G23" s="62"/>
      <c r="H23" s="62"/>
      <c r="I23" s="62"/>
      <c r="J23" s="62"/>
      <c r="K23" s="55"/>
      <c r="L23" s="55"/>
      <c r="M23" s="62"/>
      <c r="N23" s="88"/>
      <c r="O23" s="46"/>
      <c r="P23" s="46"/>
      <c r="Q23" s="28"/>
      <c r="R23" s="28"/>
      <c r="S23" s="28"/>
      <c r="T23" s="20"/>
      <c r="U23" s="20"/>
    </row>
    <row r="24" spans="4:21" s="12" customFormat="1" ht="15" customHeight="1">
      <c r="G24" s="47" t="s">
        <v>38</v>
      </c>
      <c r="H24" s="47"/>
      <c r="I24" s="65"/>
      <c r="J24" s="65"/>
      <c r="K24" s="27"/>
      <c r="L24" s="27"/>
      <c r="M24" s="47" t="s">
        <v>28</v>
      </c>
      <c r="N24" s="79"/>
      <c r="O24" s="47" t="s">
        <v>53</v>
      </c>
      <c r="P24" s="47"/>
      <c r="Q24" s="28"/>
      <c r="R24" s="28"/>
      <c r="S24" s="28"/>
      <c r="T24" s="20"/>
      <c r="U24" s="20"/>
    </row>
    <row r="25" spans="4:21" ht="15" customHeight="1">
      <c r="D25" s="19"/>
      <c r="E25" s="19"/>
      <c r="F25" s="19"/>
      <c r="G25" s="55" cm="1">
        <f t="array" ref="G25">LOOKUP(2,1/(Chicken!F:F="Dark Green"),Chicken!J:J)</f>
        <v>5136</v>
      </c>
      <c r="H25" s="55"/>
      <c r="I25" s="66"/>
      <c r="J25" s="66"/>
      <c r="K25" s="20"/>
      <c r="L25" s="20"/>
      <c r="M25" s="52">
        <f>LOOKUP(2,1/(Plastic!F:F="Purple"),Plastic!J:J)</f>
        <v>7710</v>
      </c>
      <c r="N25" s="82"/>
      <c r="O25" s="46" cm="1">
        <f t="array" ref="O25">LOOKUP(2,1/(Koptimix!F:F="Green Black(GB)"),Koptimix!J:J)</f>
        <v>7194</v>
      </c>
      <c r="P25" s="46"/>
      <c r="Q25" s="20"/>
      <c r="R25" s="20"/>
      <c r="S25" s="20"/>
      <c r="T25" s="20"/>
      <c r="U25" s="20"/>
    </row>
    <row r="26" spans="4:21" ht="15" customHeight="1">
      <c r="D26" s="19"/>
      <c r="E26" s="19"/>
      <c r="F26" s="19"/>
      <c r="G26" s="55"/>
      <c r="H26" s="55"/>
      <c r="I26" s="66"/>
      <c r="J26" s="66"/>
      <c r="K26" s="20"/>
      <c r="L26" s="20"/>
      <c r="M26" s="52"/>
      <c r="N26" s="82"/>
      <c r="O26" s="46"/>
      <c r="P26" s="46"/>
      <c r="Q26" s="20"/>
      <c r="R26" s="20"/>
      <c r="S26" s="20"/>
      <c r="T26" s="20"/>
      <c r="U26" s="20"/>
    </row>
    <row r="27" spans="4:21" ht="15" customHeight="1">
      <c r="D27" s="19"/>
      <c r="E27" s="19"/>
      <c r="F27" s="19"/>
      <c r="G27" s="47" t="s">
        <v>39</v>
      </c>
      <c r="H27" s="47"/>
      <c r="I27" s="65"/>
      <c r="J27" s="65"/>
      <c r="K27" s="20"/>
      <c r="L27" s="20"/>
      <c r="M27" s="47" t="s">
        <v>66</v>
      </c>
      <c r="N27" s="79"/>
      <c r="O27" s="47" t="s">
        <v>54</v>
      </c>
      <c r="P27" s="47"/>
      <c r="Q27" s="20"/>
      <c r="R27" s="20"/>
      <c r="S27" s="20"/>
      <c r="T27" s="20"/>
      <c r="U27" s="20"/>
    </row>
    <row r="28" spans="4:21" ht="15" customHeight="1">
      <c r="D28" s="19"/>
      <c r="E28" s="19"/>
      <c r="F28" s="19"/>
      <c r="G28" s="77" cm="1">
        <f t="array" ref="G28">LOOKUP(2,1/(Chicken!F:F="Light Blue"),Chicken!J:J)</f>
        <v>249</v>
      </c>
      <c r="H28" s="77"/>
      <c r="I28" s="66"/>
      <c r="J28" s="66"/>
      <c r="K28" s="20"/>
      <c r="L28" s="20"/>
      <c r="M28" s="83">
        <f>LOOKUP(2,1/(Plastic!F:F="Blue KOP"),Plastic!J:J)</f>
        <v>10745</v>
      </c>
      <c r="N28" s="84"/>
      <c r="O28" s="46" cm="1">
        <f t="array" ref="O28">LOOKUP(2,1/(Koptimix!F:F="Purple (Fish)"),Koptimix!J:J)</f>
        <v>2918</v>
      </c>
      <c r="P28" s="46"/>
      <c r="Q28" s="20"/>
      <c r="R28" s="20"/>
      <c r="S28" s="20"/>
      <c r="T28" s="20"/>
      <c r="U28" s="20"/>
    </row>
    <row r="29" spans="4:21" ht="15" customHeight="1">
      <c r="D29" s="19"/>
      <c r="E29" s="19"/>
      <c r="F29" s="19"/>
      <c r="G29" s="77"/>
      <c r="H29" s="77"/>
      <c r="I29" s="66"/>
      <c r="J29" s="66"/>
      <c r="K29" s="25"/>
      <c r="L29" s="25"/>
      <c r="M29" s="83"/>
      <c r="N29" s="84"/>
      <c r="O29" s="46"/>
      <c r="P29" s="46"/>
      <c r="Q29" s="21"/>
      <c r="R29" s="21"/>
      <c r="S29" s="21"/>
      <c r="T29" s="20"/>
      <c r="U29" s="20"/>
    </row>
    <row r="30" spans="4:21" ht="15" customHeight="1">
      <c r="D30" s="19"/>
      <c r="E30" s="19"/>
      <c r="F30" s="19"/>
      <c r="G30" s="47" t="s">
        <v>24</v>
      </c>
      <c r="H30" s="47"/>
      <c r="I30" s="65"/>
      <c r="J30" s="65"/>
      <c r="K30" s="25"/>
      <c r="L30" s="25"/>
      <c r="M30" s="47" t="s">
        <v>67</v>
      </c>
      <c r="N30" s="79"/>
      <c r="O30" s="33"/>
      <c r="P30" s="33"/>
      <c r="Q30" s="21"/>
      <c r="R30" s="21"/>
      <c r="S30" s="21"/>
      <c r="T30" s="20"/>
      <c r="U30" s="20"/>
    </row>
    <row r="31" spans="4:21" ht="15" customHeight="1">
      <c r="D31" s="19"/>
      <c r="E31" s="19"/>
      <c r="F31" s="19"/>
      <c r="G31" s="64" cm="1">
        <f t="array" ref="G31">LOOKUP(2,1/(Chicken!F:F="Blue"),Chicken!J:J)</f>
        <v>1104</v>
      </c>
      <c r="H31" s="64"/>
      <c r="I31" s="66"/>
      <c r="J31" s="66"/>
      <c r="K31" s="27"/>
      <c r="L31" s="27"/>
      <c r="M31" s="64">
        <f>LOOKUP(2,1/(Plastic!F:F="Red KOP"),Plastic!J:J)</f>
        <v>3010</v>
      </c>
      <c r="N31" s="85"/>
      <c r="O31" s="34"/>
      <c r="P31" s="34"/>
      <c r="Q31" s="28"/>
      <c r="R31" s="28"/>
      <c r="S31" s="28"/>
      <c r="T31" s="20"/>
      <c r="U31" s="20"/>
    </row>
    <row r="32" spans="4:21" ht="15" customHeight="1">
      <c r="D32" s="19"/>
      <c r="E32" s="19"/>
      <c r="F32" s="19"/>
      <c r="G32" s="64"/>
      <c r="H32" s="64"/>
      <c r="I32" s="66"/>
      <c r="J32" s="66"/>
      <c r="K32" s="27"/>
      <c r="L32" s="27"/>
      <c r="M32" s="64"/>
      <c r="N32" s="85"/>
      <c r="O32" s="34"/>
      <c r="P32" s="34"/>
      <c r="Q32" s="28"/>
      <c r="R32" s="28"/>
      <c r="S32" s="28"/>
      <c r="T32" s="20"/>
      <c r="U32" s="20"/>
    </row>
    <row r="33" spans="4:21" ht="15" customHeight="1">
      <c r="D33" s="19"/>
      <c r="E33" s="19"/>
      <c r="F33" s="19"/>
      <c r="G33" s="47" t="s">
        <v>40</v>
      </c>
      <c r="H33" s="47"/>
      <c r="I33" s="65"/>
      <c r="J33" s="65"/>
      <c r="K33" s="27"/>
      <c r="L33" s="27"/>
      <c r="M33" s="27"/>
      <c r="N33" s="27"/>
      <c r="O33" s="27"/>
      <c r="P33" s="27"/>
      <c r="Q33" s="28"/>
      <c r="R33" s="28"/>
      <c r="S33" s="28"/>
      <c r="T33" s="20"/>
      <c r="U33" s="20"/>
    </row>
    <row r="34" spans="4:21" ht="15" customHeight="1">
      <c r="D34" s="19"/>
      <c r="E34" s="19"/>
      <c r="F34" s="19"/>
      <c r="G34" s="71" cm="1">
        <f t="array" ref="G34">LOOKUP(2,1/(Chicken!F:F="Dark Blue"),Chicken!J:J)</f>
        <v>60632</v>
      </c>
      <c r="H34" s="71"/>
      <c r="I34" s="66"/>
      <c r="J34" s="66"/>
      <c r="K34" s="27"/>
      <c r="L34" s="27"/>
      <c r="M34" s="27"/>
      <c r="N34" s="27"/>
      <c r="O34" s="27"/>
      <c r="P34" s="27"/>
      <c r="Q34" s="28"/>
      <c r="R34" s="28"/>
      <c r="S34" s="28"/>
      <c r="T34" s="20"/>
      <c r="U34" s="20"/>
    </row>
    <row r="35" spans="4:21" ht="15" customHeight="1">
      <c r="D35" s="19"/>
      <c r="E35" s="19"/>
      <c r="F35" s="19"/>
      <c r="G35" s="71"/>
      <c r="H35" s="71"/>
      <c r="I35" s="66"/>
      <c r="J35" s="66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4:21" ht="15" customHeight="1">
      <c r="D36" s="19"/>
      <c r="E36" s="19"/>
      <c r="F36" s="19"/>
      <c r="G36" s="47" t="s">
        <v>41</v>
      </c>
      <c r="H36" s="47"/>
      <c r="I36" s="65"/>
      <c r="J36" s="6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4:21" ht="15" customHeight="1">
      <c r="D37" s="19"/>
      <c r="E37" s="19"/>
      <c r="F37" s="19"/>
      <c r="G37" s="68" cm="1">
        <f t="array" ref="G37">LOOKUP(2,1/(Chicken!F:F="Yellow"),Chicken!J:J)</f>
        <v>7812</v>
      </c>
      <c r="H37" s="68"/>
      <c r="I37" s="67"/>
      <c r="J37" s="67"/>
      <c r="K37" s="20"/>
      <c r="L37" s="20"/>
      <c r="M37" s="20"/>
      <c r="N37" s="20"/>
      <c r="O37" s="20"/>
      <c r="P37" s="20"/>
      <c r="Q37" s="21"/>
      <c r="R37" s="21"/>
      <c r="S37" s="20"/>
      <c r="T37" s="20"/>
      <c r="U37" s="20"/>
    </row>
    <row r="38" spans="4:21" ht="15" customHeight="1">
      <c r="D38" s="19"/>
      <c r="E38" s="19"/>
      <c r="F38" s="19"/>
      <c r="G38" s="68"/>
      <c r="H38" s="68"/>
      <c r="I38" s="67"/>
      <c r="J38" s="67"/>
      <c r="K38" s="20"/>
      <c r="L38" s="20"/>
      <c r="M38" s="20"/>
      <c r="N38" s="20"/>
      <c r="O38" s="20"/>
      <c r="P38" s="20"/>
      <c r="Q38" s="28"/>
      <c r="R38" s="28"/>
      <c r="S38" s="20"/>
      <c r="T38" s="20"/>
      <c r="U38" s="20"/>
    </row>
    <row r="39" spans="4:21" ht="15" customHeight="1">
      <c r="D39" s="19"/>
      <c r="E39" s="19"/>
      <c r="F39" s="19"/>
      <c r="G39" s="47" t="s">
        <v>42</v>
      </c>
      <c r="H39" s="47"/>
      <c r="I39" s="65"/>
      <c r="J39" s="65"/>
      <c r="K39" s="20"/>
      <c r="L39" s="20"/>
      <c r="M39" s="20"/>
      <c r="N39" s="20"/>
      <c r="O39" s="20"/>
      <c r="P39" s="20"/>
      <c r="Q39" s="28"/>
      <c r="R39" s="28"/>
      <c r="S39" s="20"/>
      <c r="T39" s="20"/>
      <c r="U39" s="20"/>
    </row>
    <row r="40" spans="4:21" ht="15" customHeight="1">
      <c r="D40" s="19"/>
      <c r="E40" s="19"/>
      <c r="F40" s="19"/>
      <c r="G40" s="69" cm="1">
        <f t="array" ref="G40">LOOKUP(2,1/(Chicken!F:F="Brown"),Chicken!J:J)</f>
        <v>30</v>
      </c>
      <c r="H40" s="69"/>
      <c r="I40" s="66"/>
      <c r="J40" s="66"/>
      <c r="K40" s="20"/>
      <c r="L40" s="20"/>
      <c r="M40" s="20"/>
      <c r="N40" s="20"/>
      <c r="O40" s="20"/>
      <c r="P40" s="20"/>
      <c r="Q40" s="28"/>
      <c r="R40" s="28"/>
      <c r="S40" s="20"/>
      <c r="T40" s="20"/>
      <c r="U40" s="20"/>
    </row>
    <row r="41" spans="4:21" ht="15" customHeight="1">
      <c r="D41" s="19"/>
      <c r="E41" s="19"/>
      <c r="F41" s="19"/>
      <c r="G41" s="69"/>
      <c r="H41" s="69"/>
      <c r="I41" s="66"/>
      <c r="J41" s="66"/>
      <c r="K41" s="20"/>
      <c r="L41" s="20"/>
      <c r="M41" s="20"/>
      <c r="N41" s="20"/>
      <c r="O41" s="20"/>
      <c r="P41" s="20"/>
      <c r="Q41" s="28"/>
      <c r="R41" s="28"/>
      <c r="S41" s="20"/>
      <c r="T41" s="20"/>
      <c r="U41" s="20"/>
    </row>
    <row r="42" spans="4:21" ht="15" customHeight="1">
      <c r="D42" s="19"/>
      <c r="E42" s="19"/>
      <c r="F42" s="19"/>
      <c r="G42" s="47" t="s">
        <v>85</v>
      </c>
      <c r="H42" s="47"/>
      <c r="I42" s="65"/>
      <c r="J42" s="65"/>
      <c r="K42" s="20"/>
      <c r="L42" s="20"/>
      <c r="M42" s="20"/>
      <c r="N42" s="20"/>
      <c r="O42" s="20"/>
      <c r="P42" s="20"/>
      <c r="Q42" s="28"/>
      <c r="R42" s="28"/>
      <c r="S42" s="20"/>
      <c r="T42" s="20"/>
      <c r="U42" s="20"/>
    </row>
    <row r="43" spans="4:21" ht="15" customHeight="1">
      <c r="D43" s="19"/>
      <c r="E43" s="19"/>
      <c r="F43" s="19"/>
      <c r="G43" s="69" cm="1">
        <f t="array" ref="G43">LOOKUP(2,1/(Chicken!F:F="Brown(13)"),Chicken!J:J)</f>
        <v>0</v>
      </c>
      <c r="H43" s="69"/>
      <c r="I43" s="66"/>
      <c r="J43" s="66"/>
      <c r="K43" s="12"/>
      <c r="L43" s="12"/>
      <c r="M43" s="12"/>
      <c r="N43" s="12"/>
      <c r="O43" s="12"/>
      <c r="P43" s="12"/>
      <c r="Q43" s="22"/>
      <c r="R43" s="22"/>
      <c r="S43" s="22"/>
      <c r="T43" s="22"/>
      <c r="U43" s="22"/>
    </row>
    <row r="44" spans="4:21" ht="15" customHeight="1">
      <c r="D44" s="19"/>
      <c r="E44" s="19"/>
      <c r="F44" s="19"/>
      <c r="G44" s="70"/>
      <c r="H44" s="70"/>
      <c r="I44" s="66"/>
      <c r="J44" s="66"/>
      <c r="K44" s="12"/>
      <c r="L44" s="12"/>
      <c r="M44" s="12"/>
      <c r="N44" s="12"/>
      <c r="O44" s="12"/>
      <c r="P44" s="12"/>
      <c r="Q44" s="22"/>
      <c r="R44" s="22"/>
      <c r="S44" s="22"/>
      <c r="T44" s="22"/>
      <c r="U44" s="22"/>
    </row>
    <row r="45" spans="4:21">
      <c r="G45" s="12"/>
      <c r="H45" s="12"/>
      <c r="I45" s="31"/>
      <c r="J45" s="31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31"/>
      <c r="J46" s="31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31"/>
      <c r="J47" s="31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31"/>
      <c r="J48" s="31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31"/>
      <c r="J49" s="31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31"/>
      <c r="J50" s="31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31"/>
      <c r="J51" s="31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31"/>
      <c r="J52" s="31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31"/>
      <c r="J53" s="31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31"/>
      <c r="J54" s="31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31"/>
      <c r="J55" s="31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31"/>
      <c r="J56" s="31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31"/>
      <c r="J57" s="31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31"/>
      <c r="J58" s="31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31"/>
      <c r="J59" s="31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8"/>
      <c r="H60" s="18"/>
    </row>
    <row r="61" spans="7:21">
      <c r="G61" s="18"/>
      <c r="H61" s="18"/>
    </row>
    <row r="62" spans="7:21">
      <c r="G62" s="18"/>
      <c r="H62" s="18"/>
    </row>
    <row r="63" spans="7:21">
      <c r="G63" s="18"/>
      <c r="H63" s="18"/>
    </row>
    <row r="64" spans="7:21">
      <c r="G64" s="18"/>
      <c r="H64" s="18"/>
    </row>
    <row r="65" spans="7:8">
      <c r="G65" s="18"/>
      <c r="H65" s="18"/>
    </row>
    <row r="66" spans="7:8">
      <c r="G66" s="18"/>
      <c r="H66" s="18"/>
    </row>
    <row r="67" spans="7:8">
      <c r="G67" s="18"/>
      <c r="H67" s="18"/>
    </row>
    <row r="68" spans="7:8">
      <c r="G68" s="18"/>
      <c r="H68" s="18"/>
    </row>
    <row r="69" spans="7:8">
      <c r="G69" s="18"/>
      <c r="H69" s="18"/>
    </row>
    <row r="70" spans="7:8">
      <c r="G70" s="18"/>
      <c r="H70" s="18"/>
    </row>
    <row r="71" spans="7:8">
      <c r="G71" s="18"/>
      <c r="H71" s="18"/>
    </row>
    <row r="72" spans="7:8">
      <c r="G72" s="18"/>
      <c r="H72" s="18"/>
    </row>
    <row r="73" spans="7:8">
      <c r="G73" s="18"/>
      <c r="H73" s="18"/>
    </row>
    <row r="74" spans="7:8">
      <c r="G74" s="18"/>
      <c r="H74" s="18"/>
    </row>
    <row r="75" spans="7:8">
      <c r="G75" s="18"/>
      <c r="H75" s="18"/>
    </row>
    <row r="76" spans="7:8">
      <c r="G76" s="18"/>
      <c r="H76" s="18"/>
    </row>
    <row r="77" spans="7:8">
      <c r="G77" s="18"/>
      <c r="H77" s="18"/>
    </row>
    <row r="78" spans="7:8">
      <c r="G78" s="18"/>
      <c r="H78" s="18"/>
    </row>
    <row r="79" spans="7:8">
      <c r="G79" s="18"/>
      <c r="H79" s="18"/>
    </row>
    <row r="80" spans="7:8">
      <c r="G80" s="18"/>
      <c r="H80" s="18"/>
    </row>
    <row r="81" spans="7:8">
      <c r="G81" s="18"/>
      <c r="H81" s="18"/>
    </row>
    <row r="82" spans="7:8">
      <c r="G82" s="18"/>
      <c r="H82" s="18"/>
    </row>
    <row r="83" spans="7:8">
      <c r="G83" s="18"/>
      <c r="H83" s="18"/>
    </row>
    <row r="84" spans="7:8">
      <c r="G84" s="18"/>
      <c r="H84" s="18"/>
    </row>
    <row r="85" spans="7:8">
      <c r="G85" s="18"/>
      <c r="H85" s="18"/>
    </row>
    <row r="86" spans="7:8">
      <c r="G86" s="18"/>
      <c r="H86" s="18"/>
    </row>
    <row r="87" spans="7:8">
      <c r="G87" s="18"/>
      <c r="H87" s="18"/>
    </row>
    <row r="88" spans="7:8">
      <c r="G88" s="18"/>
      <c r="H88" s="18"/>
    </row>
    <row r="89" spans="7:8">
      <c r="G89" s="18"/>
      <c r="H89" s="18"/>
    </row>
    <row r="90" spans="7:8">
      <c r="G90" s="18"/>
      <c r="H90" s="18"/>
    </row>
    <row r="91" spans="7:8">
      <c r="G91" s="18"/>
      <c r="H91" s="18"/>
    </row>
    <row r="92" spans="7:8">
      <c r="G92" s="18"/>
      <c r="H92" s="18"/>
    </row>
    <row r="93" spans="7:8">
      <c r="G93" s="18"/>
      <c r="H93" s="18"/>
    </row>
    <row r="94" spans="7:8">
      <c r="G94" s="18"/>
      <c r="H94" s="18"/>
    </row>
    <row r="95" spans="7:8">
      <c r="G95" s="18"/>
      <c r="H95" s="18"/>
    </row>
    <row r="96" spans="7:8">
      <c r="G96" s="18"/>
      <c r="H96" s="18"/>
    </row>
    <row r="97" spans="7:8">
      <c r="G97" s="18"/>
      <c r="H97" s="18"/>
    </row>
    <row r="98" spans="7:8">
      <c r="G98" s="18"/>
      <c r="H98" s="18"/>
    </row>
    <row r="99" spans="7:8">
      <c r="G99" s="18"/>
      <c r="H99" s="18"/>
    </row>
    <row r="100" spans="7:8">
      <c r="G100" s="18"/>
      <c r="H100" s="18"/>
    </row>
    <row r="101" spans="7:8">
      <c r="G101" s="18"/>
      <c r="H101" s="18"/>
    </row>
    <row r="102" spans="7:8">
      <c r="G102" s="18"/>
      <c r="H102" s="18"/>
    </row>
    <row r="103" spans="7:8">
      <c r="G103" s="18"/>
      <c r="H103" s="18"/>
    </row>
    <row r="104" spans="7:8">
      <c r="G104" s="18"/>
      <c r="H104" s="18"/>
    </row>
    <row r="105" spans="7:8">
      <c r="G105" s="18"/>
      <c r="H105" s="18"/>
    </row>
    <row r="106" spans="7:8">
      <c r="G106" s="18"/>
      <c r="H106" s="18"/>
    </row>
    <row r="107" spans="7:8">
      <c r="G107" s="18"/>
      <c r="H107" s="18"/>
    </row>
    <row r="108" spans="7:8">
      <c r="G108" s="18"/>
      <c r="H108" s="18"/>
    </row>
    <row r="109" spans="7:8">
      <c r="G109" s="18"/>
      <c r="H109" s="18"/>
    </row>
    <row r="110" spans="7:8">
      <c r="G110" s="18"/>
      <c r="H110" s="18"/>
    </row>
    <row r="111" spans="7:8">
      <c r="G111" s="18"/>
      <c r="H111" s="18"/>
    </row>
    <row r="112" spans="7:8">
      <c r="G112" s="18"/>
      <c r="H112" s="18"/>
    </row>
    <row r="113" spans="7:8">
      <c r="G113" s="18"/>
      <c r="H113" s="18"/>
    </row>
    <row r="114" spans="7:8">
      <c r="G114" s="18"/>
      <c r="H114" s="18"/>
    </row>
    <row r="115" spans="7:8">
      <c r="G115" s="18"/>
      <c r="H115" s="18"/>
    </row>
    <row r="116" spans="7:8">
      <c r="G116" s="18"/>
      <c r="H116" s="18"/>
    </row>
    <row r="117" spans="7:8">
      <c r="G117" s="18"/>
      <c r="H117" s="18"/>
    </row>
    <row r="118" spans="7:8">
      <c r="G118" s="18"/>
      <c r="H118" s="18"/>
    </row>
    <row r="119" spans="7:8">
      <c r="G119" s="18"/>
      <c r="H119" s="18"/>
    </row>
    <row r="120" spans="7:8">
      <c r="G120" s="18"/>
      <c r="H120" s="18"/>
    </row>
    <row r="121" spans="7:8">
      <c r="G121" s="18"/>
      <c r="H121" s="18"/>
    </row>
    <row r="122" spans="7:8">
      <c r="G122" s="18"/>
      <c r="H122" s="18"/>
    </row>
    <row r="123" spans="7:8">
      <c r="G123" s="18"/>
      <c r="H123" s="18"/>
    </row>
    <row r="124" spans="7:8">
      <c r="G124" s="18"/>
      <c r="H124" s="18"/>
    </row>
    <row r="125" spans="7:8">
      <c r="G125" s="18"/>
      <c r="H125" s="18"/>
    </row>
    <row r="126" spans="7:8">
      <c r="G126" s="18"/>
      <c r="H126" s="18"/>
    </row>
    <row r="127" spans="7:8">
      <c r="G127" s="18"/>
      <c r="H127" s="18"/>
    </row>
    <row r="128" spans="7:8">
      <c r="G128" s="18"/>
      <c r="H128" s="18"/>
    </row>
    <row r="129" spans="7:8">
      <c r="G129" s="18"/>
      <c r="H129" s="18"/>
    </row>
    <row r="130" spans="7:8">
      <c r="G130" s="18"/>
      <c r="H130" s="18"/>
    </row>
    <row r="131" spans="7:8">
      <c r="G131" s="18"/>
      <c r="H131" s="18"/>
    </row>
    <row r="132" spans="7:8">
      <c r="G132" s="18"/>
      <c r="H132" s="18"/>
    </row>
    <row r="133" spans="7:8">
      <c r="G133" s="18"/>
      <c r="H133" s="18"/>
    </row>
    <row r="134" spans="7:8">
      <c r="G134" s="18"/>
      <c r="H134" s="18"/>
    </row>
    <row r="135" spans="7:8">
      <c r="G135" s="18"/>
      <c r="H135" s="18"/>
    </row>
    <row r="136" spans="7:8">
      <c r="G136" s="18"/>
      <c r="H136" s="18"/>
    </row>
    <row r="137" spans="7:8">
      <c r="G137" s="18"/>
      <c r="H137" s="18"/>
    </row>
    <row r="138" spans="7:8">
      <c r="G138" s="18"/>
      <c r="H138" s="18"/>
    </row>
    <row r="139" spans="7:8">
      <c r="G139" s="18"/>
      <c r="H139" s="18"/>
    </row>
    <row r="140" spans="7:8">
      <c r="G140" s="18"/>
      <c r="H140" s="18"/>
    </row>
    <row r="141" spans="7:8">
      <c r="G141" s="18"/>
      <c r="H141" s="18"/>
    </row>
    <row r="142" spans="7:8">
      <c r="G142" s="18"/>
      <c r="H142" s="18"/>
    </row>
    <row r="143" spans="7:8">
      <c r="G143" s="18"/>
      <c r="H143" s="18"/>
    </row>
    <row r="144" spans="7:8">
      <c r="G144" s="18"/>
      <c r="H144" s="18"/>
    </row>
    <row r="145" spans="7:8">
      <c r="G145" s="18"/>
      <c r="H145" s="18"/>
    </row>
    <row r="146" spans="7:8">
      <c r="G146" s="18"/>
      <c r="H146" s="18"/>
    </row>
    <row r="147" spans="7:8">
      <c r="G147" s="18"/>
      <c r="H147" s="18"/>
    </row>
    <row r="148" spans="7:8">
      <c r="G148" s="18"/>
      <c r="H148" s="18"/>
    </row>
    <row r="149" spans="7:8">
      <c r="G149" s="18"/>
      <c r="H149" s="18"/>
    </row>
    <row r="150" spans="7:8">
      <c r="G150" s="18"/>
      <c r="H150" s="18"/>
    </row>
    <row r="151" spans="7:8">
      <c r="G151" s="18"/>
      <c r="H151" s="18"/>
    </row>
    <row r="152" spans="7:8">
      <c r="G152" s="18"/>
      <c r="H152" s="18"/>
    </row>
    <row r="153" spans="7:8">
      <c r="G153" s="18"/>
      <c r="H153" s="18"/>
    </row>
    <row r="154" spans="7:8">
      <c r="G154" s="18"/>
      <c r="H154" s="18"/>
    </row>
    <row r="155" spans="7:8">
      <c r="G155" s="18"/>
      <c r="H155" s="18"/>
    </row>
    <row r="156" spans="7:8">
      <c r="G156" s="18"/>
      <c r="H156" s="18"/>
    </row>
    <row r="157" spans="7:8">
      <c r="G157" s="18"/>
      <c r="H157" s="18"/>
    </row>
    <row r="158" spans="7:8">
      <c r="G158" s="18"/>
      <c r="H158" s="18"/>
    </row>
    <row r="159" spans="7:8">
      <c r="G159" s="18"/>
      <c r="H159" s="18"/>
    </row>
    <row r="160" spans="7:8">
      <c r="G160" s="18"/>
      <c r="H160" s="18"/>
    </row>
    <row r="161" spans="7:8">
      <c r="G161" s="18"/>
      <c r="H161" s="18"/>
    </row>
    <row r="162" spans="7:8">
      <c r="G162" s="18"/>
      <c r="H162" s="18"/>
    </row>
    <row r="163" spans="7:8">
      <c r="G163" s="18"/>
      <c r="H163" s="18"/>
    </row>
    <row r="164" spans="7:8">
      <c r="G164" s="18"/>
      <c r="H164" s="18"/>
    </row>
    <row r="165" spans="7:8">
      <c r="G165" s="18"/>
      <c r="H165" s="18"/>
    </row>
    <row r="166" spans="7:8">
      <c r="G166" s="18"/>
      <c r="H166" s="18"/>
    </row>
    <row r="167" spans="7:8">
      <c r="G167" s="18"/>
      <c r="H167" s="18"/>
    </row>
    <row r="168" spans="7:8">
      <c r="G168" s="18"/>
      <c r="H168" s="18"/>
    </row>
    <row r="169" spans="7:8">
      <c r="G169" s="18"/>
      <c r="H169" s="18"/>
    </row>
    <row r="170" spans="7:8">
      <c r="G170" s="18"/>
      <c r="H170" s="18"/>
    </row>
    <row r="171" spans="7:8">
      <c r="G171" s="18"/>
      <c r="H171" s="18"/>
    </row>
    <row r="172" spans="7:8">
      <c r="G172" s="18"/>
      <c r="H172" s="18"/>
    </row>
    <row r="173" spans="7:8">
      <c r="G173" s="18"/>
      <c r="H173" s="18"/>
    </row>
    <row r="174" spans="7:8">
      <c r="G174" s="18"/>
      <c r="H174" s="18"/>
    </row>
    <row r="175" spans="7:8">
      <c r="G175" s="18"/>
      <c r="H175" s="18"/>
    </row>
    <row r="176" spans="7:8">
      <c r="G176" s="18"/>
      <c r="H176" s="18"/>
    </row>
    <row r="177" spans="7:8">
      <c r="G177" s="18"/>
      <c r="H177" s="18"/>
    </row>
    <row r="178" spans="7:8">
      <c r="G178" s="18"/>
      <c r="H178" s="18"/>
    </row>
    <row r="179" spans="7:8">
      <c r="G179" s="18"/>
      <c r="H179" s="18"/>
    </row>
    <row r="180" spans="7:8">
      <c r="G180" s="18"/>
      <c r="H180" s="18"/>
    </row>
    <row r="181" spans="7:8">
      <c r="G181" s="18"/>
      <c r="H181" s="18"/>
    </row>
    <row r="182" spans="7:8">
      <c r="G182" s="18"/>
      <c r="H182" s="18"/>
    </row>
    <row r="183" spans="7:8">
      <c r="G183" s="18"/>
      <c r="H183" s="18"/>
    </row>
    <row r="184" spans="7:8">
      <c r="G184" s="18"/>
      <c r="H184" s="18"/>
    </row>
    <row r="185" spans="7:8">
      <c r="G185" s="18"/>
      <c r="H185" s="18"/>
    </row>
    <row r="186" spans="7:8">
      <c r="G186" s="18"/>
      <c r="H186" s="18"/>
    </row>
    <row r="187" spans="7:8">
      <c r="G187" s="18"/>
      <c r="H187" s="18"/>
    </row>
    <row r="188" spans="7:8">
      <c r="G188" s="18"/>
      <c r="H188" s="18"/>
    </row>
    <row r="189" spans="7:8">
      <c r="G189" s="18"/>
      <c r="H189" s="18"/>
    </row>
    <row r="190" spans="7:8">
      <c r="G190" s="18"/>
      <c r="H190" s="18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zoomScale="80" zoomScaleNormal="80" workbookViewId="0">
      <selection activeCell="C6" sqref="C6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7" width="28.44140625" customWidth="1"/>
    <col min="8" max="8" width="28.44140625" style="141" customWidth="1"/>
    <col min="9" max="9" width="25.6640625" style="154" customWidth="1"/>
  </cols>
  <sheetData>
    <row r="1" spans="1:300" ht="25.8">
      <c r="A1" s="4" t="s">
        <v>22</v>
      </c>
      <c r="B1" s="149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150" t="s">
        <v>10</v>
      </c>
      <c r="I1" s="152" t="s">
        <v>27</v>
      </c>
    </row>
    <row r="2" spans="1:300" s="3" customFormat="1" ht="31.5" customHeight="1">
      <c r="A2" s="148"/>
      <c r="B2" s="8"/>
      <c r="C2" s="36"/>
      <c r="D2" s="36"/>
      <c r="E2" s="35"/>
      <c r="F2" s="35"/>
      <c r="G2" s="35"/>
      <c r="H2" s="151"/>
      <c r="I2" s="153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</row>
    <row r="3" spans="1:300" s="3" customFormat="1" ht="31.5" customHeight="1">
      <c r="A3" s="148"/>
      <c r="B3" s="8"/>
      <c r="C3" s="36"/>
      <c r="D3" s="36"/>
      <c r="E3" s="35"/>
      <c r="F3" s="35"/>
      <c r="G3" s="35"/>
      <c r="H3" s="151"/>
      <c r="I3" s="153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  <c r="FV3" s="141"/>
      <c r="FW3" s="141"/>
      <c r="FX3" s="141"/>
      <c r="FY3" s="141"/>
      <c r="FZ3" s="141"/>
      <c r="GA3" s="141"/>
      <c r="GB3" s="141"/>
      <c r="GC3" s="141"/>
      <c r="GD3" s="141"/>
      <c r="GE3" s="141"/>
      <c r="GF3" s="141"/>
      <c r="GG3" s="141"/>
      <c r="GH3" s="141"/>
      <c r="GI3" s="141"/>
      <c r="GJ3" s="141"/>
      <c r="GK3" s="141"/>
      <c r="GL3" s="141"/>
      <c r="GM3" s="141"/>
      <c r="GN3" s="141"/>
      <c r="GO3" s="141"/>
      <c r="GP3" s="141"/>
      <c r="GQ3" s="141"/>
      <c r="GR3" s="141"/>
      <c r="GS3" s="141"/>
      <c r="GT3" s="141"/>
      <c r="GU3" s="141"/>
      <c r="GV3" s="141"/>
      <c r="GW3" s="141"/>
      <c r="GX3" s="141"/>
      <c r="GY3" s="141"/>
      <c r="GZ3" s="141"/>
      <c r="HA3" s="141"/>
      <c r="HB3" s="141"/>
      <c r="HC3" s="141"/>
      <c r="HD3" s="141"/>
      <c r="HE3" s="141"/>
      <c r="HF3" s="141"/>
      <c r="HG3" s="141"/>
      <c r="HH3" s="141"/>
      <c r="HI3" s="141"/>
      <c r="HJ3" s="141"/>
      <c r="HK3" s="141"/>
      <c r="HL3" s="141"/>
      <c r="HM3" s="141"/>
      <c r="HN3" s="141"/>
      <c r="HO3" s="141"/>
      <c r="HP3" s="141"/>
      <c r="HQ3" s="141"/>
      <c r="HR3" s="141"/>
      <c r="HS3" s="141"/>
      <c r="HT3" s="141"/>
      <c r="HU3" s="141"/>
      <c r="HV3" s="141"/>
      <c r="HW3" s="141"/>
      <c r="HX3" s="141"/>
      <c r="HY3" s="141"/>
      <c r="HZ3" s="141"/>
      <c r="IA3" s="141"/>
      <c r="IB3" s="141"/>
      <c r="IC3" s="141"/>
      <c r="ID3" s="141"/>
      <c r="IE3" s="141"/>
      <c r="IF3" s="141"/>
      <c r="IG3" s="141"/>
      <c r="IH3" s="141"/>
      <c r="II3" s="141"/>
      <c r="IJ3" s="141"/>
      <c r="IK3" s="141"/>
      <c r="IL3" s="141"/>
      <c r="IM3" s="141"/>
      <c r="IN3" s="141"/>
      <c r="IO3" s="141"/>
      <c r="IP3" s="141"/>
      <c r="IQ3" s="141"/>
      <c r="IR3" s="141"/>
      <c r="IS3" s="141"/>
      <c r="IT3" s="141"/>
      <c r="IU3" s="141"/>
      <c r="IV3" s="141"/>
      <c r="IW3" s="141"/>
      <c r="IX3" s="141"/>
      <c r="IY3" s="141"/>
      <c r="IZ3" s="141"/>
      <c r="JA3" s="141"/>
      <c r="JB3" s="141"/>
      <c r="JC3" s="141"/>
      <c r="JD3" s="141"/>
      <c r="JE3" s="141"/>
      <c r="JF3" s="141"/>
      <c r="JG3" s="141"/>
      <c r="JH3" s="141"/>
      <c r="JI3" s="141"/>
      <c r="JJ3" s="141"/>
      <c r="JK3" s="141"/>
      <c r="JL3" s="141"/>
      <c r="JM3" s="141"/>
      <c r="JN3" s="141"/>
      <c r="JO3" s="141"/>
      <c r="JP3" s="141"/>
      <c r="JQ3" s="141"/>
      <c r="JR3" s="141"/>
      <c r="JS3" s="141"/>
      <c r="JT3" s="141"/>
      <c r="JU3" s="141"/>
      <c r="JV3" s="141"/>
      <c r="JW3" s="141"/>
      <c r="JX3" s="141"/>
      <c r="JY3" s="141"/>
      <c r="JZ3" s="141"/>
      <c r="KA3" s="141"/>
      <c r="KB3" s="141"/>
      <c r="KC3" s="141"/>
      <c r="KD3" s="141"/>
      <c r="KE3" s="141"/>
      <c r="KF3" s="141"/>
      <c r="KG3" s="141"/>
      <c r="KH3" s="141"/>
      <c r="KI3" s="141"/>
      <c r="KJ3" s="141"/>
      <c r="KK3" s="141"/>
      <c r="KL3" s="141"/>
      <c r="KM3" s="141"/>
      <c r="KN3" s="141"/>
    </row>
    <row r="4" spans="1:300" s="3" customFormat="1" ht="31.5" customHeight="1">
      <c r="A4" s="148"/>
      <c r="B4" s="8"/>
      <c r="C4" s="36"/>
      <c r="D4" s="36"/>
      <c r="E4" s="35"/>
      <c r="F4" s="35"/>
      <c r="G4" s="35"/>
      <c r="H4" s="151"/>
      <c r="I4" s="153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  <c r="CK4" s="141"/>
      <c r="CL4" s="141"/>
      <c r="CM4" s="141"/>
      <c r="CN4" s="141"/>
      <c r="CO4" s="141"/>
      <c r="CP4" s="141"/>
      <c r="CQ4" s="141"/>
      <c r="CR4" s="141"/>
      <c r="CS4" s="141"/>
      <c r="CT4" s="141"/>
      <c r="CU4" s="141"/>
      <c r="CV4" s="141"/>
      <c r="CW4" s="141"/>
      <c r="CX4" s="141"/>
      <c r="CY4" s="141"/>
      <c r="CZ4" s="141"/>
      <c r="DA4" s="141"/>
      <c r="DB4" s="141"/>
      <c r="DC4" s="141"/>
      <c r="DD4" s="141"/>
      <c r="DE4" s="141"/>
      <c r="DF4" s="141"/>
      <c r="DG4" s="141"/>
      <c r="DH4" s="141"/>
      <c r="DI4" s="141"/>
      <c r="DJ4" s="141"/>
      <c r="DK4" s="141"/>
      <c r="DL4" s="141"/>
      <c r="DM4" s="141"/>
      <c r="DN4" s="141"/>
      <c r="DO4" s="141"/>
      <c r="DP4" s="141"/>
      <c r="DQ4" s="141"/>
      <c r="DR4" s="141"/>
      <c r="DS4" s="141"/>
      <c r="DT4" s="141"/>
      <c r="DU4" s="141"/>
      <c r="DV4" s="141"/>
      <c r="DW4" s="141"/>
      <c r="DX4" s="141"/>
      <c r="DY4" s="141"/>
      <c r="DZ4" s="141"/>
      <c r="EA4" s="141"/>
      <c r="EB4" s="141"/>
      <c r="EC4" s="141"/>
      <c r="ED4" s="141"/>
      <c r="EE4" s="141"/>
      <c r="EF4" s="141"/>
      <c r="EG4" s="141"/>
      <c r="EH4" s="141"/>
      <c r="EI4" s="141"/>
      <c r="EJ4" s="141"/>
      <c r="EK4" s="141"/>
      <c r="EL4" s="141"/>
      <c r="EM4" s="141"/>
      <c r="EN4" s="141"/>
      <c r="EO4" s="141"/>
      <c r="EP4" s="141"/>
      <c r="EQ4" s="141"/>
      <c r="ER4" s="141"/>
      <c r="ES4" s="141"/>
      <c r="ET4" s="141"/>
      <c r="EU4" s="141"/>
      <c r="EV4" s="141"/>
      <c r="EW4" s="141"/>
      <c r="EX4" s="141"/>
      <c r="EY4" s="141"/>
      <c r="EZ4" s="141"/>
      <c r="FA4" s="141"/>
      <c r="FB4" s="141"/>
      <c r="FC4" s="141"/>
      <c r="FD4" s="141"/>
      <c r="FE4" s="141"/>
      <c r="FF4" s="141"/>
      <c r="FG4" s="141"/>
      <c r="FH4" s="141"/>
      <c r="FI4" s="141"/>
      <c r="FJ4" s="141"/>
      <c r="FK4" s="141"/>
      <c r="FL4" s="141"/>
      <c r="FM4" s="141"/>
      <c r="FN4" s="141"/>
      <c r="FO4" s="141"/>
      <c r="FP4" s="141"/>
      <c r="FQ4" s="141"/>
      <c r="FR4" s="141"/>
      <c r="FS4" s="141"/>
      <c r="FT4" s="141"/>
      <c r="FU4" s="141"/>
      <c r="FV4" s="141"/>
      <c r="FW4" s="141"/>
      <c r="FX4" s="141"/>
      <c r="FY4" s="141"/>
      <c r="FZ4" s="141"/>
      <c r="GA4" s="141"/>
      <c r="GB4" s="141"/>
      <c r="GC4" s="141"/>
      <c r="GD4" s="141"/>
      <c r="GE4" s="141"/>
      <c r="GF4" s="141"/>
      <c r="GG4" s="141"/>
      <c r="GH4" s="141"/>
      <c r="GI4" s="141"/>
      <c r="GJ4" s="141"/>
      <c r="GK4" s="141"/>
      <c r="GL4" s="141"/>
      <c r="GM4" s="141"/>
      <c r="GN4" s="141"/>
      <c r="GO4" s="141"/>
      <c r="GP4" s="141"/>
      <c r="GQ4" s="141"/>
      <c r="GR4" s="141"/>
      <c r="GS4" s="141"/>
      <c r="GT4" s="141"/>
      <c r="GU4" s="141"/>
      <c r="GV4" s="141"/>
      <c r="GW4" s="141"/>
      <c r="GX4" s="141"/>
      <c r="GY4" s="141"/>
      <c r="GZ4" s="141"/>
      <c r="HA4" s="141"/>
      <c r="HB4" s="141"/>
      <c r="HC4" s="141"/>
      <c r="HD4" s="141"/>
      <c r="HE4" s="141"/>
      <c r="HF4" s="141"/>
      <c r="HG4" s="141"/>
      <c r="HH4" s="141"/>
      <c r="HI4" s="141"/>
      <c r="HJ4" s="141"/>
      <c r="HK4" s="141"/>
      <c r="HL4" s="141"/>
      <c r="HM4" s="141"/>
      <c r="HN4" s="141"/>
      <c r="HO4" s="141"/>
      <c r="HP4" s="141"/>
      <c r="HQ4" s="141"/>
      <c r="HR4" s="141"/>
      <c r="HS4" s="141"/>
      <c r="HT4" s="141"/>
      <c r="HU4" s="141"/>
      <c r="HV4" s="141"/>
      <c r="HW4" s="141"/>
      <c r="HX4" s="141"/>
      <c r="HY4" s="141"/>
      <c r="HZ4" s="141"/>
      <c r="IA4" s="141"/>
      <c r="IB4" s="141"/>
      <c r="IC4" s="141"/>
      <c r="ID4" s="141"/>
      <c r="IE4" s="141"/>
      <c r="IF4" s="141"/>
      <c r="IG4" s="141"/>
      <c r="IH4" s="141"/>
      <c r="II4" s="141"/>
      <c r="IJ4" s="141"/>
      <c r="IK4" s="141"/>
      <c r="IL4" s="141"/>
      <c r="IM4" s="141"/>
      <c r="IN4" s="141"/>
      <c r="IO4" s="141"/>
      <c r="IP4" s="141"/>
      <c r="IQ4" s="141"/>
      <c r="IR4" s="141"/>
      <c r="IS4" s="141"/>
      <c r="IT4" s="141"/>
      <c r="IU4" s="141"/>
      <c r="IV4" s="141"/>
      <c r="IW4" s="141"/>
      <c r="IX4" s="141"/>
      <c r="IY4" s="141"/>
      <c r="IZ4" s="141"/>
      <c r="JA4" s="141"/>
      <c r="JB4" s="141"/>
      <c r="JC4" s="141"/>
      <c r="JD4" s="141"/>
      <c r="JE4" s="141"/>
      <c r="JF4" s="141"/>
      <c r="JG4" s="141"/>
      <c r="JH4" s="141"/>
      <c r="JI4" s="141"/>
      <c r="JJ4" s="141"/>
      <c r="JK4" s="141"/>
      <c r="JL4" s="141"/>
      <c r="JM4" s="141"/>
      <c r="JN4" s="141"/>
      <c r="JO4" s="141"/>
      <c r="JP4" s="141"/>
      <c r="JQ4" s="141"/>
      <c r="JR4" s="141"/>
      <c r="JS4" s="141"/>
      <c r="JT4" s="141"/>
      <c r="JU4" s="141"/>
      <c r="JV4" s="141"/>
      <c r="JW4" s="141"/>
      <c r="JX4" s="141"/>
      <c r="JY4" s="141"/>
      <c r="JZ4" s="141"/>
      <c r="KA4" s="141"/>
      <c r="KB4" s="141"/>
      <c r="KC4" s="141"/>
      <c r="KD4" s="141"/>
      <c r="KE4" s="141"/>
      <c r="KF4" s="141"/>
      <c r="KG4" s="141"/>
      <c r="KH4" s="141"/>
      <c r="KI4" s="141"/>
      <c r="KJ4" s="141"/>
      <c r="KK4" s="141"/>
      <c r="KL4" s="141"/>
      <c r="KM4" s="141"/>
      <c r="KN4" s="141"/>
    </row>
    <row r="5" spans="1:300" s="3" customFormat="1" ht="31.5" customHeight="1">
      <c r="A5" s="148"/>
      <c r="B5" s="8"/>
      <c r="C5" s="36"/>
      <c r="D5" s="36"/>
      <c r="E5" s="35"/>
      <c r="F5" s="35"/>
      <c r="G5" s="35"/>
      <c r="H5" s="151"/>
      <c r="I5" s="153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41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1"/>
      <c r="BM5" s="141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1"/>
      <c r="CM5" s="141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1"/>
      <c r="CZ5" s="141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1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1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141"/>
      <c r="EN5" s="141"/>
      <c r="EO5" s="141"/>
      <c r="EP5" s="141"/>
      <c r="EQ5" s="141"/>
      <c r="ER5" s="141"/>
      <c r="ES5" s="141"/>
      <c r="ET5" s="141"/>
      <c r="EU5" s="141"/>
      <c r="EV5" s="141"/>
      <c r="EW5" s="141"/>
      <c r="EX5" s="141"/>
      <c r="EY5" s="141"/>
      <c r="EZ5" s="141"/>
      <c r="FA5" s="141"/>
      <c r="FB5" s="141"/>
      <c r="FC5" s="141"/>
      <c r="FD5" s="141"/>
      <c r="FE5" s="141"/>
      <c r="FF5" s="141"/>
      <c r="FG5" s="141"/>
      <c r="FH5" s="141"/>
      <c r="FI5" s="141"/>
      <c r="FJ5" s="141"/>
      <c r="FK5" s="141"/>
      <c r="FL5" s="141"/>
      <c r="FM5" s="141"/>
      <c r="FN5" s="141"/>
      <c r="FO5" s="141"/>
      <c r="FP5" s="141"/>
      <c r="FQ5" s="141"/>
      <c r="FR5" s="141"/>
      <c r="FS5" s="141"/>
      <c r="FT5" s="141"/>
      <c r="FU5" s="141"/>
      <c r="FV5" s="141"/>
      <c r="FW5" s="141"/>
      <c r="FX5" s="141"/>
      <c r="FY5" s="141"/>
      <c r="FZ5" s="141"/>
      <c r="GA5" s="141"/>
      <c r="GB5" s="141"/>
      <c r="GC5" s="141"/>
      <c r="GD5" s="141"/>
      <c r="GE5" s="141"/>
      <c r="GF5" s="141"/>
      <c r="GG5" s="141"/>
      <c r="GH5" s="141"/>
      <c r="GI5" s="141"/>
      <c r="GJ5" s="141"/>
      <c r="GK5" s="141"/>
      <c r="GL5" s="141"/>
      <c r="GM5" s="141"/>
      <c r="GN5" s="141"/>
      <c r="GO5" s="141"/>
      <c r="GP5" s="141"/>
      <c r="GQ5" s="141"/>
      <c r="GR5" s="141"/>
      <c r="GS5" s="141"/>
      <c r="GT5" s="141"/>
      <c r="GU5" s="141"/>
      <c r="GV5" s="141"/>
      <c r="GW5" s="141"/>
      <c r="GX5" s="141"/>
      <c r="GY5" s="141"/>
      <c r="GZ5" s="141"/>
      <c r="HA5" s="141"/>
      <c r="HB5" s="141"/>
      <c r="HC5" s="141"/>
      <c r="HD5" s="141"/>
      <c r="HE5" s="141"/>
      <c r="HF5" s="141"/>
      <c r="HG5" s="141"/>
      <c r="HH5" s="141"/>
      <c r="HI5" s="141"/>
      <c r="HJ5" s="141"/>
      <c r="HK5" s="141"/>
      <c r="HL5" s="141"/>
      <c r="HM5" s="141"/>
      <c r="HN5" s="141"/>
      <c r="HO5" s="141"/>
      <c r="HP5" s="141"/>
      <c r="HQ5" s="141"/>
      <c r="HR5" s="141"/>
      <c r="HS5" s="141"/>
      <c r="HT5" s="141"/>
      <c r="HU5" s="141"/>
      <c r="HV5" s="141"/>
      <c r="HW5" s="141"/>
      <c r="HX5" s="141"/>
      <c r="HY5" s="141"/>
      <c r="HZ5" s="141"/>
      <c r="IA5" s="141"/>
      <c r="IB5" s="141"/>
      <c r="IC5" s="141"/>
      <c r="ID5" s="141"/>
      <c r="IE5" s="141"/>
      <c r="IF5" s="141"/>
      <c r="IG5" s="141"/>
      <c r="IH5" s="141"/>
      <c r="II5" s="141"/>
      <c r="IJ5" s="141"/>
      <c r="IK5" s="141"/>
      <c r="IL5" s="141"/>
      <c r="IM5" s="141"/>
      <c r="IN5" s="141"/>
      <c r="IO5" s="141"/>
      <c r="IP5" s="141"/>
      <c r="IQ5" s="141"/>
      <c r="IR5" s="141"/>
      <c r="IS5" s="141"/>
      <c r="IT5" s="141"/>
      <c r="IU5" s="141"/>
      <c r="IV5" s="141"/>
      <c r="IW5" s="141"/>
      <c r="IX5" s="141"/>
      <c r="IY5" s="141"/>
      <c r="IZ5" s="141"/>
      <c r="JA5" s="141"/>
      <c r="JB5" s="141"/>
      <c r="JC5" s="141"/>
      <c r="JD5" s="141"/>
      <c r="JE5" s="141"/>
      <c r="JF5" s="141"/>
      <c r="JG5" s="141"/>
      <c r="JH5" s="141"/>
      <c r="JI5" s="141"/>
      <c r="JJ5" s="141"/>
      <c r="JK5" s="141"/>
      <c r="JL5" s="141"/>
      <c r="JM5" s="141"/>
      <c r="JN5" s="141"/>
      <c r="JO5" s="141"/>
      <c r="JP5" s="141"/>
      <c r="JQ5" s="141"/>
      <c r="JR5" s="141"/>
      <c r="JS5" s="141"/>
      <c r="JT5" s="141"/>
      <c r="JU5" s="141"/>
      <c r="JV5" s="141"/>
      <c r="JW5" s="141"/>
      <c r="JX5" s="141"/>
      <c r="JY5" s="141"/>
      <c r="JZ5" s="141"/>
      <c r="KA5" s="141"/>
      <c r="KB5" s="141"/>
      <c r="KC5" s="141"/>
      <c r="KD5" s="141"/>
      <c r="KE5" s="141"/>
      <c r="KF5" s="141"/>
      <c r="KG5" s="141"/>
      <c r="KH5" s="141"/>
      <c r="KI5" s="141"/>
      <c r="KJ5" s="141"/>
      <c r="KK5" s="141"/>
      <c r="KL5" s="141"/>
      <c r="KM5" s="141"/>
      <c r="KN5" s="141"/>
    </row>
    <row r="6" spans="1:300" s="3" customFormat="1" ht="31.5" customHeight="1">
      <c r="A6" s="148"/>
      <c r="B6" s="8"/>
      <c r="C6" s="36"/>
      <c r="D6" s="36"/>
      <c r="E6" s="35"/>
      <c r="F6" s="35"/>
      <c r="G6" s="35"/>
      <c r="H6" s="151"/>
      <c r="I6" s="153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  <c r="DV6" s="141"/>
      <c r="DW6" s="141"/>
      <c r="DX6" s="141"/>
      <c r="DY6" s="141"/>
      <c r="DZ6" s="141"/>
      <c r="EA6" s="141"/>
      <c r="EB6" s="141"/>
      <c r="EC6" s="141"/>
      <c r="ED6" s="141"/>
      <c r="EE6" s="141"/>
      <c r="EF6" s="141"/>
      <c r="EG6" s="141"/>
      <c r="EH6" s="141"/>
      <c r="EI6" s="141"/>
      <c r="EJ6" s="141"/>
      <c r="EK6" s="141"/>
      <c r="EL6" s="141"/>
      <c r="EM6" s="141"/>
      <c r="EN6" s="141"/>
      <c r="EO6" s="141"/>
      <c r="EP6" s="141"/>
      <c r="EQ6" s="141"/>
      <c r="ER6" s="141"/>
      <c r="ES6" s="141"/>
      <c r="ET6" s="141"/>
      <c r="EU6" s="141"/>
      <c r="EV6" s="141"/>
      <c r="EW6" s="141"/>
      <c r="EX6" s="141"/>
      <c r="EY6" s="141"/>
      <c r="EZ6" s="141"/>
      <c r="FA6" s="141"/>
      <c r="FB6" s="141"/>
      <c r="FC6" s="141"/>
      <c r="FD6" s="141"/>
      <c r="FE6" s="141"/>
      <c r="FF6" s="141"/>
      <c r="FG6" s="141"/>
      <c r="FH6" s="141"/>
      <c r="FI6" s="141"/>
      <c r="FJ6" s="141"/>
      <c r="FK6" s="141"/>
      <c r="FL6" s="141"/>
      <c r="FM6" s="141"/>
      <c r="FN6" s="141"/>
      <c r="FO6" s="141"/>
      <c r="FP6" s="141"/>
      <c r="FQ6" s="141"/>
      <c r="FR6" s="141"/>
      <c r="FS6" s="141"/>
      <c r="FT6" s="141"/>
      <c r="FU6" s="141"/>
      <c r="FV6" s="141"/>
      <c r="FW6" s="141"/>
      <c r="FX6" s="141"/>
      <c r="FY6" s="141"/>
      <c r="FZ6" s="141"/>
      <c r="GA6" s="141"/>
      <c r="GB6" s="141"/>
      <c r="GC6" s="141"/>
      <c r="GD6" s="141"/>
      <c r="GE6" s="141"/>
      <c r="GF6" s="141"/>
      <c r="GG6" s="141"/>
      <c r="GH6" s="141"/>
      <c r="GI6" s="141"/>
      <c r="GJ6" s="141"/>
      <c r="GK6" s="141"/>
      <c r="GL6" s="141"/>
      <c r="GM6" s="141"/>
      <c r="GN6" s="141"/>
      <c r="GO6" s="141"/>
      <c r="GP6" s="141"/>
      <c r="GQ6" s="141"/>
      <c r="GR6" s="141"/>
      <c r="GS6" s="141"/>
      <c r="GT6" s="141"/>
      <c r="GU6" s="141"/>
      <c r="GV6" s="141"/>
      <c r="GW6" s="141"/>
      <c r="GX6" s="141"/>
      <c r="GY6" s="141"/>
      <c r="GZ6" s="141"/>
      <c r="HA6" s="141"/>
      <c r="HB6" s="141"/>
      <c r="HC6" s="141"/>
      <c r="HD6" s="141"/>
      <c r="HE6" s="141"/>
      <c r="HF6" s="141"/>
      <c r="HG6" s="141"/>
      <c r="HH6" s="141"/>
      <c r="HI6" s="141"/>
      <c r="HJ6" s="141"/>
      <c r="HK6" s="141"/>
      <c r="HL6" s="141"/>
      <c r="HM6" s="141"/>
      <c r="HN6" s="141"/>
      <c r="HO6" s="141"/>
      <c r="HP6" s="141"/>
      <c r="HQ6" s="141"/>
      <c r="HR6" s="141"/>
      <c r="HS6" s="141"/>
      <c r="HT6" s="141"/>
      <c r="HU6" s="141"/>
      <c r="HV6" s="141"/>
      <c r="HW6" s="141"/>
      <c r="HX6" s="141"/>
      <c r="HY6" s="141"/>
      <c r="HZ6" s="141"/>
      <c r="IA6" s="141"/>
      <c r="IB6" s="141"/>
      <c r="IC6" s="141"/>
      <c r="ID6" s="141"/>
      <c r="IE6" s="141"/>
      <c r="IF6" s="141"/>
      <c r="IG6" s="141"/>
      <c r="IH6" s="141"/>
      <c r="II6" s="141"/>
      <c r="IJ6" s="141"/>
      <c r="IK6" s="141"/>
      <c r="IL6" s="141"/>
      <c r="IM6" s="141"/>
      <c r="IN6" s="141"/>
      <c r="IO6" s="141"/>
      <c r="IP6" s="141"/>
      <c r="IQ6" s="141"/>
      <c r="IR6" s="141"/>
      <c r="IS6" s="141"/>
      <c r="IT6" s="141"/>
      <c r="IU6" s="141"/>
      <c r="IV6" s="141"/>
      <c r="IW6" s="141"/>
      <c r="IX6" s="141"/>
      <c r="IY6" s="141"/>
      <c r="IZ6" s="141"/>
      <c r="JA6" s="141"/>
      <c r="JB6" s="141"/>
      <c r="JC6" s="141"/>
      <c r="JD6" s="141"/>
      <c r="JE6" s="141"/>
      <c r="JF6" s="141"/>
      <c r="JG6" s="141"/>
      <c r="JH6" s="141"/>
      <c r="JI6" s="141"/>
      <c r="JJ6" s="141"/>
      <c r="JK6" s="141"/>
      <c r="JL6" s="141"/>
      <c r="JM6" s="141"/>
      <c r="JN6" s="141"/>
      <c r="JO6" s="141"/>
      <c r="JP6" s="141"/>
      <c r="JQ6" s="141"/>
      <c r="JR6" s="141"/>
      <c r="JS6" s="141"/>
      <c r="JT6" s="141"/>
      <c r="JU6" s="141"/>
      <c r="JV6" s="141"/>
      <c r="JW6" s="141"/>
      <c r="JX6" s="141"/>
      <c r="JY6" s="141"/>
      <c r="JZ6" s="141"/>
      <c r="KA6" s="141"/>
      <c r="KB6" s="141"/>
      <c r="KC6" s="141"/>
      <c r="KD6" s="141"/>
      <c r="KE6" s="141"/>
      <c r="KF6" s="141"/>
      <c r="KG6" s="141"/>
      <c r="KH6" s="141"/>
      <c r="KI6" s="141"/>
      <c r="KJ6" s="141"/>
      <c r="KK6" s="141"/>
      <c r="KL6" s="141"/>
      <c r="KM6" s="141"/>
      <c r="KN6" s="141"/>
    </row>
    <row r="7" spans="1:300" s="3" customFormat="1" ht="31.5" customHeight="1">
      <c r="A7" s="148"/>
      <c r="B7" s="8"/>
      <c r="C7" s="36"/>
      <c r="D7" s="36"/>
      <c r="E7" s="35"/>
      <c r="F7" s="35"/>
      <c r="G7" s="35"/>
      <c r="H7" s="151"/>
      <c r="I7" s="153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1"/>
      <c r="BN7" s="141"/>
      <c r="BO7" s="141"/>
      <c r="BP7" s="141"/>
      <c r="BQ7" s="141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  <c r="CK7" s="141"/>
      <c r="CL7" s="141"/>
      <c r="CM7" s="141"/>
      <c r="CN7" s="141"/>
      <c r="CO7" s="141"/>
      <c r="CP7" s="141"/>
      <c r="CQ7" s="141"/>
      <c r="CR7" s="141"/>
      <c r="CS7" s="141"/>
      <c r="CT7" s="141"/>
      <c r="CU7" s="141"/>
      <c r="CV7" s="141"/>
      <c r="CW7" s="141"/>
      <c r="CX7" s="141"/>
      <c r="CY7" s="141"/>
      <c r="CZ7" s="141"/>
      <c r="DA7" s="141"/>
      <c r="DB7" s="141"/>
      <c r="DC7" s="141"/>
      <c r="DD7" s="141"/>
      <c r="DE7" s="141"/>
      <c r="DF7" s="141"/>
      <c r="DG7" s="141"/>
      <c r="DH7" s="141"/>
      <c r="DI7" s="141"/>
      <c r="DJ7" s="141"/>
      <c r="DK7" s="141"/>
      <c r="DL7" s="141"/>
      <c r="DM7" s="141"/>
      <c r="DN7" s="141"/>
      <c r="DO7" s="141"/>
      <c r="DP7" s="141"/>
      <c r="DQ7" s="141"/>
      <c r="DR7" s="141"/>
      <c r="DS7" s="141"/>
      <c r="DT7" s="141"/>
      <c r="DU7" s="141"/>
      <c r="DV7" s="141"/>
      <c r="DW7" s="141"/>
      <c r="DX7" s="141"/>
      <c r="DY7" s="141"/>
      <c r="DZ7" s="141"/>
      <c r="EA7" s="141"/>
      <c r="EB7" s="141"/>
      <c r="EC7" s="141"/>
      <c r="ED7" s="141"/>
      <c r="EE7" s="141"/>
      <c r="EF7" s="141"/>
      <c r="EG7" s="141"/>
      <c r="EH7" s="141"/>
      <c r="EI7" s="141"/>
      <c r="EJ7" s="141"/>
      <c r="EK7" s="141"/>
      <c r="EL7" s="141"/>
      <c r="EM7" s="141"/>
      <c r="EN7" s="141"/>
      <c r="EO7" s="141"/>
      <c r="EP7" s="141"/>
      <c r="EQ7" s="141"/>
      <c r="ER7" s="141"/>
      <c r="ES7" s="141"/>
      <c r="ET7" s="141"/>
      <c r="EU7" s="141"/>
      <c r="EV7" s="141"/>
      <c r="EW7" s="141"/>
      <c r="EX7" s="141"/>
      <c r="EY7" s="141"/>
      <c r="EZ7" s="141"/>
      <c r="FA7" s="141"/>
      <c r="FB7" s="141"/>
      <c r="FC7" s="141"/>
      <c r="FD7" s="141"/>
      <c r="FE7" s="141"/>
      <c r="FF7" s="141"/>
      <c r="FG7" s="141"/>
      <c r="FH7" s="141"/>
      <c r="FI7" s="141"/>
      <c r="FJ7" s="141"/>
      <c r="FK7" s="141"/>
      <c r="FL7" s="141"/>
      <c r="FM7" s="141"/>
      <c r="FN7" s="141"/>
      <c r="FO7" s="141"/>
      <c r="FP7" s="141"/>
      <c r="FQ7" s="141"/>
      <c r="FR7" s="141"/>
      <c r="FS7" s="141"/>
      <c r="FT7" s="141"/>
      <c r="FU7" s="141"/>
      <c r="FV7" s="141"/>
      <c r="FW7" s="141"/>
      <c r="FX7" s="141"/>
      <c r="FY7" s="141"/>
      <c r="FZ7" s="141"/>
      <c r="GA7" s="141"/>
      <c r="GB7" s="141"/>
      <c r="GC7" s="141"/>
      <c r="GD7" s="141"/>
      <c r="GE7" s="141"/>
      <c r="GF7" s="141"/>
      <c r="GG7" s="141"/>
      <c r="GH7" s="141"/>
      <c r="GI7" s="141"/>
      <c r="GJ7" s="141"/>
      <c r="GK7" s="141"/>
      <c r="GL7" s="141"/>
      <c r="GM7" s="141"/>
      <c r="GN7" s="141"/>
      <c r="GO7" s="141"/>
      <c r="GP7" s="141"/>
      <c r="GQ7" s="141"/>
      <c r="GR7" s="141"/>
      <c r="GS7" s="141"/>
      <c r="GT7" s="141"/>
      <c r="GU7" s="141"/>
      <c r="GV7" s="141"/>
      <c r="GW7" s="141"/>
      <c r="GX7" s="141"/>
      <c r="GY7" s="141"/>
      <c r="GZ7" s="141"/>
      <c r="HA7" s="141"/>
      <c r="HB7" s="141"/>
      <c r="HC7" s="141"/>
      <c r="HD7" s="141"/>
      <c r="HE7" s="141"/>
      <c r="HF7" s="141"/>
      <c r="HG7" s="141"/>
      <c r="HH7" s="141"/>
      <c r="HI7" s="141"/>
      <c r="HJ7" s="141"/>
      <c r="HK7" s="141"/>
      <c r="HL7" s="141"/>
      <c r="HM7" s="141"/>
      <c r="HN7" s="141"/>
      <c r="HO7" s="141"/>
      <c r="HP7" s="141"/>
      <c r="HQ7" s="141"/>
      <c r="HR7" s="141"/>
      <c r="HS7" s="141"/>
      <c r="HT7" s="141"/>
      <c r="HU7" s="141"/>
      <c r="HV7" s="141"/>
      <c r="HW7" s="141"/>
      <c r="HX7" s="141"/>
      <c r="HY7" s="141"/>
      <c r="HZ7" s="141"/>
      <c r="IA7" s="141"/>
      <c r="IB7" s="141"/>
      <c r="IC7" s="141"/>
      <c r="ID7" s="141"/>
      <c r="IE7" s="141"/>
      <c r="IF7" s="141"/>
      <c r="IG7" s="141"/>
      <c r="IH7" s="141"/>
      <c r="II7" s="141"/>
      <c r="IJ7" s="141"/>
      <c r="IK7" s="141"/>
      <c r="IL7" s="141"/>
      <c r="IM7" s="141"/>
      <c r="IN7" s="141"/>
      <c r="IO7" s="141"/>
      <c r="IP7" s="141"/>
      <c r="IQ7" s="141"/>
      <c r="IR7" s="141"/>
      <c r="IS7" s="141"/>
      <c r="IT7" s="141"/>
      <c r="IU7" s="141"/>
      <c r="IV7" s="141"/>
      <c r="IW7" s="141"/>
      <c r="IX7" s="141"/>
      <c r="IY7" s="141"/>
      <c r="IZ7" s="141"/>
      <c r="JA7" s="141"/>
      <c r="JB7" s="141"/>
      <c r="JC7" s="141"/>
      <c r="JD7" s="141"/>
      <c r="JE7" s="141"/>
      <c r="JF7" s="141"/>
      <c r="JG7" s="141"/>
      <c r="JH7" s="141"/>
      <c r="JI7" s="141"/>
      <c r="JJ7" s="141"/>
      <c r="JK7" s="141"/>
      <c r="JL7" s="141"/>
      <c r="JM7" s="141"/>
      <c r="JN7" s="141"/>
      <c r="JO7" s="141"/>
      <c r="JP7" s="141"/>
      <c r="JQ7" s="141"/>
      <c r="JR7" s="141"/>
      <c r="JS7" s="141"/>
      <c r="JT7" s="141"/>
      <c r="JU7" s="141"/>
      <c r="JV7" s="141"/>
      <c r="JW7" s="141"/>
      <c r="JX7" s="141"/>
      <c r="JY7" s="141"/>
      <c r="JZ7" s="141"/>
      <c r="KA7" s="141"/>
      <c r="KB7" s="141"/>
      <c r="KC7" s="141"/>
      <c r="KD7" s="141"/>
      <c r="KE7" s="141"/>
      <c r="KF7" s="141"/>
      <c r="KG7" s="141"/>
      <c r="KH7" s="141"/>
      <c r="KI7" s="141"/>
      <c r="KJ7" s="141"/>
      <c r="KK7" s="141"/>
      <c r="KL7" s="141"/>
      <c r="KM7" s="141"/>
      <c r="KN7" s="141"/>
    </row>
    <row r="8" spans="1:300" s="3" customFormat="1" ht="31.5" customHeight="1">
      <c r="A8" s="148"/>
      <c r="B8" s="8"/>
      <c r="C8" s="36"/>
      <c r="D8" s="36"/>
      <c r="E8" s="35"/>
      <c r="F8" s="35"/>
      <c r="G8" s="35"/>
      <c r="H8" s="151"/>
      <c r="I8" s="153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  <c r="CK8" s="141"/>
      <c r="CL8" s="141"/>
      <c r="CM8" s="141"/>
      <c r="CN8" s="141"/>
      <c r="CO8" s="141"/>
      <c r="CP8" s="141"/>
      <c r="CQ8" s="141"/>
      <c r="CR8" s="141"/>
      <c r="CS8" s="141"/>
      <c r="CT8" s="141"/>
      <c r="CU8" s="141"/>
      <c r="CV8" s="141"/>
      <c r="CW8" s="141"/>
      <c r="CX8" s="141"/>
      <c r="CY8" s="141"/>
      <c r="CZ8" s="141"/>
      <c r="DA8" s="141"/>
      <c r="DB8" s="141"/>
      <c r="DC8" s="141"/>
      <c r="DD8" s="141"/>
      <c r="DE8" s="141"/>
      <c r="DF8" s="141"/>
      <c r="DG8" s="141"/>
      <c r="DH8" s="141"/>
      <c r="DI8" s="141"/>
      <c r="DJ8" s="141"/>
      <c r="DK8" s="141"/>
      <c r="DL8" s="141"/>
      <c r="DM8" s="141"/>
      <c r="DN8" s="141"/>
      <c r="DO8" s="141"/>
      <c r="DP8" s="141"/>
      <c r="DQ8" s="141"/>
      <c r="DR8" s="141"/>
      <c r="DS8" s="141"/>
      <c r="DT8" s="141"/>
      <c r="DU8" s="141"/>
      <c r="DV8" s="141"/>
      <c r="DW8" s="141"/>
      <c r="DX8" s="141"/>
      <c r="DY8" s="141"/>
      <c r="DZ8" s="141"/>
      <c r="EA8" s="141"/>
      <c r="EB8" s="141"/>
      <c r="EC8" s="141"/>
      <c r="ED8" s="141"/>
      <c r="EE8" s="141"/>
      <c r="EF8" s="141"/>
      <c r="EG8" s="141"/>
      <c r="EH8" s="141"/>
      <c r="EI8" s="141"/>
      <c r="EJ8" s="141"/>
      <c r="EK8" s="141"/>
      <c r="EL8" s="141"/>
      <c r="EM8" s="141"/>
      <c r="EN8" s="141"/>
      <c r="EO8" s="141"/>
      <c r="EP8" s="141"/>
      <c r="EQ8" s="141"/>
      <c r="ER8" s="141"/>
      <c r="ES8" s="141"/>
      <c r="ET8" s="141"/>
      <c r="EU8" s="141"/>
      <c r="EV8" s="141"/>
      <c r="EW8" s="141"/>
      <c r="EX8" s="141"/>
      <c r="EY8" s="141"/>
      <c r="EZ8" s="141"/>
      <c r="FA8" s="141"/>
      <c r="FB8" s="141"/>
      <c r="FC8" s="141"/>
      <c r="FD8" s="141"/>
      <c r="FE8" s="141"/>
      <c r="FF8" s="141"/>
      <c r="FG8" s="141"/>
      <c r="FH8" s="141"/>
      <c r="FI8" s="141"/>
      <c r="FJ8" s="141"/>
      <c r="FK8" s="141"/>
      <c r="FL8" s="141"/>
      <c r="FM8" s="141"/>
      <c r="FN8" s="141"/>
      <c r="FO8" s="141"/>
      <c r="FP8" s="141"/>
      <c r="FQ8" s="141"/>
      <c r="FR8" s="141"/>
      <c r="FS8" s="141"/>
      <c r="FT8" s="141"/>
      <c r="FU8" s="141"/>
      <c r="FV8" s="141"/>
      <c r="FW8" s="141"/>
      <c r="FX8" s="141"/>
      <c r="FY8" s="141"/>
      <c r="FZ8" s="141"/>
      <c r="GA8" s="141"/>
      <c r="GB8" s="141"/>
      <c r="GC8" s="141"/>
      <c r="GD8" s="141"/>
      <c r="GE8" s="141"/>
      <c r="GF8" s="141"/>
      <c r="GG8" s="141"/>
      <c r="GH8" s="141"/>
      <c r="GI8" s="141"/>
      <c r="GJ8" s="141"/>
      <c r="GK8" s="141"/>
      <c r="GL8" s="141"/>
      <c r="GM8" s="141"/>
      <c r="GN8" s="141"/>
      <c r="GO8" s="141"/>
      <c r="GP8" s="141"/>
      <c r="GQ8" s="141"/>
      <c r="GR8" s="141"/>
      <c r="GS8" s="141"/>
      <c r="GT8" s="141"/>
      <c r="GU8" s="141"/>
      <c r="GV8" s="141"/>
      <c r="GW8" s="141"/>
      <c r="GX8" s="141"/>
      <c r="GY8" s="141"/>
      <c r="GZ8" s="141"/>
      <c r="HA8" s="141"/>
      <c r="HB8" s="141"/>
      <c r="HC8" s="141"/>
      <c r="HD8" s="141"/>
      <c r="HE8" s="141"/>
      <c r="HF8" s="141"/>
      <c r="HG8" s="141"/>
      <c r="HH8" s="141"/>
      <c r="HI8" s="141"/>
      <c r="HJ8" s="141"/>
      <c r="HK8" s="141"/>
      <c r="HL8" s="141"/>
      <c r="HM8" s="141"/>
      <c r="HN8" s="141"/>
      <c r="HO8" s="141"/>
      <c r="HP8" s="141"/>
      <c r="HQ8" s="141"/>
      <c r="HR8" s="141"/>
      <c r="HS8" s="141"/>
      <c r="HT8" s="141"/>
      <c r="HU8" s="141"/>
      <c r="HV8" s="141"/>
      <c r="HW8" s="141"/>
      <c r="HX8" s="141"/>
      <c r="HY8" s="141"/>
      <c r="HZ8" s="141"/>
      <c r="IA8" s="141"/>
      <c r="IB8" s="141"/>
      <c r="IC8" s="141"/>
      <c r="ID8" s="141"/>
      <c r="IE8" s="141"/>
      <c r="IF8" s="141"/>
      <c r="IG8" s="141"/>
      <c r="IH8" s="141"/>
      <c r="II8" s="141"/>
      <c r="IJ8" s="141"/>
      <c r="IK8" s="141"/>
      <c r="IL8" s="141"/>
      <c r="IM8" s="141"/>
      <c r="IN8" s="141"/>
      <c r="IO8" s="141"/>
      <c r="IP8" s="141"/>
      <c r="IQ8" s="141"/>
      <c r="IR8" s="141"/>
      <c r="IS8" s="141"/>
      <c r="IT8" s="141"/>
      <c r="IU8" s="141"/>
      <c r="IV8" s="141"/>
      <c r="IW8" s="141"/>
      <c r="IX8" s="141"/>
      <c r="IY8" s="141"/>
      <c r="IZ8" s="141"/>
      <c r="JA8" s="141"/>
      <c r="JB8" s="141"/>
      <c r="JC8" s="141"/>
      <c r="JD8" s="141"/>
      <c r="JE8" s="141"/>
      <c r="JF8" s="141"/>
      <c r="JG8" s="141"/>
      <c r="JH8" s="141"/>
      <c r="JI8" s="141"/>
      <c r="JJ8" s="141"/>
      <c r="JK8" s="141"/>
      <c r="JL8" s="141"/>
      <c r="JM8" s="141"/>
      <c r="JN8" s="141"/>
      <c r="JO8" s="141"/>
      <c r="JP8" s="141"/>
      <c r="JQ8" s="141"/>
      <c r="JR8" s="141"/>
      <c r="JS8" s="141"/>
      <c r="JT8" s="141"/>
      <c r="JU8" s="141"/>
      <c r="JV8" s="141"/>
      <c r="JW8" s="141"/>
      <c r="JX8" s="141"/>
      <c r="JY8" s="141"/>
      <c r="JZ8" s="141"/>
      <c r="KA8" s="141"/>
      <c r="KB8" s="141"/>
      <c r="KC8" s="141"/>
      <c r="KD8" s="141"/>
      <c r="KE8" s="141"/>
      <c r="KF8" s="141"/>
      <c r="KG8" s="141"/>
      <c r="KH8" s="141"/>
      <c r="KI8" s="141"/>
      <c r="KJ8" s="141"/>
      <c r="KK8" s="141"/>
      <c r="KL8" s="141"/>
      <c r="KM8" s="141"/>
      <c r="KN8" s="141"/>
    </row>
    <row r="9" spans="1:300" s="3" customFormat="1" ht="31.5" customHeight="1">
      <c r="A9" s="148"/>
      <c r="B9" s="8"/>
      <c r="C9" s="36"/>
      <c r="D9" s="36"/>
      <c r="E9" s="35"/>
      <c r="F9" s="35"/>
      <c r="G9" s="35"/>
      <c r="H9" s="151"/>
      <c r="I9" s="153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AQ9" s="141"/>
      <c r="AR9" s="141"/>
      <c r="AS9" s="141"/>
      <c r="AT9" s="141"/>
      <c r="AU9" s="141"/>
      <c r="AV9" s="141"/>
      <c r="AW9" s="141"/>
      <c r="AX9" s="141"/>
      <c r="AY9" s="141"/>
      <c r="AZ9" s="141"/>
      <c r="BA9" s="141"/>
      <c r="BB9" s="141"/>
      <c r="BC9" s="141"/>
      <c r="BD9" s="141"/>
      <c r="BE9" s="141"/>
      <c r="BF9" s="141"/>
      <c r="BG9" s="141"/>
      <c r="BH9" s="141"/>
      <c r="BI9" s="141"/>
      <c r="BJ9" s="141"/>
      <c r="BK9" s="141"/>
      <c r="BL9" s="141"/>
      <c r="BM9" s="141"/>
      <c r="BN9" s="141"/>
      <c r="BO9" s="141"/>
      <c r="BP9" s="141"/>
      <c r="BQ9" s="141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  <c r="CK9" s="141"/>
      <c r="CL9" s="141"/>
      <c r="CM9" s="141"/>
      <c r="CN9" s="141"/>
      <c r="CO9" s="141"/>
      <c r="CP9" s="141"/>
      <c r="CQ9" s="141"/>
      <c r="CR9" s="141"/>
      <c r="CS9" s="141"/>
      <c r="CT9" s="141"/>
      <c r="CU9" s="141"/>
      <c r="CV9" s="141"/>
      <c r="CW9" s="141"/>
      <c r="CX9" s="141"/>
      <c r="CY9" s="141"/>
      <c r="CZ9" s="141"/>
      <c r="DA9" s="141"/>
      <c r="DB9" s="141"/>
      <c r="DC9" s="141"/>
      <c r="DD9" s="141"/>
      <c r="DE9" s="141"/>
      <c r="DF9" s="141"/>
      <c r="DG9" s="141"/>
      <c r="DH9" s="141"/>
      <c r="DI9" s="141"/>
      <c r="DJ9" s="141"/>
      <c r="DK9" s="141"/>
      <c r="DL9" s="141"/>
      <c r="DM9" s="141"/>
      <c r="DN9" s="141"/>
      <c r="DO9" s="141"/>
      <c r="DP9" s="141"/>
      <c r="DQ9" s="141"/>
      <c r="DR9" s="141"/>
      <c r="DS9" s="141"/>
      <c r="DT9" s="141"/>
      <c r="DU9" s="141"/>
      <c r="DV9" s="141"/>
      <c r="DW9" s="141"/>
      <c r="DX9" s="141"/>
      <c r="DY9" s="141"/>
      <c r="DZ9" s="141"/>
      <c r="EA9" s="141"/>
      <c r="EB9" s="141"/>
      <c r="EC9" s="141"/>
      <c r="ED9" s="141"/>
      <c r="EE9" s="141"/>
      <c r="EF9" s="141"/>
      <c r="EG9" s="141"/>
      <c r="EH9" s="141"/>
      <c r="EI9" s="141"/>
      <c r="EJ9" s="141"/>
      <c r="EK9" s="141"/>
      <c r="EL9" s="141"/>
      <c r="EM9" s="141"/>
      <c r="EN9" s="141"/>
      <c r="EO9" s="141"/>
      <c r="EP9" s="141"/>
      <c r="EQ9" s="141"/>
      <c r="ER9" s="141"/>
      <c r="ES9" s="141"/>
      <c r="ET9" s="141"/>
      <c r="EU9" s="141"/>
      <c r="EV9" s="141"/>
      <c r="EW9" s="141"/>
      <c r="EX9" s="141"/>
      <c r="EY9" s="141"/>
      <c r="EZ9" s="141"/>
      <c r="FA9" s="141"/>
      <c r="FB9" s="141"/>
      <c r="FC9" s="141"/>
      <c r="FD9" s="141"/>
      <c r="FE9" s="141"/>
      <c r="FF9" s="141"/>
      <c r="FG9" s="141"/>
      <c r="FH9" s="141"/>
      <c r="FI9" s="141"/>
      <c r="FJ9" s="141"/>
      <c r="FK9" s="141"/>
      <c r="FL9" s="141"/>
      <c r="FM9" s="141"/>
      <c r="FN9" s="141"/>
      <c r="FO9" s="141"/>
      <c r="FP9" s="141"/>
      <c r="FQ9" s="141"/>
      <c r="FR9" s="141"/>
      <c r="FS9" s="141"/>
      <c r="FT9" s="141"/>
      <c r="FU9" s="141"/>
      <c r="FV9" s="141"/>
      <c r="FW9" s="141"/>
      <c r="FX9" s="141"/>
      <c r="FY9" s="141"/>
      <c r="FZ9" s="141"/>
      <c r="GA9" s="141"/>
      <c r="GB9" s="141"/>
      <c r="GC9" s="141"/>
      <c r="GD9" s="141"/>
      <c r="GE9" s="141"/>
      <c r="GF9" s="141"/>
      <c r="GG9" s="141"/>
      <c r="GH9" s="141"/>
      <c r="GI9" s="141"/>
      <c r="GJ9" s="141"/>
      <c r="GK9" s="141"/>
      <c r="GL9" s="141"/>
      <c r="GM9" s="141"/>
      <c r="GN9" s="141"/>
      <c r="GO9" s="141"/>
      <c r="GP9" s="141"/>
      <c r="GQ9" s="141"/>
      <c r="GR9" s="141"/>
      <c r="GS9" s="141"/>
      <c r="GT9" s="141"/>
      <c r="GU9" s="141"/>
      <c r="GV9" s="141"/>
      <c r="GW9" s="141"/>
      <c r="GX9" s="141"/>
      <c r="GY9" s="141"/>
      <c r="GZ9" s="141"/>
      <c r="HA9" s="141"/>
      <c r="HB9" s="141"/>
      <c r="HC9" s="141"/>
      <c r="HD9" s="141"/>
      <c r="HE9" s="141"/>
      <c r="HF9" s="141"/>
      <c r="HG9" s="141"/>
      <c r="HH9" s="141"/>
      <c r="HI9" s="141"/>
      <c r="HJ9" s="141"/>
      <c r="HK9" s="141"/>
      <c r="HL9" s="141"/>
      <c r="HM9" s="141"/>
      <c r="HN9" s="141"/>
      <c r="HO9" s="141"/>
      <c r="HP9" s="141"/>
      <c r="HQ9" s="141"/>
      <c r="HR9" s="141"/>
      <c r="HS9" s="141"/>
      <c r="HT9" s="141"/>
      <c r="HU9" s="141"/>
      <c r="HV9" s="141"/>
      <c r="HW9" s="141"/>
      <c r="HX9" s="141"/>
      <c r="HY9" s="141"/>
      <c r="HZ9" s="141"/>
      <c r="IA9" s="141"/>
      <c r="IB9" s="141"/>
      <c r="IC9" s="141"/>
      <c r="ID9" s="141"/>
      <c r="IE9" s="141"/>
      <c r="IF9" s="141"/>
      <c r="IG9" s="141"/>
      <c r="IH9" s="141"/>
      <c r="II9" s="141"/>
      <c r="IJ9" s="141"/>
      <c r="IK9" s="141"/>
      <c r="IL9" s="141"/>
      <c r="IM9" s="141"/>
      <c r="IN9" s="141"/>
      <c r="IO9" s="141"/>
      <c r="IP9" s="141"/>
      <c r="IQ9" s="141"/>
      <c r="IR9" s="141"/>
      <c r="IS9" s="141"/>
      <c r="IT9" s="141"/>
      <c r="IU9" s="141"/>
      <c r="IV9" s="141"/>
      <c r="IW9" s="141"/>
      <c r="IX9" s="141"/>
      <c r="IY9" s="141"/>
      <c r="IZ9" s="141"/>
      <c r="JA9" s="141"/>
      <c r="JB9" s="141"/>
      <c r="JC9" s="141"/>
      <c r="JD9" s="141"/>
      <c r="JE9" s="141"/>
      <c r="JF9" s="141"/>
      <c r="JG9" s="141"/>
      <c r="JH9" s="141"/>
      <c r="JI9" s="141"/>
      <c r="JJ9" s="141"/>
      <c r="JK9" s="141"/>
      <c r="JL9" s="141"/>
      <c r="JM9" s="141"/>
      <c r="JN9" s="141"/>
      <c r="JO9" s="141"/>
      <c r="JP9" s="141"/>
      <c r="JQ9" s="141"/>
      <c r="JR9" s="141"/>
      <c r="JS9" s="141"/>
      <c r="JT9" s="141"/>
      <c r="JU9" s="141"/>
      <c r="JV9" s="141"/>
      <c r="JW9" s="141"/>
      <c r="JX9" s="141"/>
      <c r="JY9" s="141"/>
      <c r="JZ9" s="141"/>
      <c r="KA9" s="141"/>
      <c r="KB9" s="141"/>
      <c r="KC9" s="141"/>
      <c r="KD9" s="141"/>
      <c r="KE9" s="141"/>
      <c r="KF9" s="141"/>
      <c r="KG9" s="141"/>
      <c r="KH9" s="141"/>
      <c r="KI9" s="141"/>
      <c r="KJ9" s="141"/>
      <c r="KK9" s="141"/>
      <c r="KL9" s="141"/>
      <c r="KM9" s="141"/>
      <c r="KN9" s="141"/>
    </row>
    <row r="10" spans="1:300" s="3" customFormat="1" ht="31.5" customHeight="1">
      <c r="A10" s="148"/>
      <c r="B10" s="8"/>
      <c r="C10" s="36"/>
      <c r="D10" s="36"/>
      <c r="E10" s="35"/>
      <c r="F10" s="35"/>
      <c r="G10" s="35"/>
      <c r="H10" s="151"/>
      <c r="I10" s="153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141"/>
      <c r="FY10" s="141"/>
      <c r="FZ10" s="141"/>
      <c r="GA10" s="141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  <c r="HD10" s="141"/>
      <c r="HE10" s="141"/>
      <c r="HF10" s="141"/>
      <c r="HG10" s="141"/>
      <c r="HH10" s="141"/>
      <c r="HI10" s="141"/>
      <c r="HJ10" s="141"/>
      <c r="HK10" s="141"/>
      <c r="HL10" s="141"/>
      <c r="HM10" s="141"/>
      <c r="HN10" s="141"/>
      <c r="HO10" s="141"/>
      <c r="HP10" s="141"/>
      <c r="HQ10" s="141"/>
      <c r="HR10" s="141"/>
      <c r="HS10" s="141"/>
      <c r="HT10" s="141"/>
      <c r="HU10" s="141"/>
      <c r="HV10" s="141"/>
      <c r="HW10" s="141"/>
      <c r="HX10" s="141"/>
      <c r="HY10" s="141"/>
      <c r="HZ10" s="141"/>
      <c r="IA10" s="141"/>
      <c r="IB10" s="141"/>
      <c r="IC10" s="141"/>
      <c r="ID10" s="141"/>
      <c r="IE10" s="141"/>
      <c r="IF10" s="141"/>
      <c r="IG10" s="141"/>
      <c r="IH10" s="141"/>
      <c r="II10" s="141"/>
      <c r="IJ10" s="141"/>
      <c r="IK10" s="141"/>
      <c r="IL10" s="141"/>
      <c r="IM10" s="141"/>
      <c r="IN10" s="141"/>
      <c r="IO10" s="141"/>
      <c r="IP10" s="141"/>
      <c r="IQ10" s="141"/>
      <c r="IR10" s="141"/>
      <c r="IS10" s="141"/>
      <c r="IT10" s="141"/>
      <c r="IU10" s="141"/>
      <c r="IV10" s="141"/>
      <c r="IW10" s="141"/>
      <c r="IX10" s="141"/>
      <c r="IY10" s="141"/>
      <c r="IZ10" s="141"/>
      <c r="JA10" s="141"/>
      <c r="JB10" s="141"/>
      <c r="JC10" s="141"/>
      <c r="JD10" s="141"/>
      <c r="JE10" s="141"/>
      <c r="JF10" s="141"/>
      <c r="JG10" s="141"/>
      <c r="JH10" s="141"/>
      <c r="JI10" s="141"/>
      <c r="JJ10" s="141"/>
      <c r="JK10" s="141"/>
      <c r="JL10" s="141"/>
      <c r="JM10" s="141"/>
      <c r="JN10" s="141"/>
      <c r="JO10" s="141"/>
      <c r="JP10" s="141"/>
      <c r="JQ10" s="141"/>
      <c r="JR10" s="141"/>
      <c r="JS10" s="141"/>
      <c r="JT10" s="141"/>
      <c r="JU10" s="141"/>
      <c r="JV10" s="141"/>
      <c r="JW10" s="141"/>
      <c r="JX10" s="141"/>
      <c r="JY10" s="141"/>
      <c r="JZ10" s="141"/>
      <c r="KA10" s="141"/>
      <c r="KB10" s="141"/>
      <c r="KC10" s="141"/>
      <c r="KD10" s="141"/>
      <c r="KE10" s="141"/>
      <c r="KF10" s="141"/>
      <c r="KG10" s="141"/>
      <c r="KH10" s="141"/>
      <c r="KI10" s="141"/>
      <c r="KJ10" s="141"/>
      <c r="KK10" s="141"/>
      <c r="KL10" s="141"/>
      <c r="KM10" s="141"/>
      <c r="KN10" s="141"/>
    </row>
    <row r="11" spans="1:300" s="3" customFormat="1" ht="31.5" customHeight="1">
      <c r="A11" s="148"/>
      <c r="B11" s="8"/>
      <c r="C11" s="36"/>
      <c r="D11" s="36"/>
      <c r="E11" s="35"/>
      <c r="F11" s="35"/>
      <c r="G11" s="35"/>
      <c r="H11" s="151"/>
      <c r="I11" s="153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141"/>
      <c r="IZ11" s="141"/>
      <c r="JA11" s="141"/>
      <c r="JB11" s="141"/>
      <c r="JC11" s="141"/>
      <c r="JD11" s="141"/>
      <c r="JE11" s="141"/>
      <c r="JF11" s="141"/>
      <c r="JG11" s="141"/>
      <c r="JH11" s="141"/>
      <c r="JI11" s="141"/>
      <c r="JJ11" s="141"/>
      <c r="JK11" s="141"/>
      <c r="JL11" s="141"/>
      <c r="JM11" s="141"/>
      <c r="JN11" s="141"/>
      <c r="JO11" s="141"/>
      <c r="JP11" s="141"/>
      <c r="JQ11" s="141"/>
      <c r="JR11" s="141"/>
      <c r="JS11" s="141"/>
      <c r="JT11" s="141"/>
      <c r="JU11" s="141"/>
      <c r="JV11" s="141"/>
      <c r="JW11" s="141"/>
      <c r="JX11" s="141"/>
      <c r="JY11" s="141"/>
      <c r="JZ11" s="141"/>
      <c r="KA11" s="141"/>
      <c r="KB11" s="141"/>
      <c r="KC11" s="141"/>
      <c r="KD11" s="141"/>
      <c r="KE11" s="141"/>
      <c r="KF11" s="141"/>
      <c r="KG11" s="141"/>
      <c r="KH11" s="141"/>
      <c r="KI11" s="141"/>
      <c r="KJ11" s="141"/>
      <c r="KK11" s="141"/>
      <c r="KL11" s="141"/>
      <c r="KM11" s="141"/>
      <c r="KN11" s="141"/>
    </row>
    <row r="12" spans="1:300" s="3" customFormat="1" ht="31.5" customHeight="1">
      <c r="A12" s="148"/>
      <c r="B12" s="8"/>
      <c r="C12" s="36"/>
      <c r="D12" s="36"/>
      <c r="E12" s="35"/>
      <c r="F12" s="35"/>
      <c r="G12" s="35"/>
      <c r="H12" s="151"/>
      <c r="I12" s="153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  <c r="CK12" s="141"/>
      <c r="CL12" s="141"/>
      <c r="CM12" s="141"/>
      <c r="CN12" s="141"/>
      <c r="CO12" s="141"/>
      <c r="CP12" s="141"/>
      <c r="CQ12" s="141"/>
      <c r="CR12" s="141"/>
      <c r="CS12" s="141"/>
      <c r="CT12" s="141"/>
      <c r="CU12" s="141"/>
      <c r="CV12" s="141"/>
      <c r="CW12" s="141"/>
      <c r="CX12" s="141"/>
      <c r="CY12" s="141"/>
      <c r="CZ12" s="141"/>
      <c r="DA12" s="141"/>
      <c r="DB12" s="141"/>
      <c r="DC12" s="141"/>
      <c r="DD12" s="141"/>
      <c r="DE12" s="141"/>
      <c r="DF12" s="141"/>
      <c r="DG12" s="141"/>
      <c r="DH12" s="141"/>
      <c r="DI12" s="141"/>
      <c r="DJ12" s="141"/>
      <c r="DK12" s="141"/>
      <c r="DL12" s="141"/>
      <c r="DM12" s="141"/>
      <c r="DN12" s="141"/>
      <c r="DO12" s="141"/>
      <c r="DP12" s="141"/>
      <c r="DQ12" s="141"/>
      <c r="DR12" s="141"/>
      <c r="DS12" s="141"/>
      <c r="DT12" s="141"/>
      <c r="DU12" s="141"/>
      <c r="DV12" s="141"/>
      <c r="DW12" s="141"/>
      <c r="DX12" s="141"/>
      <c r="DY12" s="141"/>
      <c r="DZ12" s="141"/>
      <c r="EA12" s="141"/>
      <c r="EB12" s="141"/>
      <c r="EC12" s="141"/>
      <c r="ED12" s="141"/>
      <c r="EE12" s="141"/>
      <c r="EF12" s="141"/>
      <c r="EG12" s="141"/>
      <c r="EH12" s="141"/>
      <c r="EI12" s="141"/>
      <c r="EJ12" s="141"/>
      <c r="EK12" s="141"/>
      <c r="EL12" s="141"/>
      <c r="EM12" s="141"/>
      <c r="EN12" s="141"/>
      <c r="EO12" s="141"/>
      <c r="EP12" s="141"/>
      <c r="EQ12" s="141"/>
      <c r="ER12" s="141"/>
      <c r="ES12" s="141"/>
      <c r="ET12" s="141"/>
      <c r="EU12" s="141"/>
      <c r="EV12" s="141"/>
      <c r="EW12" s="141"/>
      <c r="EX12" s="141"/>
      <c r="EY12" s="141"/>
      <c r="EZ12" s="141"/>
      <c r="FA12" s="141"/>
      <c r="FB12" s="141"/>
      <c r="FC12" s="141"/>
      <c r="FD12" s="141"/>
      <c r="FE12" s="141"/>
      <c r="FF12" s="141"/>
      <c r="FG12" s="141"/>
      <c r="FH12" s="141"/>
      <c r="FI12" s="141"/>
      <c r="FJ12" s="141"/>
      <c r="FK12" s="141"/>
      <c r="FL12" s="141"/>
      <c r="FM12" s="141"/>
      <c r="FN12" s="141"/>
      <c r="FO12" s="141"/>
      <c r="FP12" s="141"/>
      <c r="FQ12" s="141"/>
      <c r="FR12" s="141"/>
      <c r="FS12" s="141"/>
      <c r="FT12" s="141"/>
      <c r="FU12" s="141"/>
      <c r="FV12" s="141"/>
      <c r="FW12" s="141"/>
      <c r="FX12" s="141"/>
      <c r="FY12" s="141"/>
      <c r="FZ12" s="141"/>
      <c r="GA12" s="141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  <c r="HD12" s="141"/>
      <c r="HE12" s="141"/>
      <c r="HF12" s="141"/>
      <c r="HG12" s="141"/>
      <c r="HH12" s="141"/>
      <c r="HI12" s="141"/>
      <c r="HJ12" s="141"/>
      <c r="HK12" s="141"/>
      <c r="HL12" s="141"/>
      <c r="HM12" s="141"/>
      <c r="HN12" s="141"/>
      <c r="HO12" s="141"/>
      <c r="HP12" s="141"/>
      <c r="HQ12" s="141"/>
      <c r="HR12" s="141"/>
      <c r="HS12" s="141"/>
      <c r="HT12" s="141"/>
      <c r="HU12" s="141"/>
      <c r="HV12" s="141"/>
      <c r="HW12" s="141"/>
      <c r="HX12" s="141"/>
      <c r="HY12" s="141"/>
      <c r="HZ12" s="141"/>
      <c r="IA12" s="141"/>
      <c r="IB12" s="141"/>
      <c r="IC12" s="141"/>
      <c r="ID12" s="141"/>
      <c r="IE12" s="141"/>
      <c r="IF12" s="141"/>
      <c r="IG12" s="141"/>
      <c r="IH12" s="141"/>
      <c r="II12" s="141"/>
      <c r="IJ12" s="141"/>
      <c r="IK12" s="141"/>
      <c r="IL12" s="141"/>
      <c r="IM12" s="141"/>
      <c r="IN12" s="141"/>
      <c r="IO12" s="141"/>
      <c r="IP12" s="141"/>
      <c r="IQ12" s="141"/>
      <c r="IR12" s="141"/>
      <c r="IS12" s="141"/>
      <c r="IT12" s="141"/>
      <c r="IU12" s="141"/>
      <c r="IV12" s="141"/>
      <c r="IW12" s="141"/>
      <c r="IX12" s="141"/>
      <c r="IY12" s="141"/>
      <c r="IZ12" s="141"/>
      <c r="JA12" s="141"/>
      <c r="JB12" s="141"/>
      <c r="JC12" s="141"/>
      <c r="JD12" s="141"/>
      <c r="JE12" s="141"/>
      <c r="JF12" s="141"/>
      <c r="JG12" s="141"/>
      <c r="JH12" s="141"/>
      <c r="JI12" s="141"/>
      <c r="JJ12" s="141"/>
      <c r="JK12" s="141"/>
      <c r="JL12" s="141"/>
      <c r="JM12" s="141"/>
      <c r="JN12" s="141"/>
      <c r="JO12" s="141"/>
      <c r="JP12" s="141"/>
      <c r="JQ12" s="141"/>
      <c r="JR12" s="141"/>
      <c r="JS12" s="141"/>
      <c r="JT12" s="141"/>
      <c r="JU12" s="141"/>
      <c r="JV12" s="141"/>
      <c r="JW12" s="141"/>
      <c r="JX12" s="141"/>
      <c r="JY12" s="141"/>
      <c r="JZ12" s="141"/>
      <c r="KA12" s="141"/>
      <c r="KB12" s="141"/>
      <c r="KC12" s="141"/>
      <c r="KD12" s="141"/>
      <c r="KE12" s="141"/>
      <c r="KF12" s="141"/>
      <c r="KG12" s="141"/>
      <c r="KH12" s="141"/>
      <c r="KI12" s="141"/>
      <c r="KJ12" s="141"/>
      <c r="KK12" s="141"/>
      <c r="KL12" s="141"/>
      <c r="KM12" s="141"/>
      <c r="KN12" s="141"/>
    </row>
    <row r="13" spans="1:300" s="3" customFormat="1" ht="31.5" customHeight="1">
      <c r="A13" s="148"/>
      <c r="B13" s="8"/>
      <c r="C13" s="36"/>
      <c r="D13" s="36"/>
      <c r="E13" s="35"/>
      <c r="F13" s="35"/>
      <c r="G13" s="35"/>
      <c r="H13" s="151"/>
      <c r="I13" s="153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  <c r="CK13" s="141"/>
      <c r="CL13" s="141"/>
      <c r="CM13" s="141"/>
      <c r="CN13" s="141"/>
      <c r="CO13" s="141"/>
      <c r="CP13" s="141"/>
      <c r="CQ13" s="141"/>
      <c r="CR13" s="141"/>
      <c r="CS13" s="141"/>
      <c r="CT13" s="141"/>
      <c r="CU13" s="141"/>
      <c r="CV13" s="141"/>
      <c r="CW13" s="141"/>
      <c r="CX13" s="141"/>
      <c r="CY13" s="141"/>
      <c r="CZ13" s="141"/>
      <c r="DA13" s="141"/>
      <c r="DB13" s="141"/>
      <c r="DC13" s="141"/>
      <c r="DD13" s="141"/>
      <c r="DE13" s="141"/>
      <c r="DF13" s="141"/>
      <c r="DG13" s="141"/>
      <c r="DH13" s="141"/>
      <c r="DI13" s="141"/>
      <c r="DJ13" s="141"/>
      <c r="DK13" s="141"/>
      <c r="DL13" s="141"/>
      <c r="DM13" s="141"/>
      <c r="DN13" s="141"/>
      <c r="DO13" s="141"/>
      <c r="DP13" s="141"/>
      <c r="DQ13" s="141"/>
      <c r="DR13" s="141"/>
      <c r="DS13" s="141"/>
      <c r="DT13" s="141"/>
      <c r="DU13" s="141"/>
      <c r="DV13" s="141"/>
      <c r="DW13" s="141"/>
      <c r="DX13" s="141"/>
      <c r="DY13" s="141"/>
      <c r="DZ13" s="141"/>
      <c r="EA13" s="141"/>
      <c r="EB13" s="141"/>
      <c r="EC13" s="141"/>
      <c r="ED13" s="141"/>
      <c r="EE13" s="141"/>
      <c r="EF13" s="141"/>
      <c r="EG13" s="141"/>
      <c r="EH13" s="141"/>
      <c r="EI13" s="141"/>
      <c r="EJ13" s="141"/>
      <c r="EK13" s="141"/>
      <c r="EL13" s="141"/>
      <c r="EM13" s="141"/>
      <c r="EN13" s="141"/>
      <c r="EO13" s="141"/>
      <c r="EP13" s="141"/>
      <c r="EQ13" s="141"/>
      <c r="ER13" s="141"/>
      <c r="ES13" s="141"/>
      <c r="ET13" s="141"/>
      <c r="EU13" s="141"/>
      <c r="EV13" s="141"/>
      <c r="EW13" s="141"/>
      <c r="EX13" s="141"/>
      <c r="EY13" s="141"/>
      <c r="EZ13" s="141"/>
      <c r="FA13" s="141"/>
      <c r="FB13" s="141"/>
      <c r="FC13" s="141"/>
      <c r="FD13" s="141"/>
      <c r="FE13" s="141"/>
      <c r="FF13" s="141"/>
      <c r="FG13" s="141"/>
      <c r="FH13" s="141"/>
      <c r="FI13" s="141"/>
      <c r="FJ13" s="141"/>
      <c r="FK13" s="141"/>
      <c r="FL13" s="141"/>
      <c r="FM13" s="141"/>
      <c r="FN13" s="141"/>
      <c r="FO13" s="141"/>
      <c r="FP13" s="141"/>
      <c r="FQ13" s="141"/>
      <c r="FR13" s="141"/>
      <c r="FS13" s="141"/>
      <c r="FT13" s="141"/>
      <c r="FU13" s="141"/>
      <c r="FV13" s="141"/>
      <c r="FW13" s="141"/>
      <c r="FX13" s="141"/>
      <c r="FY13" s="141"/>
      <c r="FZ13" s="141"/>
      <c r="GA13" s="141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  <c r="HD13" s="141"/>
      <c r="HE13" s="141"/>
      <c r="HF13" s="141"/>
      <c r="HG13" s="141"/>
      <c r="HH13" s="141"/>
      <c r="HI13" s="141"/>
      <c r="HJ13" s="141"/>
      <c r="HK13" s="141"/>
      <c r="HL13" s="141"/>
      <c r="HM13" s="141"/>
      <c r="HN13" s="141"/>
      <c r="HO13" s="141"/>
      <c r="HP13" s="141"/>
      <c r="HQ13" s="141"/>
      <c r="HR13" s="141"/>
      <c r="HS13" s="141"/>
      <c r="HT13" s="141"/>
      <c r="HU13" s="141"/>
      <c r="HV13" s="141"/>
      <c r="HW13" s="141"/>
      <c r="HX13" s="141"/>
      <c r="HY13" s="141"/>
      <c r="HZ13" s="141"/>
      <c r="IA13" s="141"/>
      <c r="IB13" s="141"/>
      <c r="IC13" s="141"/>
      <c r="ID13" s="141"/>
      <c r="IE13" s="141"/>
      <c r="IF13" s="141"/>
      <c r="IG13" s="141"/>
      <c r="IH13" s="141"/>
      <c r="II13" s="141"/>
      <c r="IJ13" s="141"/>
      <c r="IK13" s="141"/>
      <c r="IL13" s="141"/>
      <c r="IM13" s="141"/>
      <c r="IN13" s="141"/>
      <c r="IO13" s="141"/>
      <c r="IP13" s="141"/>
      <c r="IQ13" s="141"/>
      <c r="IR13" s="141"/>
      <c r="IS13" s="141"/>
      <c r="IT13" s="141"/>
      <c r="IU13" s="141"/>
      <c r="IV13" s="141"/>
      <c r="IW13" s="141"/>
      <c r="IX13" s="141"/>
      <c r="IY13" s="141"/>
      <c r="IZ13" s="141"/>
      <c r="JA13" s="141"/>
      <c r="JB13" s="141"/>
      <c r="JC13" s="141"/>
      <c r="JD13" s="141"/>
      <c r="JE13" s="141"/>
      <c r="JF13" s="141"/>
      <c r="JG13" s="141"/>
      <c r="JH13" s="141"/>
      <c r="JI13" s="141"/>
      <c r="JJ13" s="141"/>
      <c r="JK13" s="141"/>
      <c r="JL13" s="141"/>
      <c r="JM13" s="141"/>
      <c r="JN13" s="141"/>
      <c r="JO13" s="141"/>
      <c r="JP13" s="141"/>
      <c r="JQ13" s="141"/>
      <c r="JR13" s="141"/>
      <c r="JS13" s="141"/>
      <c r="JT13" s="141"/>
      <c r="JU13" s="141"/>
      <c r="JV13" s="141"/>
      <c r="JW13" s="141"/>
      <c r="JX13" s="141"/>
      <c r="JY13" s="141"/>
      <c r="JZ13" s="141"/>
      <c r="KA13" s="141"/>
      <c r="KB13" s="141"/>
      <c r="KC13" s="141"/>
      <c r="KD13" s="141"/>
      <c r="KE13" s="141"/>
      <c r="KF13" s="141"/>
      <c r="KG13" s="141"/>
      <c r="KH13" s="141"/>
      <c r="KI13" s="141"/>
      <c r="KJ13" s="141"/>
      <c r="KK13" s="141"/>
      <c r="KL13" s="141"/>
      <c r="KM13" s="141"/>
      <c r="KN13" s="141"/>
    </row>
    <row r="14" spans="1:300" s="3" customFormat="1" ht="31.5" customHeight="1">
      <c r="A14" s="148"/>
      <c r="B14" s="8"/>
      <c r="C14" s="36"/>
      <c r="D14" s="36"/>
      <c r="E14" s="35"/>
      <c r="F14" s="35"/>
      <c r="G14" s="35"/>
      <c r="H14" s="151"/>
      <c r="I14" s="153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1"/>
      <c r="FF14" s="141"/>
      <c r="FG14" s="141"/>
      <c r="FH14" s="141"/>
      <c r="FI14" s="141"/>
      <c r="FJ14" s="141"/>
      <c r="FK14" s="141"/>
      <c r="FL14" s="141"/>
      <c r="FM14" s="141"/>
      <c r="FN14" s="141"/>
      <c r="FO14" s="141"/>
      <c r="FP14" s="141"/>
      <c r="FQ14" s="141"/>
      <c r="FR14" s="141"/>
      <c r="FS14" s="141"/>
      <c r="FT14" s="141"/>
      <c r="FU14" s="141"/>
      <c r="FV14" s="141"/>
      <c r="FW14" s="141"/>
      <c r="FX14" s="141"/>
      <c r="FY14" s="141"/>
      <c r="FZ14" s="141"/>
      <c r="GA14" s="141"/>
      <c r="GB14" s="141"/>
      <c r="GC14" s="141"/>
      <c r="GD14" s="141"/>
      <c r="GE14" s="141"/>
      <c r="GF14" s="141"/>
      <c r="GG14" s="141"/>
      <c r="GH14" s="141"/>
      <c r="GI14" s="141"/>
      <c r="GJ14" s="141"/>
      <c r="GK14" s="141"/>
      <c r="GL14" s="141"/>
      <c r="GM14" s="141"/>
      <c r="GN14" s="141"/>
      <c r="GO14" s="141"/>
      <c r="GP14" s="141"/>
      <c r="GQ14" s="141"/>
      <c r="GR14" s="141"/>
      <c r="GS14" s="141"/>
      <c r="GT14" s="141"/>
      <c r="GU14" s="141"/>
      <c r="GV14" s="141"/>
      <c r="GW14" s="141"/>
      <c r="GX14" s="141"/>
      <c r="GY14" s="141"/>
      <c r="GZ14" s="141"/>
      <c r="HA14" s="141"/>
      <c r="HB14" s="141"/>
      <c r="HC14" s="141"/>
      <c r="HD14" s="141"/>
      <c r="HE14" s="141"/>
      <c r="HF14" s="141"/>
      <c r="HG14" s="141"/>
      <c r="HH14" s="141"/>
      <c r="HI14" s="141"/>
      <c r="HJ14" s="141"/>
      <c r="HK14" s="141"/>
      <c r="HL14" s="141"/>
      <c r="HM14" s="141"/>
      <c r="HN14" s="141"/>
      <c r="HO14" s="141"/>
      <c r="HP14" s="141"/>
      <c r="HQ14" s="141"/>
      <c r="HR14" s="141"/>
      <c r="HS14" s="141"/>
      <c r="HT14" s="141"/>
      <c r="HU14" s="141"/>
      <c r="HV14" s="141"/>
      <c r="HW14" s="141"/>
      <c r="HX14" s="141"/>
      <c r="HY14" s="141"/>
      <c r="HZ14" s="141"/>
      <c r="IA14" s="141"/>
      <c r="IB14" s="141"/>
      <c r="IC14" s="141"/>
      <c r="ID14" s="141"/>
      <c r="IE14" s="141"/>
      <c r="IF14" s="141"/>
      <c r="IG14" s="141"/>
      <c r="IH14" s="141"/>
      <c r="II14" s="141"/>
      <c r="IJ14" s="141"/>
      <c r="IK14" s="141"/>
      <c r="IL14" s="141"/>
      <c r="IM14" s="141"/>
      <c r="IN14" s="141"/>
      <c r="IO14" s="141"/>
      <c r="IP14" s="141"/>
      <c r="IQ14" s="141"/>
      <c r="IR14" s="141"/>
      <c r="IS14" s="141"/>
      <c r="IT14" s="141"/>
      <c r="IU14" s="141"/>
      <c r="IV14" s="141"/>
      <c r="IW14" s="141"/>
      <c r="IX14" s="141"/>
      <c r="IY14" s="141"/>
      <c r="IZ14" s="141"/>
      <c r="JA14" s="141"/>
      <c r="JB14" s="141"/>
      <c r="JC14" s="141"/>
      <c r="JD14" s="141"/>
      <c r="JE14" s="141"/>
      <c r="JF14" s="141"/>
      <c r="JG14" s="141"/>
      <c r="JH14" s="141"/>
      <c r="JI14" s="141"/>
      <c r="JJ14" s="141"/>
      <c r="JK14" s="141"/>
      <c r="JL14" s="141"/>
      <c r="JM14" s="141"/>
      <c r="JN14" s="141"/>
      <c r="JO14" s="141"/>
      <c r="JP14" s="141"/>
      <c r="JQ14" s="141"/>
      <c r="JR14" s="141"/>
      <c r="JS14" s="141"/>
      <c r="JT14" s="141"/>
      <c r="JU14" s="141"/>
      <c r="JV14" s="141"/>
      <c r="JW14" s="141"/>
      <c r="JX14" s="141"/>
      <c r="JY14" s="141"/>
      <c r="JZ14" s="141"/>
      <c r="KA14" s="141"/>
      <c r="KB14" s="141"/>
      <c r="KC14" s="141"/>
      <c r="KD14" s="141"/>
      <c r="KE14" s="141"/>
      <c r="KF14" s="141"/>
      <c r="KG14" s="141"/>
      <c r="KH14" s="141"/>
      <c r="KI14" s="141"/>
      <c r="KJ14" s="141"/>
      <c r="KK14" s="141"/>
      <c r="KL14" s="141"/>
      <c r="KM14" s="141"/>
      <c r="KN14" s="141"/>
    </row>
    <row r="15" spans="1:300" s="3" customFormat="1" ht="31.5" customHeight="1">
      <c r="A15" s="148"/>
      <c r="B15" s="8"/>
      <c r="C15" s="36"/>
      <c r="D15" s="36"/>
      <c r="E15" s="35"/>
      <c r="F15" s="35"/>
      <c r="G15" s="35"/>
      <c r="H15" s="151"/>
      <c r="I15" s="153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1"/>
      <c r="FP15" s="141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/>
      <c r="IN15" s="141"/>
      <c r="IO15" s="141"/>
      <c r="IP15" s="141"/>
      <c r="IQ15" s="141"/>
      <c r="IR15" s="141"/>
      <c r="IS15" s="141"/>
      <c r="IT15" s="141"/>
      <c r="IU15" s="141"/>
      <c r="IV15" s="141"/>
      <c r="IW15" s="141"/>
      <c r="IX15" s="141"/>
      <c r="IY15" s="141"/>
      <c r="IZ15" s="141"/>
      <c r="JA15" s="141"/>
      <c r="JB15" s="141"/>
      <c r="JC15" s="141"/>
      <c r="JD15" s="141"/>
      <c r="JE15" s="141"/>
      <c r="JF15" s="141"/>
      <c r="JG15" s="141"/>
      <c r="JH15" s="141"/>
      <c r="JI15" s="141"/>
      <c r="JJ15" s="141"/>
      <c r="JK15" s="141"/>
      <c r="JL15" s="141"/>
      <c r="JM15" s="141"/>
      <c r="JN15" s="141"/>
      <c r="JO15" s="141"/>
      <c r="JP15" s="141"/>
      <c r="JQ15" s="141"/>
      <c r="JR15" s="141"/>
      <c r="JS15" s="141"/>
      <c r="JT15" s="141"/>
      <c r="JU15" s="141"/>
      <c r="JV15" s="141"/>
      <c r="JW15" s="141"/>
      <c r="JX15" s="141"/>
      <c r="JY15" s="141"/>
      <c r="JZ15" s="141"/>
      <c r="KA15" s="141"/>
      <c r="KB15" s="141"/>
      <c r="KC15" s="141"/>
      <c r="KD15" s="141"/>
      <c r="KE15" s="141"/>
      <c r="KF15" s="141"/>
      <c r="KG15" s="141"/>
      <c r="KH15" s="141"/>
      <c r="KI15" s="141"/>
      <c r="KJ15" s="141"/>
      <c r="KK15" s="141"/>
      <c r="KL15" s="141"/>
      <c r="KM15" s="141"/>
      <c r="KN15" s="141"/>
    </row>
    <row r="16" spans="1:300" s="3" customFormat="1" ht="31.5" customHeight="1">
      <c r="A16" s="148"/>
      <c r="B16" s="8"/>
      <c r="C16" s="36"/>
      <c r="D16" s="36"/>
      <c r="E16" s="35"/>
      <c r="F16" s="35"/>
      <c r="G16" s="35"/>
      <c r="H16" s="151"/>
      <c r="I16" s="153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1"/>
      <c r="DD16" s="141"/>
      <c r="DE16" s="141"/>
      <c r="DF16" s="141"/>
      <c r="DG16" s="141"/>
      <c r="DH16" s="141"/>
      <c r="DI16" s="141"/>
      <c r="DJ16" s="141"/>
      <c r="DK16" s="141"/>
      <c r="DL16" s="141"/>
      <c r="DM16" s="141"/>
      <c r="DN16" s="141"/>
      <c r="DO16" s="141"/>
      <c r="DP16" s="141"/>
      <c r="DQ16" s="141"/>
      <c r="DR16" s="141"/>
      <c r="DS16" s="141"/>
      <c r="DT16" s="141"/>
      <c r="DU16" s="141"/>
      <c r="DV16" s="141"/>
      <c r="DW16" s="141"/>
      <c r="DX16" s="141"/>
      <c r="DY16" s="141"/>
      <c r="DZ16" s="141"/>
      <c r="EA16" s="141"/>
      <c r="EB16" s="141"/>
      <c r="EC16" s="141"/>
      <c r="ED16" s="141"/>
      <c r="EE16" s="141"/>
      <c r="EF16" s="141"/>
      <c r="EG16" s="141"/>
      <c r="EH16" s="141"/>
      <c r="EI16" s="141"/>
      <c r="EJ16" s="141"/>
      <c r="EK16" s="141"/>
      <c r="EL16" s="141"/>
      <c r="EM16" s="141"/>
      <c r="EN16" s="141"/>
      <c r="EO16" s="141"/>
      <c r="EP16" s="141"/>
      <c r="EQ16" s="141"/>
      <c r="ER16" s="141"/>
      <c r="ES16" s="141"/>
      <c r="ET16" s="141"/>
      <c r="EU16" s="141"/>
      <c r="EV16" s="141"/>
      <c r="EW16" s="141"/>
      <c r="EX16" s="141"/>
      <c r="EY16" s="141"/>
      <c r="EZ16" s="141"/>
      <c r="FA16" s="141"/>
      <c r="FB16" s="141"/>
      <c r="FC16" s="141"/>
      <c r="FD16" s="141"/>
      <c r="FE16" s="141"/>
      <c r="FF16" s="141"/>
      <c r="FG16" s="141"/>
      <c r="FH16" s="141"/>
      <c r="FI16" s="141"/>
      <c r="FJ16" s="141"/>
      <c r="FK16" s="141"/>
      <c r="FL16" s="141"/>
      <c r="FM16" s="141"/>
      <c r="FN16" s="141"/>
      <c r="FO16" s="141"/>
      <c r="FP16" s="141"/>
      <c r="FQ16" s="141"/>
      <c r="FR16" s="141"/>
      <c r="FS16" s="141"/>
      <c r="FT16" s="141"/>
      <c r="FU16" s="141"/>
      <c r="FV16" s="141"/>
      <c r="FW16" s="141"/>
      <c r="FX16" s="141"/>
      <c r="FY16" s="141"/>
      <c r="FZ16" s="141"/>
      <c r="GA16" s="141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  <c r="HD16" s="141"/>
      <c r="HE16" s="141"/>
      <c r="HF16" s="141"/>
      <c r="HG16" s="141"/>
      <c r="HH16" s="141"/>
      <c r="HI16" s="141"/>
      <c r="HJ16" s="141"/>
      <c r="HK16" s="141"/>
      <c r="HL16" s="141"/>
      <c r="HM16" s="141"/>
      <c r="HN16" s="141"/>
      <c r="HO16" s="141"/>
      <c r="HP16" s="141"/>
      <c r="HQ16" s="141"/>
      <c r="HR16" s="141"/>
      <c r="HS16" s="141"/>
      <c r="HT16" s="141"/>
      <c r="HU16" s="141"/>
      <c r="HV16" s="141"/>
      <c r="HW16" s="141"/>
      <c r="HX16" s="141"/>
      <c r="HY16" s="141"/>
      <c r="HZ16" s="141"/>
      <c r="IA16" s="141"/>
      <c r="IB16" s="141"/>
      <c r="IC16" s="141"/>
      <c r="ID16" s="141"/>
      <c r="IE16" s="141"/>
      <c r="IF16" s="141"/>
      <c r="IG16" s="141"/>
      <c r="IH16" s="141"/>
      <c r="II16" s="141"/>
      <c r="IJ16" s="141"/>
      <c r="IK16" s="141"/>
      <c r="IL16" s="141"/>
      <c r="IM16" s="141"/>
      <c r="IN16" s="141"/>
      <c r="IO16" s="141"/>
      <c r="IP16" s="141"/>
      <c r="IQ16" s="141"/>
      <c r="IR16" s="141"/>
      <c r="IS16" s="141"/>
      <c r="IT16" s="141"/>
      <c r="IU16" s="141"/>
      <c r="IV16" s="141"/>
      <c r="IW16" s="141"/>
      <c r="IX16" s="141"/>
      <c r="IY16" s="141"/>
      <c r="IZ16" s="141"/>
      <c r="JA16" s="141"/>
      <c r="JB16" s="141"/>
      <c r="JC16" s="141"/>
      <c r="JD16" s="141"/>
      <c r="JE16" s="141"/>
      <c r="JF16" s="141"/>
      <c r="JG16" s="141"/>
      <c r="JH16" s="141"/>
      <c r="JI16" s="141"/>
      <c r="JJ16" s="141"/>
      <c r="JK16" s="141"/>
      <c r="JL16" s="141"/>
      <c r="JM16" s="141"/>
      <c r="JN16" s="141"/>
      <c r="JO16" s="141"/>
      <c r="JP16" s="141"/>
      <c r="JQ16" s="141"/>
      <c r="JR16" s="141"/>
      <c r="JS16" s="141"/>
      <c r="JT16" s="141"/>
      <c r="JU16" s="141"/>
      <c r="JV16" s="141"/>
      <c r="JW16" s="141"/>
      <c r="JX16" s="141"/>
      <c r="JY16" s="141"/>
      <c r="JZ16" s="141"/>
      <c r="KA16" s="141"/>
      <c r="KB16" s="141"/>
      <c r="KC16" s="141"/>
      <c r="KD16" s="141"/>
      <c r="KE16" s="141"/>
      <c r="KF16" s="141"/>
      <c r="KG16" s="141"/>
      <c r="KH16" s="141"/>
      <c r="KI16" s="141"/>
      <c r="KJ16" s="141"/>
      <c r="KK16" s="141"/>
      <c r="KL16" s="141"/>
      <c r="KM16" s="141"/>
      <c r="KN16" s="141"/>
    </row>
    <row r="17" spans="1:300" s="3" customFormat="1" ht="31.5" customHeight="1">
      <c r="A17" s="148"/>
      <c r="B17" s="8"/>
      <c r="C17" s="36"/>
      <c r="D17" s="36"/>
      <c r="E17" s="35"/>
      <c r="F17" s="35"/>
      <c r="G17" s="35"/>
      <c r="H17" s="151"/>
      <c r="I17" s="153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1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141"/>
      <c r="DA17" s="141"/>
      <c r="DB17" s="141"/>
      <c r="DC17" s="141"/>
      <c r="DD17" s="141"/>
      <c r="DE17" s="141"/>
      <c r="DF17" s="141"/>
      <c r="DG17" s="141"/>
      <c r="DH17" s="141"/>
      <c r="DI17" s="141"/>
      <c r="DJ17" s="141"/>
      <c r="DK17" s="141"/>
      <c r="DL17" s="141"/>
      <c r="DM17" s="141"/>
      <c r="DN17" s="141"/>
      <c r="DO17" s="141"/>
      <c r="DP17" s="141"/>
      <c r="DQ17" s="141"/>
      <c r="DR17" s="141"/>
      <c r="DS17" s="141"/>
      <c r="DT17" s="141"/>
      <c r="DU17" s="141"/>
      <c r="DV17" s="141"/>
      <c r="DW17" s="141"/>
      <c r="DX17" s="141"/>
      <c r="DY17" s="141"/>
      <c r="DZ17" s="141"/>
      <c r="EA17" s="141"/>
      <c r="EB17" s="141"/>
      <c r="EC17" s="141"/>
      <c r="ED17" s="141"/>
      <c r="EE17" s="141"/>
      <c r="EF17" s="141"/>
      <c r="EG17" s="141"/>
      <c r="EH17" s="141"/>
      <c r="EI17" s="141"/>
      <c r="EJ17" s="141"/>
      <c r="EK17" s="141"/>
      <c r="EL17" s="141"/>
      <c r="EM17" s="141"/>
      <c r="EN17" s="141"/>
      <c r="EO17" s="141"/>
      <c r="EP17" s="141"/>
      <c r="EQ17" s="141"/>
      <c r="ER17" s="141"/>
      <c r="ES17" s="141"/>
      <c r="ET17" s="141"/>
      <c r="EU17" s="141"/>
      <c r="EV17" s="141"/>
      <c r="EW17" s="141"/>
      <c r="EX17" s="141"/>
      <c r="EY17" s="141"/>
      <c r="EZ17" s="141"/>
      <c r="FA17" s="141"/>
      <c r="FB17" s="141"/>
      <c r="FC17" s="141"/>
      <c r="FD17" s="141"/>
      <c r="FE17" s="141"/>
      <c r="FF17" s="141"/>
      <c r="FG17" s="141"/>
      <c r="FH17" s="141"/>
      <c r="FI17" s="141"/>
      <c r="FJ17" s="141"/>
      <c r="FK17" s="141"/>
      <c r="FL17" s="141"/>
      <c r="FM17" s="141"/>
      <c r="FN17" s="141"/>
      <c r="FO17" s="141"/>
      <c r="FP17" s="141"/>
      <c r="FQ17" s="141"/>
      <c r="FR17" s="141"/>
      <c r="FS17" s="141"/>
      <c r="FT17" s="141"/>
      <c r="FU17" s="141"/>
      <c r="FV17" s="141"/>
      <c r="FW17" s="141"/>
      <c r="FX17" s="141"/>
      <c r="FY17" s="141"/>
      <c r="FZ17" s="141"/>
      <c r="GA17" s="141"/>
      <c r="GB17" s="141"/>
      <c r="GC17" s="141"/>
      <c r="GD17" s="141"/>
      <c r="GE17" s="141"/>
      <c r="GF17" s="141"/>
      <c r="GG17" s="141"/>
      <c r="GH17" s="141"/>
      <c r="GI17" s="141"/>
      <c r="GJ17" s="141"/>
      <c r="GK17" s="141"/>
      <c r="GL17" s="141"/>
      <c r="GM17" s="141"/>
      <c r="GN17" s="141"/>
      <c r="GO17" s="141"/>
      <c r="GP17" s="141"/>
      <c r="GQ17" s="141"/>
      <c r="GR17" s="141"/>
      <c r="GS17" s="141"/>
      <c r="GT17" s="141"/>
      <c r="GU17" s="141"/>
      <c r="GV17" s="141"/>
      <c r="GW17" s="141"/>
      <c r="GX17" s="141"/>
      <c r="GY17" s="141"/>
      <c r="GZ17" s="141"/>
      <c r="HA17" s="141"/>
      <c r="HB17" s="141"/>
      <c r="HC17" s="141"/>
      <c r="HD17" s="141"/>
      <c r="HE17" s="141"/>
      <c r="HF17" s="141"/>
      <c r="HG17" s="141"/>
      <c r="HH17" s="141"/>
      <c r="HI17" s="141"/>
      <c r="HJ17" s="141"/>
      <c r="HK17" s="141"/>
      <c r="HL17" s="141"/>
      <c r="HM17" s="141"/>
      <c r="HN17" s="141"/>
      <c r="HO17" s="141"/>
      <c r="HP17" s="141"/>
      <c r="HQ17" s="141"/>
      <c r="HR17" s="141"/>
      <c r="HS17" s="141"/>
      <c r="HT17" s="141"/>
      <c r="HU17" s="141"/>
      <c r="HV17" s="141"/>
      <c r="HW17" s="141"/>
      <c r="HX17" s="141"/>
      <c r="HY17" s="141"/>
      <c r="HZ17" s="141"/>
      <c r="IA17" s="141"/>
      <c r="IB17" s="141"/>
      <c r="IC17" s="141"/>
      <c r="ID17" s="141"/>
      <c r="IE17" s="141"/>
      <c r="IF17" s="141"/>
      <c r="IG17" s="141"/>
      <c r="IH17" s="141"/>
      <c r="II17" s="141"/>
      <c r="IJ17" s="141"/>
      <c r="IK17" s="141"/>
      <c r="IL17" s="141"/>
      <c r="IM17" s="141"/>
      <c r="IN17" s="141"/>
      <c r="IO17" s="141"/>
      <c r="IP17" s="141"/>
      <c r="IQ17" s="141"/>
      <c r="IR17" s="141"/>
      <c r="IS17" s="141"/>
      <c r="IT17" s="141"/>
      <c r="IU17" s="141"/>
      <c r="IV17" s="141"/>
      <c r="IW17" s="141"/>
      <c r="IX17" s="141"/>
      <c r="IY17" s="141"/>
      <c r="IZ17" s="141"/>
      <c r="JA17" s="141"/>
      <c r="JB17" s="141"/>
      <c r="JC17" s="141"/>
      <c r="JD17" s="141"/>
      <c r="JE17" s="141"/>
      <c r="JF17" s="141"/>
      <c r="JG17" s="141"/>
      <c r="JH17" s="141"/>
      <c r="JI17" s="141"/>
      <c r="JJ17" s="141"/>
      <c r="JK17" s="141"/>
      <c r="JL17" s="141"/>
      <c r="JM17" s="141"/>
      <c r="JN17" s="141"/>
      <c r="JO17" s="141"/>
      <c r="JP17" s="141"/>
      <c r="JQ17" s="141"/>
      <c r="JR17" s="141"/>
      <c r="JS17" s="141"/>
      <c r="JT17" s="141"/>
      <c r="JU17" s="141"/>
      <c r="JV17" s="141"/>
      <c r="JW17" s="141"/>
      <c r="JX17" s="141"/>
      <c r="JY17" s="141"/>
      <c r="JZ17" s="141"/>
      <c r="KA17" s="141"/>
      <c r="KB17" s="141"/>
      <c r="KC17" s="141"/>
      <c r="KD17" s="141"/>
      <c r="KE17" s="141"/>
      <c r="KF17" s="141"/>
      <c r="KG17" s="141"/>
      <c r="KH17" s="141"/>
      <c r="KI17" s="141"/>
      <c r="KJ17" s="141"/>
      <c r="KK17" s="141"/>
      <c r="KL17" s="141"/>
      <c r="KM17" s="141"/>
      <c r="KN17" s="141"/>
    </row>
    <row r="18" spans="1:300" s="3" customFormat="1" ht="31.5" customHeight="1">
      <c r="A18" s="148"/>
      <c r="B18" s="8"/>
      <c r="C18" s="36"/>
      <c r="D18" s="36"/>
      <c r="E18" s="35"/>
      <c r="F18" s="35"/>
      <c r="G18" s="35"/>
      <c r="H18" s="151"/>
      <c r="I18" s="153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141"/>
      <c r="BM18" s="141"/>
      <c r="BN18" s="141"/>
      <c r="BO18" s="141"/>
      <c r="BP18" s="141"/>
      <c r="BQ18" s="141"/>
      <c r="BR18" s="141"/>
      <c r="BS18" s="141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  <c r="CK18" s="141"/>
      <c r="CL18" s="141"/>
      <c r="CM18" s="141"/>
      <c r="CN18" s="141"/>
      <c r="CO18" s="141"/>
      <c r="CP18" s="141"/>
      <c r="CQ18" s="141"/>
      <c r="CR18" s="141"/>
      <c r="CS18" s="141"/>
      <c r="CT18" s="141"/>
      <c r="CU18" s="141"/>
      <c r="CV18" s="141"/>
      <c r="CW18" s="141"/>
      <c r="CX18" s="141"/>
      <c r="CY18" s="141"/>
      <c r="CZ18" s="141"/>
      <c r="DA18" s="141"/>
      <c r="DB18" s="141"/>
      <c r="DC18" s="141"/>
      <c r="DD18" s="141"/>
      <c r="DE18" s="141"/>
      <c r="DF18" s="141"/>
      <c r="DG18" s="141"/>
      <c r="DH18" s="141"/>
      <c r="DI18" s="141"/>
      <c r="DJ18" s="141"/>
      <c r="DK18" s="141"/>
      <c r="DL18" s="141"/>
      <c r="DM18" s="141"/>
      <c r="DN18" s="141"/>
      <c r="DO18" s="141"/>
      <c r="DP18" s="141"/>
      <c r="DQ18" s="141"/>
      <c r="DR18" s="141"/>
      <c r="DS18" s="141"/>
      <c r="DT18" s="141"/>
      <c r="DU18" s="141"/>
      <c r="DV18" s="141"/>
      <c r="DW18" s="141"/>
      <c r="DX18" s="141"/>
      <c r="DY18" s="141"/>
      <c r="DZ18" s="141"/>
      <c r="EA18" s="141"/>
      <c r="EB18" s="141"/>
      <c r="EC18" s="141"/>
      <c r="ED18" s="141"/>
      <c r="EE18" s="141"/>
      <c r="EF18" s="141"/>
      <c r="EG18" s="141"/>
      <c r="EH18" s="141"/>
      <c r="EI18" s="141"/>
      <c r="EJ18" s="141"/>
      <c r="EK18" s="141"/>
      <c r="EL18" s="141"/>
      <c r="EM18" s="141"/>
      <c r="EN18" s="141"/>
      <c r="EO18" s="141"/>
      <c r="EP18" s="141"/>
      <c r="EQ18" s="141"/>
      <c r="ER18" s="141"/>
      <c r="ES18" s="141"/>
      <c r="ET18" s="141"/>
      <c r="EU18" s="141"/>
      <c r="EV18" s="141"/>
      <c r="EW18" s="141"/>
      <c r="EX18" s="141"/>
      <c r="EY18" s="141"/>
      <c r="EZ18" s="141"/>
      <c r="FA18" s="141"/>
      <c r="FB18" s="141"/>
      <c r="FC18" s="141"/>
      <c r="FD18" s="141"/>
      <c r="FE18" s="141"/>
      <c r="FF18" s="141"/>
      <c r="FG18" s="141"/>
      <c r="FH18" s="141"/>
      <c r="FI18" s="141"/>
      <c r="FJ18" s="141"/>
      <c r="FK18" s="141"/>
      <c r="FL18" s="141"/>
      <c r="FM18" s="141"/>
      <c r="FN18" s="141"/>
      <c r="FO18" s="141"/>
      <c r="FP18" s="141"/>
      <c r="FQ18" s="141"/>
      <c r="FR18" s="141"/>
      <c r="FS18" s="141"/>
      <c r="FT18" s="141"/>
      <c r="FU18" s="141"/>
      <c r="FV18" s="141"/>
      <c r="FW18" s="141"/>
      <c r="FX18" s="141"/>
      <c r="FY18" s="141"/>
      <c r="FZ18" s="141"/>
      <c r="GA18" s="141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  <c r="HD18" s="141"/>
      <c r="HE18" s="141"/>
      <c r="HF18" s="141"/>
      <c r="HG18" s="141"/>
      <c r="HH18" s="141"/>
      <c r="HI18" s="141"/>
      <c r="HJ18" s="141"/>
      <c r="HK18" s="141"/>
      <c r="HL18" s="141"/>
      <c r="HM18" s="141"/>
      <c r="HN18" s="141"/>
      <c r="HO18" s="141"/>
      <c r="HP18" s="141"/>
      <c r="HQ18" s="141"/>
      <c r="HR18" s="141"/>
      <c r="HS18" s="141"/>
      <c r="HT18" s="141"/>
      <c r="HU18" s="141"/>
      <c r="HV18" s="141"/>
      <c r="HW18" s="141"/>
      <c r="HX18" s="141"/>
      <c r="HY18" s="141"/>
      <c r="HZ18" s="141"/>
      <c r="IA18" s="141"/>
      <c r="IB18" s="141"/>
      <c r="IC18" s="141"/>
      <c r="ID18" s="141"/>
      <c r="IE18" s="141"/>
      <c r="IF18" s="141"/>
      <c r="IG18" s="141"/>
      <c r="IH18" s="141"/>
      <c r="II18" s="141"/>
      <c r="IJ18" s="141"/>
      <c r="IK18" s="141"/>
      <c r="IL18" s="141"/>
      <c r="IM18" s="141"/>
      <c r="IN18" s="141"/>
      <c r="IO18" s="141"/>
      <c r="IP18" s="141"/>
      <c r="IQ18" s="141"/>
      <c r="IR18" s="141"/>
      <c r="IS18" s="141"/>
      <c r="IT18" s="141"/>
      <c r="IU18" s="141"/>
      <c r="IV18" s="141"/>
      <c r="IW18" s="141"/>
      <c r="IX18" s="141"/>
      <c r="IY18" s="141"/>
      <c r="IZ18" s="141"/>
      <c r="JA18" s="141"/>
      <c r="JB18" s="141"/>
      <c r="JC18" s="141"/>
      <c r="JD18" s="141"/>
      <c r="JE18" s="141"/>
      <c r="JF18" s="141"/>
      <c r="JG18" s="141"/>
      <c r="JH18" s="141"/>
      <c r="JI18" s="141"/>
      <c r="JJ18" s="141"/>
      <c r="JK18" s="141"/>
      <c r="JL18" s="141"/>
      <c r="JM18" s="141"/>
      <c r="JN18" s="141"/>
      <c r="JO18" s="141"/>
      <c r="JP18" s="141"/>
      <c r="JQ18" s="141"/>
      <c r="JR18" s="141"/>
      <c r="JS18" s="141"/>
      <c r="JT18" s="141"/>
      <c r="JU18" s="141"/>
      <c r="JV18" s="141"/>
      <c r="JW18" s="141"/>
      <c r="JX18" s="141"/>
      <c r="JY18" s="141"/>
      <c r="JZ18" s="141"/>
      <c r="KA18" s="141"/>
      <c r="KB18" s="141"/>
      <c r="KC18" s="141"/>
      <c r="KD18" s="141"/>
      <c r="KE18" s="141"/>
      <c r="KF18" s="141"/>
      <c r="KG18" s="141"/>
      <c r="KH18" s="141"/>
      <c r="KI18" s="141"/>
      <c r="KJ18" s="141"/>
      <c r="KK18" s="141"/>
      <c r="KL18" s="141"/>
      <c r="KM18" s="141"/>
      <c r="KN18" s="141"/>
    </row>
    <row r="19" spans="1:300" s="3" customFormat="1" ht="31.5" customHeight="1">
      <c r="A19" s="148"/>
      <c r="B19" s="8"/>
      <c r="C19" s="36"/>
      <c r="D19" s="36"/>
      <c r="E19" s="35"/>
      <c r="F19" s="35"/>
      <c r="G19" s="35"/>
      <c r="H19" s="151"/>
      <c r="I19" s="153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1"/>
      <c r="CY19" s="141"/>
      <c r="CZ19" s="141"/>
      <c r="DA19" s="141"/>
      <c r="DB19" s="141"/>
      <c r="DC19" s="141"/>
      <c r="DD19" s="141"/>
      <c r="DE19" s="141"/>
      <c r="DF19" s="141"/>
      <c r="DG19" s="141"/>
      <c r="DH19" s="141"/>
      <c r="DI19" s="141"/>
      <c r="DJ19" s="141"/>
      <c r="DK19" s="141"/>
      <c r="DL19" s="141"/>
      <c r="DM19" s="141"/>
      <c r="DN19" s="141"/>
      <c r="DO19" s="141"/>
      <c r="DP19" s="141"/>
      <c r="DQ19" s="141"/>
      <c r="DR19" s="141"/>
      <c r="DS19" s="141"/>
      <c r="DT19" s="141"/>
      <c r="DU19" s="141"/>
      <c r="DV19" s="141"/>
      <c r="DW19" s="141"/>
      <c r="DX19" s="141"/>
      <c r="DY19" s="141"/>
      <c r="DZ19" s="141"/>
      <c r="EA19" s="141"/>
      <c r="EB19" s="141"/>
      <c r="EC19" s="141"/>
      <c r="ED19" s="141"/>
      <c r="EE19" s="141"/>
      <c r="EF19" s="141"/>
      <c r="EG19" s="141"/>
      <c r="EH19" s="141"/>
      <c r="EI19" s="141"/>
      <c r="EJ19" s="141"/>
      <c r="EK19" s="141"/>
      <c r="EL19" s="141"/>
      <c r="EM19" s="141"/>
      <c r="EN19" s="141"/>
      <c r="EO19" s="141"/>
      <c r="EP19" s="141"/>
      <c r="EQ19" s="141"/>
      <c r="ER19" s="141"/>
      <c r="ES19" s="141"/>
      <c r="ET19" s="141"/>
      <c r="EU19" s="141"/>
      <c r="EV19" s="141"/>
      <c r="EW19" s="141"/>
      <c r="EX19" s="141"/>
      <c r="EY19" s="141"/>
      <c r="EZ19" s="141"/>
      <c r="FA19" s="141"/>
      <c r="FB19" s="141"/>
      <c r="FC19" s="141"/>
      <c r="FD19" s="141"/>
      <c r="FE19" s="141"/>
      <c r="FF19" s="141"/>
      <c r="FG19" s="141"/>
      <c r="FH19" s="141"/>
      <c r="FI19" s="141"/>
      <c r="FJ19" s="141"/>
      <c r="FK19" s="141"/>
      <c r="FL19" s="141"/>
      <c r="FM19" s="141"/>
      <c r="FN19" s="141"/>
      <c r="FO19" s="141"/>
      <c r="FP19" s="141"/>
      <c r="FQ19" s="141"/>
      <c r="FR19" s="141"/>
      <c r="FS19" s="141"/>
      <c r="FT19" s="141"/>
      <c r="FU19" s="141"/>
      <c r="FV19" s="141"/>
      <c r="FW19" s="141"/>
      <c r="FX19" s="141"/>
      <c r="FY19" s="141"/>
      <c r="FZ19" s="141"/>
      <c r="GA19" s="141"/>
      <c r="GB19" s="141"/>
      <c r="GC19" s="141"/>
      <c r="GD19" s="141"/>
      <c r="GE19" s="141"/>
      <c r="GF19" s="141"/>
      <c r="GG19" s="141"/>
      <c r="GH19" s="141"/>
      <c r="GI19" s="141"/>
      <c r="GJ19" s="141"/>
      <c r="GK19" s="141"/>
      <c r="GL19" s="141"/>
      <c r="GM19" s="141"/>
      <c r="GN19" s="141"/>
      <c r="GO19" s="141"/>
      <c r="GP19" s="141"/>
      <c r="GQ19" s="141"/>
      <c r="GR19" s="141"/>
      <c r="GS19" s="141"/>
      <c r="GT19" s="141"/>
      <c r="GU19" s="141"/>
      <c r="GV19" s="141"/>
      <c r="GW19" s="141"/>
      <c r="GX19" s="141"/>
      <c r="GY19" s="141"/>
      <c r="GZ19" s="141"/>
      <c r="HA19" s="141"/>
      <c r="HB19" s="141"/>
      <c r="HC19" s="141"/>
      <c r="HD19" s="141"/>
      <c r="HE19" s="141"/>
      <c r="HF19" s="141"/>
      <c r="HG19" s="141"/>
      <c r="HH19" s="141"/>
      <c r="HI19" s="141"/>
      <c r="HJ19" s="141"/>
      <c r="HK19" s="141"/>
      <c r="HL19" s="141"/>
      <c r="HM19" s="141"/>
      <c r="HN19" s="141"/>
      <c r="HO19" s="141"/>
      <c r="HP19" s="141"/>
      <c r="HQ19" s="141"/>
      <c r="HR19" s="141"/>
      <c r="HS19" s="141"/>
      <c r="HT19" s="141"/>
      <c r="HU19" s="141"/>
      <c r="HV19" s="141"/>
      <c r="HW19" s="141"/>
      <c r="HX19" s="141"/>
      <c r="HY19" s="141"/>
      <c r="HZ19" s="141"/>
      <c r="IA19" s="141"/>
      <c r="IB19" s="141"/>
      <c r="IC19" s="141"/>
      <c r="ID19" s="141"/>
      <c r="IE19" s="141"/>
      <c r="IF19" s="141"/>
      <c r="IG19" s="141"/>
      <c r="IH19" s="141"/>
      <c r="II19" s="141"/>
      <c r="IJ19" s="141"/>
      <c r="IK19" s="141"/>
      <c r="IL19" s="141"/>
      <c r="IM19" s="141"/>
      <c r="IN19" s="141"/>
      <c r="IO19" s="141"/>
      <c r="IP19" s="141"/>
      <c r="IQ19" s="141"/>
      <c r="IR19" s="141"/>
      <c r="IS19" s="141"/>
      <c r="IT19" s="141"/>
      <c r="IU19" s="141"/>
      <c r="IV19" s="141"/>
      <c r="IW19" s="141"/>
      <c r="IX19" s="141"/>
      <c r="IY19" s="141"/>
      <c r="IZ19" s="141"/>
      <c r="JA19" s="141"/>
      <c r="JB19" s="141"/>
      <c r="JC19" s="141"/>
      <c r="JD19" s="141"/>
      <c r="JE19" s="141"/>
      <c r="JF19" s="141"/>
      <c r="JG19" s="141"/>
      <c r="JH19" s="141"/>
      <c r="JI19" s="141"/>
      <c r="JJ19" s="141"/>
      <c r="JK19" s="141"/>
      <c r="JL19" s="141"/>
      <c r="JM19" s="141"/>
      <c r="JN19" s="141"/>
      <c r="JO19" s="141"/>
      <c r="JP19" s="141"/>
      <c r="JQ19" s="141"/>
      <c r="JR19" s="141"/>
      <c r="JS19" s="141"/>
      <c r="JT19" s="141"/>
      <c r="JU19" s="141"/>
      <c r="JV19" s="141"/>
      <c r="JW19" s="141"/>
      <c r="JX19" s="141"/>
      <c r="JY19" s="141"/>
      <c r="JZ19" s="141"/>
      <c r="KA19" s="141"/>
      <c r="KB19" s="141"/>
      <c r="KC19" s="141"/>
      <c r="KD19" s="141"/>
      <c r="KE19" s="141"/>
      <c r="KF19" s="141"/>
      <c r="KG19" s="141"/>
      <c r="KH19" s="141"/>
      <c r="KI19" s="141"/>
      <c r="KJ19" s="141"/>
      <c r="KK19" s="141"/>
      <c r="KL19" s="141"/>
      <c r="KM19" s="141"/>
      <c r="KN19" s="141"/>
    </row>
    <row r="20" spans="1:300" s="3" customFormat="1" ht="31.5" customHeight="1">
      <c r="A20" s="148"/>
      <c r="B20" s="8"/>
      <c r="C20" s="36"/>
      <c r="D20" s="36"/>
      <c r="E20" s="35"/>
      <c r="F20" s="35"/>
      <c r="G20" s="35"/>
      <c r="H20" s="151"/>
      <c r="I20" s="153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141"/>
      <c r="BM20" s="141"/>
      <c r="BN20" s="141"/>
      <c r="BO20" s="141"/>
      <c r="BP20" s="141"/>
      <c r="BQ20" s="141"/>
      <c r="BR20" s="141"/>
      <c r="BS20" s="141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  <c r="CK20" s="141"/>
      <c r="CL20" s="141"/>
      <c r="CM20" s="141"/>
      <c r="CN20" s="141"/>
      <c r="CO20" s="141"/>
      <c r="CP20" s="141"/>
      <c r="CQ20" s="141"/>
      <c r="CR20" s="141"/>
      <c r="CS20" s="141"/>
      <c r="CT20" s="141"/>
      <c r="CU20" s="141"/>
      <c r="CV20" s="141"/>
      <c r="CW20" s="141"/>
      <c r="CX20" s="141"/>
      <c r="CY20" s="141"/>
      <c r="CZ20" s="141"/>
      <c r="DA20" s="141"/>
      <c r="DB20" s="141"/>
      <c r="DC20" s="141"/>
      <c r="DD20" s="141"/>
      <c r="DE20" s="141"/>
      <c r="DF20" s="141"/>
      <c r="DG20" s="141"/>
      <c r="DH20" s="141"/>
      <c r="DI20" s="141"/>
      <c r="DJ20" s="141"/>
      <c r="DK20" s="141"/>
      <c r="DL20" s="141"/>
      <c r="DM20" s="141"/>
      <c r="DN20" s="141"/>
      <c r="DO20" s="141"/>
      <c r="DP20" s="141"/>
      <c r="DQ20" s="141"/>
      <c r="DR20" s="141"/>
      <c r="DS20" s="141"/>
      <c r="DT20" s="141"/>
      <c r="DU20" s="141"/>
      <c r="DV20" s="141"/>
      <c r="DW20" s="141"/>
      <c r="DX20" s="141"/>
      <c r="DY20" s="141"/>
      <c r="DZ20" s="141"/>
      <c r="EA20" s="141"/>
      <c r="EB20" s="141"/>
      <c r="EC20" s="141"/>
      <c r="ED20" s="141"/>
      <c r="EE20" s="141"/>
      <c r="EF20" s="141"/>
      <c r="EG20" s="141"/>
      <c r="EH20" s="141"/>
      <c r="EI20" s="141"/>
      <c r="EJ20" s="141"/>
      <c r="EK20" s="141"/>
      <c r="EL20" s="141"/>
      <c r="EM20" s="141"/>
      <c r="EN20" s="141"/>
      <c r="EO20" s="141"/>
      <c r="EP20" s="141"/>
      <c r="EQ20" s="141"/>
      <c r="ER20" s="141"/>
      <c r="ES20" s="141"/>
      <c r="ET20" s="141"/>
      <c r="EU20" s="141"/>
      <c r="EV20" s="141"/>
      <c r="EW20" s="141"/>
      <c r="EX20" s="141"/>
      <c r="EY20" s="141"/>
      <c r="EZ20" s="141"/>
      <c r="FA20" s="141"/>
      <c r="FB20" s="141"/>
      <c r="FC20" s="141"/>
      <c r="FD20" s="141"/>
      <c r="FE20" s="141"/>
      <c r="FF20" s="141"/>
      <c r="FG20" s="141"/>
      <c r="FH20" s="141"/>
      <c r="FI20" s="141"/>
      <c r="FJ20" s="141"/>
      <c r="FK20" s="141"/>
      <c r="FL20" s="141"/>
      <c r="FM20" s="141"/>
      <c r="FN20" s="141"/>
      <c r="FO20" s="141"/>
      <c r="FP20" s="141"/>
      <c r="FQ20" s="141"/>
      <c r="FR20" s="141"/>
      <c r="FS20" s="141"/>
      <c r="FT20" s="141"/>
      <c r="FU20" s="141"/>
      <c r="FV20" s="141"/>
      <c r="FW20" s="141"/>
      <c r="FX20" s="141"/>
      <c r="FY20" s="141"/>
      <c r="FZ20" s="141"/>
      <c r="GA20" s="141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  <c r="HD20" s="141"/>
      <c r="HE20" s="141"/>
      <c r="HF20" s="141"/>
      <c r="HG20" s="141"/>
      <c r="HH20" s="141"/>
      <c r="HI20" s="141"/>
      <c r="HJ20" s="141"/>
      <c r="HK20" s="141"/>
      <c r="HL20" s="141"/>
      <c r="HM20" s="141"/>
      <c r="HN20" s="141"/>
      <c r="HO20" s="141"/>
      <c r="HP20" s="141"/>
      <c r="HQ20" s="141"/>
      <c r="HR20" s="141"/>
      <c r="HS20" s="141"/>
      <c r="HT20" s="141"/>
      <c r="HU20" s="141"/>
      <c r="HV20" s="141"/>
      <c r="HW20" s="141"/>
      <c r="HX20" s="141"/>
      <c r="HY20" s="141"/>
      <c r="HZ20" s="141"/>
      <c r="IA20" s="141"/>
      <c r="IB20" s="141"/>
      <c r="IC20" s="141"/>
      <c r="ID20" s="141"/>
      <c r="IE20" s="141"/>
      <c r="IF20" s="141"/>
      <c r="IG20" s="141"/>
      <c r="IH20" s="141"/>
      <c r="II20" s="141"/>
      <c r="IJ20" s="141"/>
      <c r="IK20" s="141"/>
      <c r="IL20" s="141"/>
      <c r="IM20" s="141"/>
      <c r="IN20" s="141"/>
      <c r="IO20" s="141"/>
      <c r="IP20" s="141"/>
      <c r="IQ20" s="141"/>
      <c r="IR20" s="141"/>
      <c r="IS20" s="141"/>
      <c r="IT20" s="141"/>
      <c r="IU20" s="141"/>
      <c r="IV20" s="141"/>
      <c r="IW20" s="141"/>
      <c r="IX20" s="141"/>
      <c r="IY20" s="141"/>
      <c r="IZ20" s="141"/>
      <c r="JA20" s="141"/>
      <c r="JB20" s="141"/>
      <c r="JC20" s="141"/>
      <c r="JD20" s="141"/>
      <c r="JE20" s="141"/>
      <c r="JF20" s="141"/>
      <c r="JG20" s="141"/>
      <c r="JH20" s="141"/>
      <c r="JI20" s="141"/>
      <c r="JJ20" s="141"/>
      <c r="JK20" s="141"/>
      <c r="JL20" s="141"/>
      <c r="JM20" s="141"/>
      <c r="JN20" s="141"/>
      <c r="JO20" s="141"/>
      <c r="JP20" s="141"/>
      <c r="JQ20" s="141"/>
      <c r="JR20" s="141"/>
      <c r="JS20" s="141"/>
      <c r="JT20" s="141"/>
      <c r="JU20" s="141"/>
      <c r="JV20" s="141"/>
      <c r="JW20" s="141"/>
      <c r="JX20" s="141"/>
      <c r="JY20" s="141"/>
      <c r="JZ20" s="141"/>
      <c r="KA20" s="141"/>
      <c r="KB20" s="141"/>
      <c r="KC20" s="141"/>
      <c r="KD20" s="141"/>
      <c r="KE20" s="141"/>
      <c r="KF20" s="141"/>
      <c r="KG20" s="141"/>
      <c r="KH20" s="141"/>
      <c r="KI20" s="141"/>
      <c r="KJ20" s="141"/>
      <c r="KK20" s="141"/>
      <c r="KL20" s="141"/>
      <c r="KM20" s="141"/>
      <c r="KN20" s="141"/>
    </row>
    <row r="21" spans="1:300" s="3" customFormat="1" ht="31.5" customHeight="1">
      <c r="A21" s="148"/>
      <c r="B21" s="8"/>
      <c r="C21" s="36"/>
      <c r="D21" s="36"/>
      <c r="E21" s="35"/>
      <c r="F21" s="35"/>
      <c r="G21" s="35"/>
      <c r="H21" s="151"/>
      <c r="I21" s="153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  <c r="CZ21" s="141"/>
      <c r="DA21" s="141"/>
      <c r="DB21" s="141"/>
      <c r="DC21" s="141"/>
      <c r="DD21" s="141"/>
      <c r="DE21" s="141"/>
      <c r="DF21" s="141"/>
      <c r="DG21" s="141"/>
      <c r="DH21" s="141"/>
      <c r="DI21" s="141"/>
      <c r="DJ21" s="141"/>
      <c r="DK21" s="141"/>
      <c r="DL21" s="141"/>
      <c r="DM21" s="141"/>
      <c r="DN21" s="141"/>
      <c r="DO21" s="141"/>
      <c r="DP21" s="141"/>
      <c r="DQ21" s="141"/>
      <c r="DR21" s="141"/>
      <c r="DS21" s="141"/>
      <c r="DT21" s="141"/>
      <c r="DU21" s="141"/>
      <c r="DV21" s="141"/>
      <c r="DW21" s="141"/>
      <c r="DX21" s="141"/>
      <c r="DY21" s="141"/>
      <c r="DZ21" s="141"/>
      <c r="EA21" s="141"/>
      <c r="EB21" s="141"/>
      <c r="EC21" s="141"/>
      <c r="ED21" s="141"/>
      <c r="EE21" s="141"/>
      <c r="EF21" s="141"/>
      <c r="EG21" s="141"/>
      <c r="EH21" s="141"/>
      <c r="EI21" s="141"/>
      <c r="EJ21" s="141"/>
      <c r="EK21" s="141"/>
      <c r="EL21" s="141"/>
      <c r="EM21" s="141"/>
      <c r="EN21" s="141"/>
      <c r="EO21" s="141"/>
      <c r="EP21" s="141"/>
      <c r="EQ21" s="141"/>
      <c r="ER21" s="141"/>
      <c r="ES21" s="141"/>
      <c r="ET21" s="141"/>
      <c r="EU21" s="141"/>
      <c r="EV21" s="141"/>
      <c r="EW21" s="141"/>
      <c r="EX21" s="141"/>
      <c r="EY21" s="141"/>
      <c r="EZ21" s="141"/>
      <c r="FA21" s="141"/>
      <c r="FB21" s="141"/>
      <c r="FC21" s="141"/>
      <c r="FD21" s="141"/>
      <c r="FE21" s="141"/>
      <c r="FF21" s="141"/>
      <c r="FG21" s="141"/>
      <c r="FH21" s="141"/>
      <c r="FI21" s="141"/>
      <c r="FJ21" s="141"/>
      <c r="FK21" s="141"/>
      <c r="FL21" s="141"/>
      <c r="FM21" s="141"/>
      <c r="FN21" s="141"/>
      <c r="FO21" s="141"/>
      <c r="FP21" s="141"/>
      <c r="FQ21" s="141"/>
      <c r="FR21" s="141"/>
      <c r="FS21" s="141"/>
      <c r="FT21" s="141"/>
      <c r="FU21" s="141"/>
      <c r="FV21" s="141"/>
      <c r="FW21" s="141"/>
      <c r="FX21" s="141"/>
      <c r="FY21" s="141"/>
      <c r="FZ21" s="141"/>
      <c r="GA21" s="141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  <c r="HD21" s="141"/>
      <c r="HE21" s="141"/>
      <c r="HF21" s="141"/>
      <c r="HG21" s="141"/>
      <c r="HH21" s="141"/>
      <c r="HI21" s="141"/>
      <c r="HJ21" s="141"/>
      <c r="HK21" s="141"/>
      <c r="HL21" s="141"/>
      <c r="HM21" s="141"/>
      <c r="HN21" s="141"/>
      <c r="HO21" s="141"/>
      <c r="HP21" s="141"/>
      <c r="HQ21" s="141"/>
      <c r="HR21" s="141"/>
      <c r="HS21" s="141"/>
      <c r="HT21" s="141"/>
      <c r="HU21" s="141"/>
      <c r="HV21" s="141"/>
      <c r="HW21" s="141"/>
      <c r="HX21" s="141"/>
      <c r="HY21" s="141"/>
      <c r="HZ21" s="141"/>
      <c r="IA21" s="141"/>
      <c r="IB21" s="141"/>
      <c r="IC21" s="141"/>
      <c r="ID21" s="141"/>
      <c r="IE21" s="141"/>
      <c r="IF21" s="141"/>
      <c r="IG21" s="141"/>
      <c r="IH21" s="141"/>
      <c r="II21" s="141"/>
      <c r="IJ21" s="141"/>
      <c r="IK21" s="141"/>
      <c r="IL21" s="141"/>
      <c r="IM21" s="141"/>
      <c r="IN21" s="141"/>
      <c r="IO21" s="141"/>
      <c r="IP21" s="141"/>
      <c r="IQ21" s="141"/>
      <c r="IR21" s="141"/>
      <c r="IS21" s="141"/>
      <c r="IT21" s="141"/>
      <c r="IU21" s="141"/>
      <c r="IV21" s="141"/>
      <c r="IW21" s="141"/>
      <c r="IX21" s="141"/>
      <c r="IY21" s="141"/>
      <c r="IZ21" s="141"/>
      <c r="JA21" s="141"/>
      <c r="JB21" s="141"/>
      <c r="JC21" s="141"/>
      <c r="JD21" s="141"/>
      <c r="JE21" s="141"/>
      <c r="JF21" s="141"/>
      <c r="JG21" s="141"/>
      <c r="JH21" s="141"/>
      <c r="JI21" s="141"/>
      <c r="JJ21" s="141"/>
      <c r="JK21" s="141"/>
      <c r="JL21" s="141"/>
      <c r="JM21" s="141"/>
      <c r="JN21" s="141"/>
      <c r="JO21" s="141"/>
      <c r="JP21" s="141"/>
      <c r="JQ21" s="141"/>
      <c r="JR21" s="141"/>
      <c r="JS21" s="141"/>
      <c r="JT21" s="141"/>
      <c r="JU21" s="141"/>
      <c r="JV21" s="141"/>
      <c r="JW21" s="141"/>
      <c r="JX21" s="141"/>
      <c r="JY21" s="141"/>
      <c r="JZ21" s="141"/>
      <c r="KA21" s="141"/>
      <c r="KB21" s="141"/>
      <c r="KC21" s="141"/>
      <c r="KD21" s="141"/>
      <c r="KE21" s="141"/>
      <c r="KF21" s="141"/>
      <c r="KG21" s="141"/>
      <c r="KH21" s="141"/>
      <c r="KI21" s="141"/>
      <c r="KJ21" s="141"/>
      <c r="KK21" s="141"/>
      <c r="KL21" s="141"/>
      <c r="KM21" s="141"/>
      <c r="KN21" s="141"/>
    </row>
    <row r="22" spans="1:300" s="3" customFormat="1" ht="31.5" customHeight="1">
      <c r="A22" s="148"/>
      <c r="B22" s="8"/>
      <c r="C22" s="36"/>
      <c r="D22" s="36"/>
      <c r="E22" s="35"/>
      <c r="F22" s="35"/>
      <c r="G22" s="35"/>
      <c r="H22" s="151"/>
      <c r="I22" s="153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1"/>
      <c r="CY22" s="141"/>
      <c r="CZ22" s="141"/>
      <c r="DA22" s="141"/>
      <c r="DB22" s="141"/>
      <c r="DC22" s="141"/>
      <c r="DD22" s="141"/>
      <c r="DE22" s="141"/>
      <c r="DF22" s="141"/>
      <c r="DG22" s="141"/>
      <c r="DH22" s="141"/>
      <c r="DI22" s="141"/>
      <c r="DJ22" s="141"/>
      <c r="DK22" s="141"/>
      <c r="DL22" s="141"/>
      <c r="DM22" s="141"/>
      <c r="DN22" s="141"/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141"/>
      <c r="EE22" s="141"/>
      <c r="EF22" s="141"/>
      <c r="EG22" s="141"/>
      <c r="EH22" s="141"/>
      <c r="EI22" s="141"/>
      <c r="EJ22" s="141"/>
      <c r="EK22" s="141"/>
      <c r="EL22" s="141"/>
      <c r="EM22" s="141"/>
      <c r="EN22" s="141"/>
      <c r="EO22" s="141"/>
      <c r="EP22" s="141"/>
      <c r="EQ22" s="141"/>
      <c r="ER22" s="141"/>
      <c r="ES22" s="141"/>
      <c r="ET22" s="141"/>
      <c r="EU22" s="141"/>
      <c r="EV22" s="141"/>
      <c r="EW22" s="141"/>
      <c r="EX22" s="141"/>
      <c r="EY22" s="141"/>
      <c r="EZ22" s="141"/>
      <c r="FA22" s="141"/>
      <c r="FB22" s="141"/>
      <c r="FC22" s="141"/>
      <c r="FD22" s="141"/>
      <c r="FE22" s="141"/>
      <c r="FF22" s="141"/>
      <c r="FG22" s="141"/>
      <c r="FH22" s="141"/>
      <c r="FI22" s="141"/>
      <c r="FJ22" s="141"/>
      <c r="FK22" s="141"/>
      <c r="FL22" s="141"/>
      <c r="FM22" s="141"/>
      <c r="FN22" s="141"/>
      <c r="FO22" s="141"/>
      <c r="FP22" s="141"/>
      <c r="FQ22" s="141"/>
      <c r="FR22" s="141"/>
      <c r="FS22" s="141"/>
      <c r="FT22" s="141"/>
      <c r="FU22" s="141"/>
      <c r="FV22" s="141"/>
      <c r="FW22" s="141"/>
      <c r="FX22" s="141"/>
      <c r="FY22" s="141"/>
      <c r="FZ22" s="141"/>
      <c r="GA22" s="141"/>
      <c r="GB22" s="141"/>
      <c r="GC22" s="141"/>
      <c r="GD22" s="141"/>
      <c r="GE22" s="141"/>
      <c r="GF22" s="141"/>
      <c r="GG22" s="141"/>
      <c r="GH22" s="141"/>
      <c r="GI22" s="141"/>
      <c r="GJ22" s="141"/>
      <c r="GK22" s="141"/>
      <c r="GL22" s="141"/>
      <c r="GM22" s="141"/>
      <c r="GN22" s="141"/>
      <c r="GO22" s="141"/>
      <c r="GP22" s="141"/>
      <c r="GQ22" s="141"/>
      <c r="GR22" s="141"/>
      <c r="GS22" s="141"/>
      <c r="GT22" s="141"/>
      <c r="GU22" s="141"/>
      <c r="GV22" s="141"/>
      <c r="GW22" s="141"/>
      <c r="GX22" s="141"/>
      <c r="GY22" s="141"/>
      <c r="GZ22" s="141"/>
      <c r="HA22" s="141"/>
      <c r="HB22" s="141"/>
      <c r="HC22" s="141"/>
      <c r="HD22" s="141"/>
      <c r="HE22" s="141"/>
      <c r="HF22" s="141"/>
      <c r="HG22" s="141"/>
      <c r="HH22" s="141"/>
      <c r="HI22" s="141"/>
      <c r="HJ22" s="141"/>
      <c r="HK22" s="141"/>
      <c r="HL22" s="141"/>
      <c r="HM22" s="141"/>
      <c r="HN22" s="141"/>
      <c r="HO22" s="141"/>
      <c r="HP22" s="141"/>
      <c r="HQ22" s="141"/>
      <c r="HR22" s="141"/>
      <c r="HS22" s="141"/>
      <c r="HT22" s="141"/>
      <c r="HU22" s="141"/>
      <c r="HV22" s="141"/>
      <c r="HW22" s="141"/>
      <c r="HX22" s="141"/>
      <c r="HY22" s="141"/>
      <c r="HZ22" s="141"/>
      <c r="IA22" s="141"/>
      <c r="IB22" s="141"/>
      <c r="IC22" s="141"/>
      <c r="ID22" s="141"/>
      <c r="IE22" s="141"/>
      <c r="IF22" s="141"/>
      <c r="IG22" s="141"/>
      <c r="IH22" s="141"/>
      <c r="II22" s="141"/>
      <c r="IJ22" s="141"/>
      <c r="IK22" s="141"/>
      <c r="IL22" s="141"/>
      <c r="IM22" s="141"/>
      <c r="IN22" s="141"/>
      <c r="IO22" s="141"/>
      <c r="IP22" s="141"/>
      <c r="IQ22" s="141"/>
      <c r="IR22" s="141"/>
      <c r="IS22" s="141"/>
      <c r="IT22" s="141"/>
      <c r="IU22" s="141"/>
      <c r="IV22" s="141"/>
      <c r="IW22" s="141"/>
      <c r="IX22" s="141"/>
      <c r="IY22" s="141"/>
      <c r="IZ22" s="141"/>
      <c r="JA22" s="141"/>
      <c r="JB22" s="141"/>
      <c r="JC22" s="141"/>
      <c r="JD22" s="141"/>
      <c r="JE22" s="141"/>
      <c r="JF22" s="141"/>
      <c r="JG22" s="141"/>
      <c r="JH22" s="141"/>
      <c r="JI22" s="141"/>
      <c r="JJ22" s="141"/>
      <c r="JK22" s="141"/>
      <c r="JL22" s="141"/>
      <c r="JM22" s="141"/>
      <c r="JN22" s="141"/>
      <c r="JO22" s="141"/>
      <c r="JP22" s="141"/>
      <c r="JQ22" s="141"/>
      <c r="JR22" s="141"/>
      <c r="JS22" s="141"/>
      <c r="JT22" s="141"/>
      <c r="JU22" s="141"/>
      <c r="JV22" s="141"/>
      <c r="JW22" s="141"/>
      <c r="JX22" s="141"/>
      <c r="JY22" s="141"/>
      <c r="JZ22" s="141"/>
      <c r="KA22" s="141"/>
      <c r="KB22" s="141"/>
      <c r="KC22" s="141"/>
      <c r="KD22" s="141"/>
      <c r="KE22" s="141"/>
      <c r="KF22" s="141"/>
      <c r="KG22" s="141"/>
      <c r="KH22" s="141"/>
      <c r="KI22" s="141"/>
      <c r="KJ22" s="141"/>
      <c r="KK22" s="141"/>
      <c r="KL22" s="141"/>
      <c r="KM22" s="141"/>
      <c r="KN22" s="141"/>
    </row>
    <row r="23" spans="1:300" s="3" customFormat="1" ht="31.5" customHeight="1">
      <c r="A23" s="148"/>
      <c r="B23" s="8"/>
      <c r="C23" s="36"/>
      <c r="D23" s="36"/>
      <c r="E23" s="35"/>
      <c r="F23" s="35"/>
      <c r="G23" s="35"/>
      <c r="H23" s="151"/>
      <c r="I23" s="153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  <c r="CK23" s="141"/>
      <c r="CL23" s="141"/>
      <c r="CM23" s="141"/>
      <c r="CN23" s="141"/>
      <c r="CO23" s="141"/>
      <c r="CP23" s="141"/>
      <c r="CQ23" s="141"/>
      <c r="CR23" s="141"/>
      <c r="CS23" s="141"/>
      <c r="CT23" s="141"/>
      <c r="CU23" s="141"/>
      <c r="CV23" s="141"/>
      <c r="CW23" s="141"/>
      <c r="CX23" s="141"/>
      <c r="CY23" s="141"/>
      <c r="CZ23" s="141"/>
      <c r="DA23" s="141"/>
      <c r="DB23" s="141"/>
      <c r="DC23" s="141"/>
      <c r="DD23" s="141"/>
      <c r="DE23" s="141"/>
      <c r="DF23" s="141"/>
      <c r="DG23" s="141"/>
      <c r="DH23" s="141"/>
      <c r="DI23" s="141"/>
      <c r="DJ23" s="141"/>
      <c r="DK23" s="141"/>
      <c r="DL23" s="141"/>
      <c r="DM23" s="141"/>
      <c r="DN23" s="141"/>
      <c r="DO23" s="141"/>
      <c r="DP23" s="141"/>
      <c r="DQ23" s="141"/>
      <c r="DR23" s="141"/>
      <c r="DS23" s="141"/>
      <c r="DT23" s="141"/>
      <c r="DU23" s="141"/>
      <c r="DV23" s="141"/>
      <c r="DW23" s="141"/>
      <c r="DX23" s="141"/>
      <c r="DY23" s="141"/>
      <c r="DZ23" s="141"/>
      <c r="EA23" s="141"/>
      <c r="EB23" s="141"/>
      <c r="EC23" s="141"/>
      <c r="ED23" s="141"/>
      <c r="EE23" s="141"/>
      <c r="EF23" s="141"/>
      <c r="EG23" s="141"/>
      <c r="EH23" s="141"/>
      <c r="EI23" s="141"/>
      <c r="EJ23" s="141"/>
      <c r="EK23" s="141"/>
      <c r="EL23" s="141"/>
      <c r="EM23" s="141"/>
      <c r="EN23" s="141"/>
      <c r="EO23" s="141"/>
      <c r="EP23" s="141"/>
      <c r="EQ23" s="141"/>
      <c r="ER23" s="141"/>
      <c r="ES23" s="141"/>
      <c r="ET23" s="141"/>
      <c r="EU23" s="141"/>
      <c r="EV23" s="141"/>
      <c r="EW23" s="141"/>
      <c r="EX23" s="141"/>
      <c r="EY23" s="141"/>
      <c r="EZ23" s="141"/>
      <c r="FA23" s="141"/>
      <c r="FB23" s="141"/>
      <c r="FC23" s="141"/>
      <c r="FD23" s="141"/>
      <c r="FE23" s="141"/>
      <c r="FF23" s="141"/>
      <c r="FG23" s="141"/>
      <c r="FH23" s="141"/>
      <c r="FI23" s="141"/>
      <c r="FJ23" s="141"/>
      <c r="FK23" s="141"/>
      <c r="FL23" s="141"/>
      <c r="FM23" s="141"/>
      <c r="FN23" s="141"/>
      <c r="FO23" s="141"/>
      <c r="FP23" s="141"/>
      <c r="FQ23" s="141"/>
      <c r="FR23" s="141"/>
      <c r="FS23" s="141"/>
      <c r="FT23" s="141"/>
      <c r="FU23" s="141"/>
      <c r="FV23" s="141"/>
      <c r="FW23" s="141"/>
      <c r="FX23" s="141"/>
      <c r="FY23" s="141"/>
      <c r="FZ23" s="141"/>
      <c r="GA23" s="141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  <c r="HD23" s="141"/>
      <c r="HE23" s="141"/>
      <c r="HF23" s="141"/>
      <c r="HG23" s="141"/>
      <c r="HH23" s="141"/>
      <c r="HI23" s="141"/>
      <c r="HJ23" s="141"/>
      <c r="HK23" s="141"/>
      <c r="HL23" s="141"/>
      <c r="HM23" s="141"/>
      <c r="HN23" s="141"/>
      <c r="HO23" s="141"/>
      <c r="HP23" s="141"/>
      <c r="HQ23" s="141"/>
      <c r="HR23" s="141"/>
      <c r="HS23" s="141"/>
      <c r="HT23" s="141"/>
      <c r="HU23" s="141"/>
      <c r="HV23" s="141"/>
      <c r="HW23" s="141"/>
      <c r="HX23" s="141"/>
      <c r="HY23" s="141"/>
      <c r="HZ23" s="141"/>
      <c r="IA23" s="141"/>
      <c r="IB23" s="141"/>
      <c r="IC23" s="141"/>
      <c r="ID23" s="141"/>
      <c r="IE23" s="141"/>
      <c r="IF23" s="141"/>
      <c r="IG23" s="141"/>
      <c r="IH23" s="141"/>
      <c r="II23" s="141"/>
      <c r="IJ23" s="141"/>
      <c r="IK23" s="141"/>
      <c r="IL23" s="141"/>
      <c r="IM23" s="141"/>
      <c r="IN23" s="141"/>
      <c r="IO23" s="141"/>
      <c r="IP23" s="141"/>
      <c r="IQ23" s="141"/>
      <c r="IR23" s="141"/>
      <c r="IS23" s="141"/>
      <c r="IT23" s="141"/>
      <c r="IU23" s="141"/>
      <c r="IV23" s="141"/>
      <c r="IW23" s="141"/>
      <c r="IX23" s="141"/>
      <c r="IY23" s="141"/>
      <c r="IZ23" s="141"/>
      <c r="JA23" s="141"/>
      <c r="JB23" s="141"/>
      <c r="JC23" s="141"/>
      <c r="JD23" s="141"/>
      <c r="JE23" s="141"/>
      <c r="JF23" s="141"/>
      <c r="JG23" s="141"/>
      <c r="JH23" s="141"/>
      <c r="JI23" s="141"/>
      <c r="JJ23" s="141"/>
      <c r="JK23" s="141"/>
      <c r="JL23" s="141"/>
      <c r="JM23" s="141"/>
      <c r="JN23" s="141"/>
      <c r="JO23" s="141"/>
      <c r="JP23" s="141"/>
      <c r="JQ23" s="141"/>
      <c r="JR23" s="141"/>
      <c r="JS23" s="141"/>
      <c r="JT23" s="141"/>
      <c r="JU23" s="141"/>
      <c r="JV23" s="141"/>
      <c r="JW23" s="141"/>
      <c r="JX23" s="141"/>
      <c r="JY23" s="141"/>
      <c r="JZ23" s="141"/>
      <c r="KA23" s="141"/>
      <c r="KB23" s="141"/>
      <c r="KC23" s="141"/>
      <c r="KD23" s="141"/>
      <c r="KE23" s="141"/>
      <c r="KF23" s="141"/>
      <c r="KG23" s="141"/>
      <c r="KH23" s="141"/>
      <c r="KI23" s="141"/>
      <c r="KJ23" s="141"/>
      <c r="KK23" s="141"/>
      <c r="KL23" s="141"/>
      <c r="KM23" s="141"/>
      <c r="KN23" s="141"/>
    </row>
    <row r="24" spans="1:300" s="3" customFormat="1" ht="31.5" customHeight="1">
      <c r="A24" s="148"/>
      <c r="B24" s="8"/>
      <c r="C24" s="36"/>
      <c r="D24" s="36"/>
      <c r="E24" s="35"/>
      <c r="F24" s="35"/>
      <c r="G24" s="35"/>
      <c r="H24" s="151"/>
      <c r="I24" s="153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B24" s="141"/>
      <c r="DC24" s="141"/>
      <c r="DD24" s="141"/>
      <c r="DE24" s="141"/>
      <c r="DF24" s="141"/>
      <c r="DG24" s="141"/>
      <c r="DH24" s="141"/>
      <c r="DI24" s="141"/>
      <c r="DJ24" s="141"/>
      <c r="DK24" s="141"/>
      <c r="DL24" s="141"/>
      <c r="DM24" s="141"/>
      <c r="DN24" s="141"/>
      <c r="DO24" s="141"/>
      <c r="DP24" s="141"/>
      <c r="DQ24" s="141"/>
      <c r="DR24" s="141"/>
      <c r="DS24" s="141"/>
      <c r="DT24" s="141"/>
      <c r="DU24" s="141"/>
      <c r="DV24" s="141"/>
      <c r="DW24" s="141"/>
      <c r="DX24" s="141"/>
      <c r="DY24" s="141"/>
      <c r="DZ24" s="141"/>
      <c r="EA24" s="141"/>
      <c r="EB24" s="141"/>
      <c r="EC24" s="141"/>
      <c r="ED24" s="141"/>
      <c r="EE24" s="141"/>
      <c r="EF24" s="141"/>
      <c r="EG24" s="141"/>
      <c r="EH24" s="141"/>
      <c r="EI24" s="141"/>
      <c r="EJ24" s="141"/>
      <c r="EK24" s="141"/>
      <c r="EL24" s="141"/>
      <c r="EM24" s="141"/>
      <c r="EN24" s="141"/>
      <c r="EO24" s="141"/>
      <c r="EP24" s="141"/>
      <c r="EQ24" s="141"/>
      <c r="ER24" s="141"/>
      <c r="ES24" s="141"/>
      <c r="ET24" s="141"/>
      <c r="EU24" s="141"/>
      <c r="EV24" s="141"/>
      <c r="EW24" s="141"/>
      <c r="EX24" s="141"/>
      <c r="EY24" s="141"/>
      <c r="EZ24" s="141"/>
      <c r="FA24" s="141"/>
      <c r="FB24" s="141"/>
      <c r="FC24" s="141"/>
      <c r="FD24" s="141"/>
      <c r="FE24" s="141"/>
      <c r="FF24" s="141"/>
      <c r="FG24" s="141"/>
      <c r="FH24" s="141"/>
      <c r="FI24" s="141"/>
      <c r="FJ24" s="141"/>
      <c r="FK24" s="141"/>
      <c r="FL24" s="141"/>
      <c r="FM24" s="141"/>
      <c r="FN24" s="141"/>
      <c r="FO24" s="141"/>
      <c r="FP24" s="141"/>
      <c r="FQ24" s="141"/>
      <c r="FR24" s="141"/>
      <c r="FS24" s="141"/>
      <c r="FT24" s="141"/>
      <c r="FU24" s="141"/>
      <c r="FV24" s="141"/>
      <c r="FW24" s="141"/>
      <c r="FX24" s="141"/>
      <c r="FY24" s="141"/>
      <c r="FZ24" s="141"/>
      <c r="GA24" s="141"/>
      <c r="GB24" s="141"/>
      <c r="GC24" s="141"/>
      <c r="GD24" s="141"/>
      <c r="GE24" s="141"/>
      <c r="GF24" s="141"/>
      <c r="GG24" s="141"/>
      <c r="GH24" s="141"/>
      <c r="GI24" s="141"/>
      <c r="GJ24" s="141"/>
      <c r="GK24" s="141"/>
      <c r="GL24" s="141"/>
      <c r="GM24" s="141"/>
      <c r="GN24" s="141"/>
      <c r="GO24" s="141"/>
      <c r="GP24" s="141"/>
      <c r="GQ24" s="141"/>
      <c r="GR24" s="141"/>
      <c r="GS24" s="141"/>
      <c r="GT24" s="141"/>
      <c r="GU24" s="141"/>
      <c r="GV24" s="141"/>
      <c r="GW24" s="141"/>
      <c r="GX24" s="141"/>
      <c r="GY24" s="141"/>
      <c r="GZ24" s="141"/>
      <c r="HA24" s="141"/>
      <c r="HB24" s="141"/>
      <c r="HC24" s="141"/>
      <c r="HD24" s="141"/>
      <c r="HE24" s="141"/>
      <c r="HF24" s="141"/>
      <c r="HG24" s="141"/>
      <c r="HH24" s="141"/>
      <c r="HI24" s="141"/>
      <c r="HJ24" s="141"/>
      <c r="HK24" s="141"/>
      <c r="HL24" s="141"/>
      <c r="HM24" s="141"/>
      <c r="HN24" s="141"/>
      <c r="HO24" s="141"/>
      <c r="HP24" s="141"/>
      <c r="HQ24" s="141"/>
      <c r="HR24" s="141"/>
      <c r="HS24" s="141"/>
      <c r="HT24" s="141"/>
      <c r="HU24" s="141"/>
      <c r="HV24" s="141"/>
      <c r="HW24" s="141"/>
      <c r="HX24" s="141"/>
      <c r="HY24" s="141"/>
      <c r="HZ24" s="141"/>
      <c r="IA24" s="141"/>
      <c r="IB24" s="141"/>
      <c r="IC24" s="141"/>
      <c r="ID24" s="141"/>
      <c r="IE24" s="141"/>
      <c r="IF24" s="141"/>
      <c r="IG24" s="141"/>
      <c r="IH24" s="141"/>
      <c r="II24" s="141"/>
      <c r="IJ24" s="141"/>
      <c r="IK24" s="141"/>
      <c r="IL24" s="141"/>
      <c r="IM24" s="141"/>
      <c r="IN24" s="141"/>
      <c r="IO24" s="141"/>
      <c r="IP24" s="141"/>
      <c r="IQ24" s="141"/>
      <c r="IR24" s="141"/>
      <c r="IS24" s="141"/>
      <c r="IT24" s="141"/>
      <c r="IU24" s="141"/>
      <c r="IV24" s="141"/>
      <c r="IW24" s="141"/>
      <c r="IX24" s="141"/>
      <c r="IY24" s="141"/>
      <c r="IZ24" s="141"/>
      <c r="JA24" s="141"/>
      <c r="JB24" s="141"/>
      <c r="JC24" s="141"/>
      <c r="JD24" s="141"/>
      <c r="JE24" s="141"/>
      <c r="JF24" s="141"/>
      <c r="JG24" s="141"/>
      <c r="JH24" s="141"/>
      <c r="JI24" s="141"/>
      <c r="JJ24" s="141"/>
      <c r="JK24" s="141"/>
      <c r="JL24" s="141"/>
      <c r="JM24" s="141"/>
      <c r="JN24" s="141"/>
      <c r="JO24" s="141"/>
      <c r="JP24" s="141"/>
      <c r="JQ24" s="141"/>
      <c r="JR24" s="141"/>
      <c r="JS24" s="141"/>
      <c r="JT24" s="141"/>
      <c r="JU24" s="141"/>
      <c r="JV24" s="141"/>
      <c r="JW24" s="141"/>
      <c r="JX24" s="141"/>
      <c r="JY24" s="141"/>
      <c r="JZ24" s="141"/>
      <c r="KA24" s="141"/>
      <c r="KB24" s="141"/>
      <c r="KC24" s="141"/>
      <c r="KD24" s="141"/>
      <c r="KE24" s="141"/>
      <c r="KF24" s="141"/>
      <c r="KG24" s="141"/>
      <c r="KH24" s="141"/>
      <c r="KI24" s="141"/>
      <c r="KJ24" s="141"/>
      <c r="KK24" s="141"/>
      <c r="KL24" s="141"/>
      <c r="KM24" s="141"/>
      <c r="KN24" s="141"/>
    </row>
    <row r="25" spans="1:300" s="3" customFormat="1" ht="31.5" customHeight="1">
      <c r="A25" s="148"/>
      <c r="B25" s="8"/>
      <c r="C25" s="36"/>
      <c r="D25" s="36"/>
      <c r="E25" s="35"/>
      <c r="F25" s="35"/>
      <c r="G25" s="35"/>
      <c r="H25" s="151"/>
      <c r="I25" s="153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  <c r="CK25" s="141"/>
      <c r="CL25" s="141"/>
      <c r="CM25" s="141"/>
      <c r="CN25" s="141"/>
      <c r="CO25" s="141"/>
      <c r="CP25" s="141"/>
      <c r="CQ25" s="141"/>
      <c r="CR25" s="141"/>
      <c r="CS25" s="141"/>
      <c r="CT25" s="141"/>
      <c r="CU25" s="141"/>
      <c r="CV25" s="141"/>
      <c r="CW25" s="141"/>
      <c r="CX25" s="141"/>
      <c r="CY25" s="141"/>
      <c r="CZ25" s="141"/>
      <c r="DA25" s="141"/>
      <c r="DB25" s="141"/>
      <c r="DC25" s="141"/>
      <c r="DD25" s="141"/>
      <c r="DE25" s="141"/>
      <c r="DF25" s="141"/>
      <c r="DG25" s="141"/>
      <c r="DH25" s="141"/>
      <c r="DI25" s="141"/>
      <c r="DJ25" s="141"/>
      <c r="DK25" s="141"/>
      <c r="DL25" s="141"/>
      <c r="DM25" s="141"/>
      <c r="DN25" s="141"/>
      <c r="DO25" s="141"/>
      <c r="DP25" s="141"/>
      <c r="DQ25" s="141"/>
      <c r="DR25" s="141"/>
      <c r="DS25" s="141"/>
      <c r="DT25" s="141"/>
      <c r="DU25" s="141"/>
      <c r="DV25" s="141"/>
      <c r="DW25" s="141"/>
      <c r="DX25" s="141"/>
      <c r="DY25" s="141"/>
      <c r="DZ25" s="141"/>
      <c r="EA25" s="141"/>
      <c r="EB25" s="141"/>
      <c r="EC25" s="141"/>
      <c r="ED25" s="141"/>
      <c r="EE25" s="141"/>
      <c r="EF25" s="141"/>
      <c r="EG25" s="141"/>
      <c r="EH25" s="141"/>
      <c r="EI25" s="141"/>
      <c r="EJ25" s="141"/>
      <c r="EK25" s="141"/>
      <c r="EL25" s="141"/>
      <c r="EM25" s="141"/>
      <c r="EN25" s="141"/>
      <c r="EO25" s="141"/>
      <c r="EP25" s="141"/>
      <c r="EQ25" s="141"/>
      <c r="ER25" s="141"/>
      <c r="ES25" s="141"/>
      <c r="ET25" s="141"/>
      <c r="EU25" s="141"/>
      <c r="EV25" s="141"/>
      <c r="EW25" s="141"/>
      <c r="EX25" s="141"/>
      <c r="EY25" s="141"/>
      <c r="EZ25" s="141"/>
      <c r="FA25" s="141"/>
      <c r="FB25" s="141"/>
      <c r="FC25" s="141"/>
      <c r="FD25" s="141"/>
      <c r="FE25" s="141"/>
      <c r="FF25" s="141"/>
      <c r="FG25" s="141"/>
      <c r="FH25" s="141"/>
      <c r="FI25" s="141"/>
      <c r="FJ25" s="141"/>
      <c r="FK25" s="141"/>
      <c r="FL25" s="141"/>
      <c r="FM25" s="141"/>
      <c r="FN25" s="141"/>
      <c r="FO25" s="141"/>
      <c r="FP25" s="141"/>
      <c r="FQ25" s="141"/>
      <c r="FR25" s="141"/>
      <c r="FS25" s="141"/>
      <c r="FT25" s="141"/>
      <c r="FU25" s="141"/>
      <c r="FV25" s="141"/>
      <c r="FW25" s="141"/>
      <c r="FX25" s="141"/>
      <c r="FY25" s="141"/>
      <c r="FZ25" s="141"/>
      <c r="GA25" s="141"/>
      <c r="GB25" s="141"/>
      <c r="GC25" s="141"/>
      <c r="GD25" s="141"/>
      <c r="GE25" s="141"/>
      <c r="GF25" s="141"/>
      <c r="GG25" s="141"/>
      <c r="GH25" s="141"/>
      <c r="GI25" s="141"/>
      <c r="GJ25" s="141"/>
      <c r="GK25" s="141"/>
      <c r="GL25" s="141"/>
      <c r="GM25" s="141"/>
      <c r="GN25" s="141"/>
      <c r="GO25" s="141"/>
      <c r="GP25" s="141"/>
      <c r="GQ25" s="141"/>
      <c r="GR25" s="141"/>
      <c r="GS25" s="141"/>
      <c r="GT25" s="141"/>
      <c r="GU25" s="141"/>
      <c r="GV25" s="141"/>
      <c r="GW25" s="141"/>
      <c r="GX25" s="141"/>
      <c r="GY25" s="141"/>
      <c r="GZ25" s="141"/>
      <c r="HA25" s="141"/>
      <c r="HB25" s="141"/>
      <c r="HC25" s="141"/>
      <c r="HD25" s="141"/>
      <c r="HE25" s="141"/>
      <c r="HF25" s="141"/>
      <c r="HG25" s="141"/>
      <c r="HH25" s="141"/>
      <c r="HI25" s="141"/>
      <c r="HJ25" s="141"/>
      <c r="HK25" s="141"/>
      <c r="HL25" s="141"/>
      <c r="HM25" s="141"/>
      <c r="HN25" s="141"/>
      <c r="HO25" s="141"/>
      <c r="HP25" s="141"/>
      <c r="HQ25" s="141"/>
      <c r="HR25" s="141"/>
      <c r="HS25" s="141"/>
      <c r="HT25" s="141"/>
      <c r="HU25" s="141"/>
      <c r="HV25" s="141"/>
      <c r="HW25" s="141"/>
      <c r="HX25" s="141"/>
      <c r="HY25" s="141"/>
      <c r="HZ25" s="141"/>
      <c r="IA25" s="141"/>
      <c r="IB25" s="141"/>
      <c r="IC25" s="141"/>
      <c r="ID25" s="141"/>
      <c r="IE25" s="141"/>
      <c r="IF25" s="141"/>
      <c r="IG25" s="141"/>
      <c r="IH25" s="141"/>
      <c r="II25" s="141"/>
      <c r="IJ25" s="141"/>
      <c r="IK25" s="141"/>
      <c r="IL25" s="141"/>
      <c r="IM25" s="141"/>
      <c r="IN25" s="141"/>
      <c r="IO25" s="141"/>
      <c r="IP25" s="141"/>
      <c r="IQ25" s="141"/>
      <c r="IR25" s="141"/>
      <c r="IS25" s="141"/>
      <c r="IT25" s="141"/>
      <c r="IU25" s="141"/>
      <c r="IV25" s="141"/>
      <c r="IW25" s="141"/>
      <c r="IX25" s="141"/>
      <c r="IY25" s="141"/>
      <c r="IZ25" s="141"/>
      <c r="JA25" s="141"/>
      <c r="JB25" s="141"/>
      <c r="JC25" s="141"/>
      <c r="JD25" s="141"/>
      <c r="JE25" s="141"/>
      <c r="JF25" s="141"/>
      <c r="JG25" s="141"/>
      <c r="JH25" s="141"/>
      <c r="JI25" s="141"/>
      <c r="JJ25" s="141"/>
      <c r="JK25" s="141"/>
      <c r="JL25" s="141"/>
      <c r="JM25" s="141"/>
      <c r="JN25" s="141"/>
      <c r="JO25" s="141"/>
      <c r="JP25" s="141"/>
      <c r="JQ25" s="141"/>
      <c r="JR25" s="141"/>
      <c r="JS25" s="141"/>
      <c r="JT25" s="141"/>
      <c r="JU25" s="141"/>
      <c r="JV25" s="141"/>
      <c r="JW25" s="141"/>
      <c r="JX25" s="141"/>
      <c r="JY25" s="141"/>
      <c r="JZ25" s="141"/>
      <c r="KA25" s="141"/>
      <c r="KB25" s="141"/>
      <c r="KC25" s="141"/>
      <c r="KD25" s="141"/>
      <c r="KE25" s="141"/>
      <c r="KF25" s="141"/>
      <c r="KG25" s="141"/>
      <c r="KH25" s="141"/>
      <c r="KI25" s="141"/>
      <c r="KJ25" s="141"/>
      <c r="KK25" s="141"/>
      <c r="KL25" s="141"/>
      <c r="KM25" s="141"/>
      <c r="KN25" s="141"/>
    </row>
    <row r="26" spans="1:300" s="3" customFormat="1" ht="31.5" customHeight="1">
      <c r="A26" s="148"/>
      <c r="B26" s="8"/>
      <c r="C26" s="36"/>
      <c r="D26" s="36"/>
      <c r="E26" s="35"/>
      <c r="F26" s="35"/>
      <c r="G26" s="35"/>
      <c r="H26" s="151"/>
      <c r="I26" s="153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1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  <c r="CK26" s="141"/>
      <c r="CL26" s="141"/>
      <c r="CM26" s="141"/>
      <c r="CN26" s="141"/>
      <c r="CO26" s="141"/>
      <c r="CP26" s="141"/>
      <c r="CQ26" s="141"/>
      <c r="CR26" s="141"/>
      <c r="CS26" s="141"/>
      <c r="CT26" s="141"/>
      <c r="CU26" s="141"/>
      <c r="CV26" s="141"/>
      <c r="CW26" s="141"/>
      <c r="CX26" s="141"/>
      <c r="CY26" s="141"/>
      <c r="CZ26" s="141"/>
      <c r="DA26" s="141"/>
      <c r="DB26" s="141"/>
      <c r="DC26" s="141"/>
      <c r="DD26" s="141"/>
      <c r="DE26" s="141"/>
      <c r="DF26" s="141"/>
      <c r="DG26" s="141"/>
      <c r="DH26" s="141"/>
      <c r="DI26" s="141"/>
      <c r="DJ26" s="141"/>
      <c r="DK26" s="141"/>
      <c r="DL26" s="141"/>
      <c r="DM26" s="141"/>
      <c r="DN26" s="141"/>
      <c r="DO26" s="141"/>
      <c r="DP26" s="141"/>
      <c r="DQ26" s="141"/>
      <c r="DR26" s="141"/>
      <c r="DS26" s="141"/>
      <c r="DT26" s="141"/>
      <c r="DU26" s="141"/>
      <c r="DV26" s="141"/>
      <c r="DW26" s="141"/>
      <c r="DX26" s="141"/>
      <c r="DY26" s="141"/>
      <c r="DZ26" s="141"/>
      <c r="EA26" s="141"/>
      <c r="EB26" s="141"/>
      <c r="EC26" s="141"/>
      <c r="ED26" s="141"/>
      <c r="EE26" s="141"/>
      <c r="EF26" s="141"/>
      <c r="EG26" s="141"/>
      <c r="EH26" s="141"/>
      <c r="EI26" s="141"/>
      <c r="EJ26" s="141"/>
      <c r="EK26" s="141"/>
      <c r="EL26" s="141"/>
      <c r="EM26" s="141"/>
      <c r="EN26" s="141"/>
      <c r="EO26" s="141"/>
      <c r="EP26" s="141"/>
      <c r="EQ26" s="141"/>
      <c r="ER26" s="141"/>
      <c r="ES26" s="141"/>
      <c r="ET26" s="141"/>
      <c r="EU26" s="141"/>
      <c r="EV26" s="141"/>
      <c r="EW26" s="141"/>
      <c r="EX26" s="141"/>
      <c r="EY26" s="141"/>
      <c r="EZ26" s="141"/>
      <c r="FA26" s="141"/>
      <c r="FB26" s="141"/>
      <c r="FC26" s="141"/>
      <c r="FD26" s="141"/>
      <c r="FE26" s="141"/>
      <c r="FF26" s="141"/>
      <c r="FG26" s="141"/>
      <c r="FH26" s="141"/>
      <c r="FI26" s="141"/>
      <c r="FJ26" s="141"/>
      <c r="FK26" s="141"/>
      <c r="FL26" s="141"/>
      <c r="FM26" s="141"/>
      <c r="FN26" s="141"/>
      <c r="FO26" s="141"/>
      <c r="FP26" s="141"/>
      <c r="FQ26" s="141"/>
      <c r="FR26" s="141"/>
      <c r="FS26" s="141"/>
      <c r="FT26" s="141"/>
      <c r="FU26" s="141"/>
      <c r="FV26" s="141"/>
      <c r="FW26" s="141"/>
      <c r="FX26" s="141"/>
      <c r="FY26" s="141"/>
      <c r="FZ26" s="141"/>
      <c r="GA26" s="141"/>
      <c r="GB26" s="141"/>
      <c r="GC26" s="141"/>
      <c r="GD26" s="141"/>
      <c r="GE26" s="141"/>
      <c r="GF26" s="141"/>
      <c r="GG26" s="141"/>
      <c r="GH26" s="141"/>
      <c r="GI26" s="141"/>
      <c r="GJ26" s="141"/>
      <c r="GK26" s="141"/>
      <c r="GL26" s="141"/>
      <c r="GM26" s="141"/>
      <c r="GN26" s="141"/>
      <c r="GO26" s="141"/>
      <c r="GP26" s="141"/>
      <c r="GQ26" s="141"/>
      <c r="GR26" s="141"/>
      <c r="GS26" s="141"/>
      <c r="GT26" s="141"/>
      <c r="GU26" s="141"/>
      <c r="GV26" s="141"/>
      <c r="GW26" s="141"/>
      <c r="GX26" s="141"/>
      <c r="GY26" s="141"/>
      <c r="GZ26" s="141"/>
      <c r="HA26" s="141"/>
      <c r="HB26" s="141"/>
      <c r="HC26" s="141"/>
      <c r="HD26" s="141"/>
      <c r="HE26" s="141"/>
      <c r="HF26" s="141"/>
      <c r="HG26" s="141"/>
      <c r="HH26" s="141"/>
      <c r="HI26" s="141"/>
      <c r="HJ26" s="141"/>
      <c r="HK26" s="141"/>
      <c r="HL26" s="141"/>
      <c r="HM26" s="141"/>
      <c r="HN26" s="141"/>
      <c r="HO26" s="141"/>
      <c r="HP26" s="141"/>
      <c r="HQ26" s="141"/>
      <c r="HR26" s="141"/>
      <c r="HS26" s="141"/>
      <c r="HT26" s="141"/>
      <c r="HU26" s="141"/>
      <c r="HV26" s="141"/>
      <c r="HW26" s="141"/>
      <c r="HX26" s="141"/>
      <c r="HY26" s="141"/>
      <c r="HZ26" s="141"/>
      <c r="IA26" s="141"/>
      <c r="IB26" s="141"/>
      <c r="IC26" s="141"/>
      <c r="ID26" s="141"/>
      <c r="IE26" s="141"/>
      <c r="IF26" s="141"/>
      <c r="IG26" s="141"/>
      <c r="IH26" s="141"/>
      <c r="II26" s="141"/>
      <c r="IJ26" s="141"/>
      <c r="IK26" s="141"/>
      <c r="IL26" s="141"/>
      <c r="IM26" s="141"/>
      <c r="IN26" s="141"/>
      <c r="IO26" s="141"/>
      <c r="IP26" s="141"/>
      <c r="IQ26" s="141"/>
      <c r="IR26" s="141"/>
      <c r="IS26" s="141"/>
      <c r="IT26" s="141"/>
      <c r="IU26" s="141"/>
      <c r="IV26" s="141"/>
      <c r="IW26" s="141"/>
      <c r="IX26" s="141"/>
      <c r="IY26" s="141"/>
      <c r="IZ26" s="141"/>
      <c r="JA26" s="141"/>
      <c r="JB26" s="141"/>
      <c r="JC26" s="141"/>
      <c r="JD26" s="141"/>
      <c r="JE26" s="141"/>
      <c r="JF26" s="141"/>
      <c r="JG26" s="141"/>
      <c r="JH26" s="141"/>
      <c r="JI26" s="141"/>
      <c r="JJ26" s="141"/>
      <c r="JK26" s="141"/>
      <c r="JL26" s="141"/>
      <c r="JM26" s="141"/>
      <c r="JN26" s="141"/>
      <c r="JO26" s="141"/>
      <c r="JP26" s="141"/>
      <c r="JQ26" s="141"/>
      <c r="JR26" s="141"/>
      <c r="JS26" s="141"/>
      <c r="JT26" s="141"/>
      <c r="JU26" s="141"/>
      <c r="JV26" s="141"/>
      <c r="JW26" s="141"/>
      <c r="JX26" s="141"/>
      <c r="JY26" s="141"/>
      <c r="JZ26" s="141"/>
      <c r="KA26" s="141"/>
      <c r="KB26" s="141"/>
      <c r="KC26" s="141"/>
      <c r="KD26" s="141"/>
      <c r="KE26" s="141"/>
      <c r="KF26" s="141"/>
      <c r="KG26" s="141"/>
      <c r="KH26" s="141"/>
      <c r="KI26" s="141"/>
      <c r="KJ26" s="141"/>
      <c r="KK26" s="141"/>
      <c r="KL26" s="141"/>
      <c r="KM26" s="141"/>
      <c r="KN26" s="141"/>
    </row>
    <row r="27" spans="1:300" s="3" customFormat="1" ht="31.5" customHeight="1">
      <c r="A27" s="148"/>
      <c r="B27" s="8"/>
      <c r="C27" s="36"/>
      <c r="D27" s="36"/>
      <c r="E27" s="35"/>
      <c r="F27" s="35"/>
      <c r="G27" s="35"/>
      <c r="H27" s="151"/>
      <c r="I27" s="153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  <c r="CK27" s="141"/>
      <c r="CL27" s="141"/>
      <c r="CM27" s="141"/>
      <c r="CN27" s="141"/>
      <c r="CO27" s="141"/>
      <c r="CP27" s="141"/>
      <c r="CQ27" s="141"/>
      <c r="CR27" s="141"/>
      <c r="CS27" s="141"/>
      <c r="CT27" s="141"/>
      <c r="CU27" s="141"/>
      <c r="CV27" s="141"/>
      <c r="CW27" s="141"/>
      <c r="CX27" s="141"/>
      <c r="CY27" s="141"/>
      <c r="CZ27" s="141"/>
      <c r="DA27" s="141"/>
      <c r="DB27" s="141"/>
      <c r="DC27" s="141"/>
      <c r="DD27" s="141"/>
      <c r="DE27" s="141"/>
      <c r="DF27" s="141"/>
      <c r="DG27" s="141"/>
      <c r="DH27" s="141"/>
      <c r="DI27" s="141"/>
      <c r="DJ27" s="141"/>
      <c r="DK27" s="141"/>
      <c r="DL27" s="141"/>
      <c r="DM27" s="141"/>
      <c r="DN27" s="141"/>
      <c r="DO27" s="141"/>
      <c r="DP27" s="141"/>
      <c r="DQ27" s="141"/>
      <c r="DR27" s="141"/>
      <c r="DS27" s="141"/>
      <c r="DT27" s="141"/>
      <c r="DU27" s="141"/>
      <c r="DV27" s="141"/>
      <c r="DW27" s="141"/>
      <c r="DX27" s="141"/>
      <c r="DY27" s="141"/>
      <c r="DZ27" s="141"/>
      <c r="EA27" s="141"/>
      <c r="EB27" s="141"/>
      <c r="EC27" s="141"/>
      <c r="ED27" s="141"/>
      <c r="EE27" s="141"/>
      <c r="EF27" s="141"/>
      <c r="EG27" s="141"/>
      <c r="EH27" s="141"/>
      <c r="EI27" s="141"/>
      <c r="EJ27" s="141"/>
      <c r="EK27" s="141"/>
      <c r="EL27" s="141"/>
      <c r="EM27" s="141"/>
      <c r="EN27" s="141"/>
      <c r="EO27" s="141"/>
      <c r="EP27" s="141"/>
      <c r="EQ27" s="141"/>
      <c r="ER27" s="141"/>
      <c r="ES27" s="141"/>
      <c r="ET27" s="141"/>
      <c r="EU27" s="141"/>
      <c r="EV27" s="141"/>
      <c r="EW27" s="141"/>
      <c r="EX27" s="141"/>
      <c r="EY27" s="141"/>
      <c r="EZ27" s="141"/>
      <c r="FA27" s="141"/>
      <c r="FB27" s="141"/>
      <c r="FC27" s="141"/>
      <c r="FD27" s="141"/>
      <c r="FE27" s="141"/>
      <c r="FF27" s="141"/>
      <c r="FG27" s="141"/>
      <c r="FH27" s="141"/>
      <c r="FI27" s="141"/>
      <c r="FJ27" s="141"/>
      <c r="FK27" s="141"/>
      <c r="FL27" s="141"/>
      <c r="FM27" s="141"/>
      <c r="FN27" s="141"/>
      <c r="FO27" s="141"/>
      <c r="FP27" s="141"/>
      <c r="FQ27" s="141"/>
      <c r="FR27" s="141"/>
      <c r="FS27" s="141"/>
      <c r="FT27" s="141"/>
      <c r="FU27" s="141"/>
      <c r="FV27" s="141"/>
      <c r="FW27" s="141"/>
      <c r="FX27" s="141"/>
      <c r="FY27" s="141"/>
      <c r="FZ27" s="141"/>
      <c r="GA27" s="141"/>
      <c r="GB27" s="141"/>
      <c r="GC27" s="141"/>
      <c r="GD27" s="141"/>
      <c r="GE27" s="141"/>
      <c r="GF27" s="141"/>
      <c r="GG27" s="141"/>
      <c r="GH27" s="141"/>
      <c r="GI27" s="141"/>
      <c r="GJ27" s="141"/>
      <c r="GK27" s="141"/>
      <c r="GL27" s="141"/>
      <c r="GM27" s="141"/>
      <c r="GN27" s="141"/>
      <c r="GO27" s="141"/>
      <c r="GP27" s="141"/>
      <c r="GQ27" s="141"/>
      <c r="GR27" s="141"/>
      <c r="GS27" s="141"/>
      <c r="GT27" s="141"/>
      <c r="GU27" s="141"/>
      <c r="GV27" s="141"/>
      <c r="GW27" s="141"/>
      <c r="GX27" s="141"/>
      <c r="GY27" s="141"/>
      <c r="GZ27" s="141"/>
      <c r="HA27" s="141"/>
      <c r="HB27" s="141"/>
      <c r="HC27" s="141"/>
      <c r="HD27" s="141"/>
      <c r="HE27" s="141"/>
      <c r="HF27" s="141"/>
      <c r="HG27" s="141"/>
      <c r="HH27" s="141"/>
      <c r="HI27" s="141"/>
      <c r="HJ27" s="141"/>
      <c r="HK27" s="141"/>
      <c r="HL27" s="141"/>
      <c r="HM27" s="141"/>
      <c r="HN27" s="141"/>
      <c r="HO27" s="141"/>
      <c r="HP27" s="141"/>
      <c r="HQ27" s="141"/>
      <c r="HR27" s="141"/>
      <c r="HS27" s="141"/>
      <c r="HT27" s="141"/>
      <c r="HU27" s="141"/>
      <c r="HV27" s="141"/>
      <c r="HW27" s="141"/>
      <c r="HX27" s="141"/>
      <c r="HY27" s="141"/>
      <c r="HZ27" s="141"/>
      <c r="IA27" s="141"/>
      <c r="IB27" s="141"/>
      <c r="IC27" s="141"/>
      <c r="ID27" s="141"/>
      <c r="IE27" s="141"/>
      <c r="IF27" s="141"/>
      <c r="IG27" s="141"/>
      <c r="IH27" s="141"/>
      <c r="II27" s="141"/>
      <c r="IJ27" s="141"/>
      <c r="IK27" s="141"/>
      <c r="IL27" s="141"/>
      <c r="IM27" s="141"/>
      <c r="IN27" s="141"/>
      <c r="IO27" s="141"/>
      <c r="IP27" s="141"/>
      <c r="IQ27" s="141"/>
      <c r="IR27" s="141"/>
      <c r="IS27" s="141"/>
      <c r="IT27" s="141"/>
      <c r="IU27" s="141"/>
      <c r="IV27" s="141"/>
      <c r="IW27" s="141"/>
      <c r="IX27" s="141"/>
      <c r="IY27" s="141"/>
      <c r="IZ27" s="141"/>
      <c r="JA27" s="141"/>
      <c r="JB27" s="141"/>
      <c r="JC27" s="141"/>
      <c r="JD27" s="141"/>
      <c r="JE27" s="141"/>
      <c r="JF27" s="141"/>
      <c r="JG27" s="141"/>
      <c r="JH27" s="141"/>
      <c r="JI27" s="141"/>
      <c r="JJ27" s="141"/>
      <c r="JK27" s="141"/>
      <c r="JL27" s="141"/>
      <c r="JM27" s="141"/>
      <c r="JN27" s="141"/>
      <c r="JO27" s="141"/>
      <c r="JP27" s="141"/>
      <c r="JQ27" s="141"/>
      <c r="JR27" s="141"/>
      <c r="JS27" s="141"/>
      <c r="JT27" s="141"/>
      <c r="JU27" s="141"/>
      <c r="JV27" s="141"/>
      <c r="JW27" s="141"/>
      <c r="JX27" s="141"/>
      <c r="JY27" s="141"/>
      <c r="JZ27" s="141"/>
      <c r="KA27" s="141"/>
      <c r="KB27" s="141"/>
      <c r="KC27" s="141"/>
      <c r="KD27" s="141"/>
      <c r="KE27" s="141"/>
      <c r="KF27" s="141"/>
      <c r="KG27" s="141"/>
      <c r="KH27" s="141"/>
      <c r="KI27" s="141"/>
      <c r="KJ27" s="141"/>
      <c r="KK27" s="141"/>
      <c r="KL27" s="141"/>
      <c r="KM27" s="141"/>
      <c r="KN27" s="141"/>
    </row>
    <row r="28" spans="1:300" s="3" customFormat="1" ht="31.5" customHeight="1">
      <c r="A28" s="148"/>
      <c r="B28" s="8"/>
      <c r="C28" s="36"/>
      <c r="D28" s="36"/>
      <c r="E28" s="35"/>
      <c r="F28" s="35"/>
      <c r="G28" s="35"/>
      <c r="H28" s="151"/>
      <c r="I28" s="153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  <c r="AH28" s="141"/>
      <c r="AI28" s="141"/>
      <c r="AJ28" s="141"/>
      <c r="AK28" s="141"/>
      <c r="AL28" s="141"/>
      <c r="AM28" s="141"/>
      <c r="AN28" s="141"/>
      <c r="AO28" s="141"/>
      <c r="AP28" s="141"/>
      <c r="AQ28" s="141"/>
      <c r="AR28" s="141"/>
      <c r="AS28" s="141"/>
      <c r="AT28" s="141"/>
      <c r="AU28" s="141"/>
      <c r="AV28" s="141"/>
      <c r="AW28" s="141"/>
      <c r="AX28" s="141"/>
      <c r="AY28" s="141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  <c r="CK28" s="141"/>
      <c r="CL28" s="141"/>
      <c r="CM28" s="141"/>
      <c r="CN28" s="141"/>
      <c r="CO28" s="141"/>
      <c r="CP28" s="141"/>
      <c r="CQ28" s="141"/>
      <c r="CR28" s="141"/>
      <c r="CS28" s="141"/>
      <c r="CT28" s="141"/>
      <c r="CU28" s="141"/>
      <c r="CV28" s="141"/>
      <c r="CW28" s="141"/>
      <c r="CX28" s="141"/>
      <c r="CY28" s="141"/>
      <c r="CZ28" s="141"/>
      <c r="DA28" s="141"/>
      <c r="DB28" s="141"/>
      <c r="DC28" s="141"/>
      <c r="DD28" s="141"/>
      <c r="DE28" s="141"/>
      <c r="DF28" s="141"/>
      <c r="DG28" s="141"/>
      <c r="DH28" s="141"/>
      <c r="DI28" s="141"/>
      <c r="DJ28" s="141"/>
      <c r="DK28" s="141"/>
      <c r="DL28" s="141"/>
      <c r="DM28" s="141"/>
      <c r="DN28" s="141"/>
      <c r="DO28" s="141"/>
      <c r="DP28" s="141"/>
      <c r="DQ28" s="141"/>
      <c r="DR28" s="141"/>
      <c r="DS28" s="141"/>
      <c r="DT28" s="141"/>
      <c r="DU28" s="141"/>
      <c r="DV28" s="141"/>
      <c r="DW28" s="141"/>
      <c r="DX28" s="141"/>
      <c r="DY28" s="141"/>
      <c r="DZ28" s="141"/>
      <c r="EA28" s="141"/>
      <c r="EB28" s="141"/>
      <c r="EC28" s="141"/>
      <c r="ED28" s="141"/>
      <c r="EE28" s="141"/>
      <c r="EF28" s="141"/>
      <c r="EG28" s="141"/>
      <c r="EH28" s="141"/>
      <c r="EI28" s="141"/>
      <c r="EJ28" s="141"/>
      <c r="EK28" s="141"/>
      <c r="EL28" s="141"/>
      <c r="EM28" s="141"/>
      <c r="EN28" s="141"/>
      <c r="EO28" s="141"/>
      <c r="EP28" s="141"/>
      <c r="EQ28" s="141"/>
      <c r="ER28" s="141"/>
      <c r="ES28" s="141"/>
      <c r="ET28" s="141"/>
      <c r="EU28" s="141"/>
      <c r="EV28" s="141"/>
      <c r="EW28" s="141"/>
      <c r="EX28" s="141"/>
      <c r="EY28" s="141"/>
      <c r="EZ28" s="141"/>
      <c r="FA28" s="141"/>
      <c r="FB28" s="141"/>
      <c r="FC28" s="141"/>
      <c r="FD28" s="141"/>
      <c r="FE28" s="141"/>
      <c r="FF28" s="141"/>
      <c r="FG28" s="141"/>
      <c r="FH28" s="141"/>
      <c r="FI28" s="141"/>
      <c r="FJ28" s="141"/>
      <c r="FK28" s="141"/>
      <c r="FL28" s="141"/>
      <c r="FM28" s="141"/>
      <c r="FN28" s="141"/>
      <c r="FO28" s="141"/>
      <c r="FP28" s="141"/>
      <c r="FQ28" s="141"/>
      <c r="FR28" s="141"/>
      <c r="FS28" s="141"/>
      <c r="FT28" s="141"/>
      <c r="FU28" s="141"/>
      <c r="FV28" s="141"/>
      <c r="FW28" s="141"/>
      <c r="FX28" s="141"/>
      <c r="FY28" s="141"/>
      <c r="FZ28" s="141"/>
      <c r="GA28" s="141"/>
      <c r="GB28" s="141"/>
      <c r="GC28" s="141"/>
      <c r="GD28" s="141"/>
      <c r="GE28" s="141"/>
      <c r="GF28" s="141"/>
      <c r="GG28" s="141"/>
      <c r="GH28" s="141"/>
      <c r="GI28" s="141"/>
      <c r="GJ28" s="141"/>
      <c r="GK28" s="141"/>
      <c r="GL28" s="141"/>
      <c r="GM28" s="141"/>
      <c r="GN28" s="141"/>
      <c r="GO28" s="141"/>
      <c r="GP28" s="141"/>
      <c r="GQ28" s="141"/>
      <c r="GR28" s="141"/>
      <c r="GS28" s="141"/>
      <c r="GT28" s="141"/>
      <c r="GU28" s="141"/>
      <c r="GV28" s="141"/>
      <c r="GW28" s="141"/>
      <c r="GX28" s="141"/>
      <c r="GY28" s="141"/>
      <c r="GZ28" s="141"/>
      <c r="HA28" s="141"/>
      <c r="HB28" s="141"/>
      <c r="HC28" s="141"/>
      <c r="HD28" s="141"/>
      <c r="HE28" s="141"/>
      <c r="HF28" s="141"/>
      <c r="HG28" s="141"/>
      <c r="HH28" s="141"/>
      <c r="HI28" s="141"/>
      <c r="HJ28" s="141"/>
      <c r="HK28" s="141"/>
      <c r="HL28" s="141"/>
      <c r="HM28" s="141"/>
      <c r="HN28" s="141"/>
      <c r="HO28" s="141"/>
      <c r="HP28" s="141"/>
      <c r="HQ28" s="141"/>
      <c r="HR28" s="141"/>
      <c r="HS28" s="141"/>
      <c r="HT28" s="141"/>
      <c r="HU28" s="141"/>
      <c r="HV28" s="141"/>
      <c r="HW28" s="141"/>
      <c r="HX28" s="141"/>
      <c r="HY28" s="141"/>
      <c r="HZ28" s="141"/>
      <c r="IA28" s="141"/>
      <c r="IB28" s="141"/>
      <c r="IC28" s="141"/>
      <c r="ID28" s="141"/>
      <c r="IE28" s="141"/>
      <c r="IF28" s="141"/>
      <c r="IG28" s="141"/>
      <c r="IH28" s="141"/>
      <c r="II28" s="141"/>
      <c r="IJ28" s="141"/>
      <c r="IK28" s="141"/>
      <c r="IL28" s="141"/>
      <c r="IM28" s="141"/>
      <c r="IN28" s="141"/>
      <c r="IO28" s="141"/>
      <c r="IP28" s="141"/>
      <c r="IQ28" s="141"/>
      <c r="IR28" s="141"/>
      <c r="IS28" s="141"/>
      <c r="IT28" s="141"/>
      <c r="IU28" s="141"/>
      <c r="IV28" s="141"/>
      <c r="IW28" s="141"/>
      <c r="IX28" s="141"/>
      <c r="IY28" s="141"/>
      <c r="IZ28" s="141"/>
      <c r="JA28" s="141"/>
      <c r="JB28" s="141"/>
      <c r="JC28" s="141"/>
      <c r="JD28" s="141"/>
      <c r="JE28" s="141"/>
      <c r="JF28" s="141"/>
      <c r="JG28" s="141"/>
      <c r="JH28" s="141"/>
      <c r="JI28" s="141"/>
      <c r="JJ28" s="141"/>
      <c r="JK28" s="141"/>
      <c r="JL28" s="141"/>
      <c r="JM28" s="141"/>
      <c r="JN28" s="141"/>
      <c r="JO28" s="141"/>
      <c r="JP28" s="141"/>
      <c r="JQ28" s="141"/>
      <c r="JR28" s="141"/>
      <c r="JS28" s="141"/>
      <c r="JT28" s="141"/>
      <c r="JU28" s="141"/>
      <c r="JV28" s="141"/>
      <c r="JW28" s="141"/>
      <c r="JX28" s="141"/>
      <c r="JY28" s="141"/>
      <c r="JZ28" s="141"/>
      <c r="KA28" s="141"/>
      <c r="KB28" s="141"/>
      <c r="KC28" s="141"/>
      <c r="KD28" s="141"/>
      <c r="KE28" s="141"/>
      <c r="KF28" s="141"/>
      <c r="KG28" s="141"/>
      <c r="KH28" s="141"/>
      <c r="KI28" s="141"/>
      <c r="KJ28" s="141"/>
      <c r="KK28" s="141"/>
      <c r="KL28" s="141"/>
      <c r="KM28" s="141"/>
      <c r="KN28" s="141"/>
    </row>
    <row r="29" spans="1:300" s="3" customFormat="1" ht="31.5" customHeight="1">
      <c r="A29" s="148"/>
      <c r="B29" s="8"/>
      <c r="C29" s="36"/>
      <c r="D29" s="36"/>
      <c r="E29" s="35"/>
      <c r="F29" s="35"/>
      <c r="G29" s="35"/>
      <c r="H29" s="151"/>
      <c r="I29" s="153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  <c r="GQ29" s="141"/>
      <c r="GR29" s="141"/>
      <c r="GS29" s="141"/>
      <c r="GT29" s="141"/>
      <c r="GU29" s="141"/>
      <c r="GV29" s="141"/>
      <c r="GW29" s="141"/>
      <c r="GX29" s="141"/>
      <c r="GY29" s="141"/>
      <c r="GZ29" s="141"/>
      <c r="HA29" s="141"/>
      <c r="HB29" s="141"/>
      <c r="HC29" s="141"/>
      <c r="HD29" s="141"/>
      <c r="HE29" s="141"/>
      <c r="HF29" s="141"/>
      <c r="HG29" s="141"/>
      <c r="HH29" s="141"/>
      <c r="HI29" s="141"/>
      <c r="HJ29" s="141"/>
      <c r="HK29" s="141"/>
      <c r="HL29" s="141"/>
      <c r="HM29" s="141"/>
      <c r="HN29" s="141"/>
      <c r="HO29" s="141"/>
      <c r="HP29" s="141"/>
      <c r="HQ29" s="141"/>
      <c r="HR29" s="141"/>
      <c r="HS29" s="141"/>
      <c r="HT29" s="141"/>
      <c r="HU29" s="141"/>
      <c r="HV29" s="141"/>
      <c r="HW29" s="141"/>
      <c r="HX29" s="141"/>
      <c r="HY29" s="141"/>
      <c r="HZ29" s="141"/>
      <c r="IA29" s="141"/>
      <c r="IB29" s="141"/>
      <c r="IC29" s="141"/>
      <c r="ID29" s="141"/>
      <c r="IE29" s="141"/>
      <c r="IF29" s="141"/>
      <c r="IG29" s="141"/>
      <c r="IH29" s="141"/>
      <c r="II29" s="141"/>
      <c r="IJ29" s="141"/>
      <c r="IK29" s="141"/>
      <c r="IL29" s="141"/>
      <c r="IM29" s="141"/>
      <c r="IN29" s="141"/>
      <c r="IO29" s="141"/>
      <c r="IP29" s="141"/>
      <c r="IQ29" s="141"/>
      <c r="IR29" s="141"/>
      <c r="IS29" s="141"/>
      <c r="IT29" s="141"/>
      <c r="IU29" s="141"/>
      <c r="IV29" s="141"/>
      <c r="IW29" s="141"/>
      <c r="IX29" s="141"/>
      <c r="IY29" s="141"/>
      <c r="IZ29" s="141"/>
      <c r="JA29" s="141"/>
      <c r="JB29" s="141"/>
      <c r="JC29" s="141"/>
      <c r="JD29" s="141"/>
      <c r="JE29" s="141"/>
      <c r="JF29" s="141"/>
      <c r="JG29" s="141"/>
      <c r="JH29" s="141"/>
      <c r="JI29" s="141"/>
      <c r="JJ29" s="141"/>
      <c r="JK29" s="141"/>
      <c r="JL29" s="141"/>
      <c r="JM29" s="141"/>
      <c r="JN29" s="141"/>
      <c r="JO29" s="141"/>
      <c r="JP29" s="141"/>
      <c r="JQ29" s="141"/>
      <c r="JR29" s="141"/>
      <c r="JS29" s="141"/>
      <c r="JT29" s="141"/>
      <c r="JU29" s="141"/>
      <c r="JV29" s="141"/>
      <c r="JW29" s="141"/>
      <c r="JX29" s="141"/>
      <c r="JY29" s="141"/>
      <c r="JZ29" s="141"/>
      <c r="KA29" s="141"/>
      <c r="KB29" s="141"/>
      <c r="KC29" s="141"/>
      <c r="KD29" s="141"/>
      <c r="KE29" s="141"/>
      <c r="KF29" s="141"/>
      <c r="KG29" s="141"/>
      <c r="KH29" s="141"/>
      <c r="KI29" s="141"/>
      <c r="KJ29" s="141"/>
      <c r="KK29" s="141"/>
      <c r="KL29" s="141"/>
      <c r="KM29" s="141"/>
      <c r="KN29" s="141"/>
    </row>
    <row r="30" spans="1:300" s="3" customFormat="1" ht="31.5" customHeight="1">
      <c r="A30" s="148"/>
      <c r="B30" s="8"/>
      <c r="C30" s="36"/>
      <c r="D30" s="36"/>
      <c r="E30" s="35"/>
      <c r="F30" s="35"/>
      <c r="G30" s="35"/>
      <c r="H30" s="151"/>
      <c r="I30" s="153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  <c r="GQ30" s="141"/>
      <c r="GR30" s="141"/>
      <c r="GS30" s="141"/>
      <c r="GT30" s="141"/>
      <c r="GU30" s="141"/>
      <c r="GV30" s="141"/>
      <c r="GW30" s="141"/>
      <c r="GX30" s="141"/>
      <c r="GY30" s="141"/>
      <c r="GZ30" s="141"/>
      <c r="HA30" s="141"/>
      <c r="HB30" s="141"/>
      <c r="HC30" s="141"/>
      <c r="HD30" s="141"/>
      <c r="HE30" s="141"/>
      <c r="HF30" s="141"/>
      <c r="HG30" s="141"/>
      <c r="HH30" s="141"/>
      <c r="HI30" s="141"/>
      <c r="HJ30" s="141"/>
      <c r="HK30" s="141"/>
      <c r="HL30" s="141"/>
      <c r="HM30" s="141"/>
      <c r="HN30" s="141"/>
      <c r="HO30" s="141"/>
      <c r="HP30" s="141"/>
      <c r="HQ30" s="141"/>
      <c r="HR30" s="141"/>
      <c r="HS30" s="141"/>
      <c r="HT30" s="141"/>
      <c r="HU30" s="141"/>
      <c r="HV30" s="141"/>
      <c r="HW30" s="141"/>
      <c r="HX30" s="141"/>
      <c r="HY30" s="141"/>
      <c r="HZ30" s="141"/>
      <c r="IA30" s="141"/>
      <c r="IB30" s="141"/>
      <c r="IC30" s="141"/>
      <c r="ID30" s="141"/>
      <c r="IE30" s="141"/>
      <c r="IF30" s="141"/>
      <c r="IG30" s="141"/>
      <c r="IH30" s="141"/>
      <c r="II30" s="141"/>
      <c r="IJ30" s="141"/>
      <c r="IK30" s="141"/>
      <c r="IL30" s="141"/>
      <c r="IM30" s="141"/>
      <c r="IN30" s="141"/>
      <c r="IO30" s="141"/>
      <c r="IP30" s="141"/>
      <c r="IQ30" s="141"/>
      <c r="IR30" s="141"/>
      <c r="IS30" s="141"/>
      <c r="IT30" s="141"/>
      <c r="IU30" s="141"/>
      <c r="IV30" s="141"/>
      <c r="IW30" s="141"/>
      <c r="IX30" s="141"/>
      <c r="IY30" s="141"/>
      <c r="IZ30" s="141"/>
      <c r="JA30" s="141"/>
      <c r="JB30" s="141"/>
      <c r="JC30" s="141"/>
      <c r="JD30" s="141"/>
      <c r="JE30" s="141"/>
      <c r="JF30" s="141"/>
      <c r="JG30" s="141"/>
      <c r="JH30" s="141"/>
      <c r="JI30" s="141"/>
      <c r="JJ30" s="141"/>
      <c r="JK30" s="141"/>
      <c r="JL30" s="141"/>
      <c r="JM30" s="141"/>
      <c r="JN30" s="141"/>
      <c r="JO30" s="141"/>
      <c r="JP30" s="141"/>
      <c r="JQ30" s="141"/>
      <c r="JR30" s="141"/>
      <c r="JS30" s="141"/>
      <c r="JT30" s="141"/>
      <c r="JU30" s="141"/>
      <c r="JV30" s="141"/>
      <c r="JW30" s="141"/>
      <c r="JX30" s="141"/>
      <c r="JY30" s="141"/>
      <c r="JZ30" s="141"/>
      <c r="KA30" s="141"/>
      <c r="KB30" s="141"/>
      <c r="KC30" s="141"/>
      <c r="KD30" s="141"/>
      <c r="KE30" s="141"/>
      <c r="KF30" s="141"/>
      <c r="KG30" s="141"/>
      <c r="KH30" s="141"/>
      <c r="KI30" s="141"/>
      <c r="KJ30" s="141"/>
      <c r="KK30" s="141"/>
      <c r="KL30" s="141"/>
      <c r="KM30" s="141"/>
      <c r="KN30" s="141"/>
    </row>
    <row r="31" spans="1:300" s="3" customFormat="1" ht="31.5" customHeight="1">
      <c r="A31" s="148"/>
      <c r="B31" s="8"/>
      <c r="C31" s="36"/>
      <c r="D31" s="36"/>
      <c r="E31" s="35"/>
      <c r="F31" s="35"/>
      <c r="G31" s="35"/>
      <c r="H31" s="151"/>
      <c r="I31" s="153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  <c r="GQ31" s="141"/>
      <c r="GR31" s="141"/>
      <c r="GS31" s="141"/>
      <c r="GT31" s="141"/>
      <c r="GU31" s="141"/>
      <c r="GV31" s="141"/>
      <c r="GW31" s="141"/>
      <c r="GX31" s="141"/>
      <c r="GY31" s="141"/>
      <c r="GZ31" s="141"/>
      <c r="HA31" s="141"/>
      <c r="HB31" s="141"/>
      <c r="HC31" s="141"/>
      <c r="HD31" s="141"/>
      <c r="HE31" s="141"/>
      <c r="HF31" s="141"/>
      <c r="HG31" s="141"/>
      <c r="HH31" s="141"/>
      <c r="HI31" s="141"/>
      <c r="HJ31" s="141"/>
      <c r="HK31" s="141"/>
      <c r="HL31" s="141"/>
      <c r="HM31" s="141"/>
      <c r="HN31" s="141"/>
      <c r="HO31" s="141"/>
      <c r="HP31" s="141"/>
      <c r="HQ31" s="141"/>
      <c r="HR31" s="141"/>
      <c r="HS31" s="141"/>
      <c r="HT31" s="141"/>
      <c r="HU31" s="141"/>
      <c r="HV31" s="141"/>
      <c r="HW31" s="141"/>
      <c r="HX31" s="141"/>
      <c r="HY31" s="141"/>
      <c r="HZ31" s="141"/>
      <c r="IA31" s="141"/>
      <c r="IB31" s="141"/>
      <c r="IC31" s="141"/>
      <c r="ID31" s="141"/>
      <c r="IE31" s="141"/>
      <c r="IF31" s="141"/>
      <c r="IG31" s="141"/>
      <c r="IH31" s="141"/>
      <c r="II31" s="141"/>
      <c r="IJ31" s="141"/>
      <c r="IK31" s="141"/>
      <c r="IL31" s="141"/>
      <c r="IM31" s="141"/>
      <c r="IN31" s="141"/>
      <c r="IO31" s="141"/>
      <c r="IP31" s="141"/>
      <c r="IQ31" s="141"/>
      <c r="IR31" s="141"/>
      <c r="IS31" s="141"/>
      <c r="IT31" s="141"/>
      <c r="IU31" s="141"/>
      <c r="IV31" s="141"/>
      <c r="IW31" s="141"/>
      <c r="IX31" s="141"/>
      <c r="IY31" s="141"/>
      <c r="IZ31" s="141"/>
      <c r="JA31" s="141"/>
      <c r="JB31" s="141"/>
      <c r="JC31" s="141"/>
      <c r="JD31" s="141"/>
      <c r="JE31" s="141"/>
      <c r="JF31" s="141"/>
      <c r="JG31" s="141"/>
      <c r="JH31" s="141"/>
      <c r="JI31" s="141"/>
      <c r="JJ31" s="141"/>
      <c r="JK31" s="141"/>
      <c r="JL31" s="141"/>
      <c r="JM31" s="141"/>
      <c r="JN31" s="141"/>
      <c r="JO31" s="141"/>
      <c r="JP31" s="141"/>
      <c r="JQ31" s="141"/>
      <c r="JR31" s="141"/>
      <c r="JS31" s="141"/>
      <c r="JT31" s="141"/>
      <c r="JU31" s="141"/>
      <c r="JV31" s="141"/>
      <c r="JW31" s="141"/>
      <c r="JX31" s="141"/>
      <c r="JY31" s="141"/>
      <c r="JZ31" s="141"/>
      <c r="KA31" s="141"/>
      <c r="KB31" s="141"/>
      <c r="KC31" s="141"/>
      <c r="KD31" s="141"/>
      <c r="KE31" s="141"/>
      <c r="KF31" s="141"/>
      <c r="KG31" s="141"/>
      <c r="KH31" s="141"/>
      <c r="KI31" s="141"/>
      <c r="KJ31" s="141"/>
      <c r="KK31" s="141"/>
      <c r="KL31" s="141"/>
      <c r="KM31" s="141"/>
      <c r="KN31" s="141"/>
    </row>
    <row r="32" spans="1:300" s="3" customFormat="1" ht="31.5" customHeight="1">
      <c r="A32" s="148"/>
      <c r="B32" s="8"/>
      <c r="C32" s="36"/>
      <c r="D32" s="36"/>
      <c r="E32" s="35"/>
      <c r="F32" s="35"/>
      <c r="G32" s="35"/>
      <c r="H32" s="151"/>
      <c r="I32" s="153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  <c r="GQ32" s="141"/>
      <c r="GR32" s="141"/>
      <c r="GS32" s="141"/>
      <c r="GT32" s="141"/>
      <c r="GU32" s="141"/>
      <c r="GV32" s="141"/>
      <c r="GW32" s="141"/>
      <c r="GX32" s="141"/>
      <c r="GY32" s="141"/>
      <c r="GZ32" s="141"/>
      <c r="HA32" s="141"/>
      <c r="HB32" s="141"/>
      <c r="HC32" s="141"/>
      <c r="HD32" s="141"/>
      <c r="HE32" s="141"/>
      <c r="HF32" s="141"/>
      <c r="HG32" s="141"/>
      <c r="HH32" s="141"/>
      <c r="HI32" s="141"/>
      <c r="HJ32" s="141"/>
      <c r="HK32" s="141"/>
      <c r="HL32" s="141"/>
      <c r="HM32" s="141"/>
      <c r="HN32" s="141"/>
      <c r="HO32" s="141"/>
      <c r="HP32" s="141"/>
      <c r="HQ32" s="141"/>
      <c r="HR32" s="141"/>
      <c r="HS32" s="141"/>
      <c r="HT32" s="141"/>
      <c r="HU32" s="141"/>
      <c r="HV32" s="141"/>
      <c r="HW32" s="141"/>
      <c r="HX32" s="141"/>
      <c r="HY32" s="141"/>
      <c r="HZ32" s="141"/>
      <c r="IA32" s="141"/>
      <c r="IB32" s="141"/>
      <c r="IC32" s="141"/>
      <c r="ID32" s="141"/>
      <c r="IE32" s="141"/>
      <c r="IF32" s="141"/>
      <c r="IG32" s="141"/>
      <c r="IH32" s="141"/>
      <c r="II32" s="141"/>
      <c r="IJ32" s="141"/>
      <c r="IK32" s="141"/>
      <c r="IL32" s="141"/>
      <c r="IM32" s="141"/>
      <c r="IN32" s="141"/>
      <c r="IO32" s="141"/>
      <c r="IP32" s="141"/>
      <c r="IQ32" s="141"/>
      <c r="IR32" s="141"/>
      <c r="IS32" s="141"/>
      <c r="IT32" s="141"/>
      <c r="IU32" s="141"/>
      <c r="IV32" s="141"/>
      <c r="IW32" s="141"/>
      <c r="IX32" s="141"/>
      <c r="IY32" s="141"/>
      <c r="IZ32" s="141"/>
      <c r="JA32" s="141"/>
      <c r="JB32" s="141"/>
      <c r="JC32" s="141"/>
      <c r="JD32" s="141"/>
      <c r="JE32" s="141"/>
      <c r="JF32" s="141"/>
      <c r="JG32" s="141"/>
      <c r="JH32" s="141"/>
      <c r="JI32" s="141"/>
      <c r="JJ32" s="141"/>
      <c r="JK32" s="141"/>
      <c r="JL32" s="141"/>
      <c r="JM32" s="141"/>
      <c r="JN32" s="141"/>
      <c r="JO32" s="141"/>
      <c r="JP32" s="141"/>
      <c r="JQ32" s="141"/>
      <c r="JR32" s="141"/>
      <c r="JS32" s="141"/>
      <c r="JT32" s="141"/>
      <c r="JU32" s="141"/>
      <c r="JV32" s="141"/>
      <c r="JW32" s="141"/>
      <c r="JX32" s="141"/>
      <c r="JY32" s="141"/>
      <c r="JZ32" s="141"/>
      <c r="KA32" s="141"/>
      <c r="KB32" s="141"/>
      <c r="KC32" s="141"/>
      <c r="KD32" s="141"/>
      <c r="KE32" s="141"/>
      <c r="KF32" s="141"/>
      <c r="KG32" s="141"/>
      <c r="KH32" s="141"/>
      <c r="KI32" s="141"/>
      <c r="KJ32" s="141"/>
      <c r="KK32" s="141"/>
      <c r="KL32" s="141"/>
      <c r="KM32" s="141"/>
      <c r="KN32" s="141"/>
    </row>
    <row r="33" spans="1:300" s="3" customFormat="1" ht="31.5" customHeight="1">
      <c r="A33" s="148"/>
      <c r="B33" s="8"/>
      <c r="C33" s="36"/>
      <c r="D33" s="36"/>
      <c r="E33" s="35"/>
      <c r="F33" s="35"/>
      <c r="G33" s="35"/>
      <c r="H33" s="151"/>
      <c r="I33" s="153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  <c r="CK33" s="141"/>
      <c r="CL33" s="141"/>
      <c r="CM33" s="141"/>
      <c r="CN33" s="141"/>
      <c r="CO33" s="141"/>
      <c r="CP33" s="141"/>
      <c r="CQ33" s="141"/>
      <c r="CR33" s="141"/>
      <c r="CS33" s="141"/>
      <c r="CT33" s="141"/>
      <c r="CU33" s="141"/>
      <c r="CV33" s="141"/>
      <c r="CW33" s="141"/>
      <c r="CX33" s="141"/>
      <c r="CY33" s="141"/>
      <c r="CZ33" s="141"/>
      <c r="DA33" s="141"/>
      <c r="DB33" s="141"/>
      <c r="DC33" s="141"/>
      <c r="DD33" s="141"/>
      <c r="DE33" s="141"/>
      <c r="DF33" s="141"/>
      <c r="DG33" s="141"/>
      <c r="DH33" s="141"/>
      <c r="DI33" s="141"/>
      <c r="DJ33" s="141"/>
      <c r="DK33" s="141"/>
      <c r="DL33" s="141"/>
      <c r="DM33" s="141"/>
      <c r="DN33" s="141"/>
      <c r="DO33" s="141"/>
      <c r="DP33" s="141"/>
      <c r="DQ33" s="141"/>
      <c r="DR33" s="141"/>
      <c r="DS33" s="141"/>
      <c r="DT33" s="141"/>
      <c r="DU33" s="141"/>
      <c r="DV33" s="141"/>
      <c r="DW33" s="141"/>
      <c r="DX33" s="141"/>
      <c r="DY33" s="141"/>
      <c r="DZ33" s="141"/>
      <c r="EA33" s="141"/>
      <c r="EB33" s="141"/>
      <c r="EC33" s="141"/>
      <c r="ED33" s="141"/>
      <c r="EE33" s="141"/>
      <c r="EF33" s="141"/>
      <c r="EG33" s="141"/>
      <c r="EH33" s="141"/>
      <c r="EI33" s="141"/>
      <c r="EJ33" s="141"/>
      <c r="EK33" s="141"/>
      <c r="EL33" s="141"/>
      <c r="EM33" s="141"/>
      <c r="EN33" s="141"/>
      <c r="EO33" s="141"/>
      <c r="EP33" s="141"/>
      <c r="EQ33" s="141"/>
      <c r="ER33" s="141"/>
      <c r="ES33" s="141"/>
      <c r="ET33" s="141"/>
      <c r="EU33" s="141"/>
      <c r="EV33" s="141"/>
      <c r="EW33" s="141"/>
      <c r="EX33" s="141"/>
      <c r="EY33" s="141"/>
      <c r="EZ33" s="141"/>
      <c r="FA33" s="141"/>
      <c r="FB33" s="141"/>
      <c r="FC33" s="141"/>
      <c r="FD33" s="141"/>
      <c r="FE33" s="141"/>
      <c r="FF33" s="141"/>
      <c r="FG33" s="141"/>
      <c r="FH33" s="141"/>
      <c r="FI33" s="141"/>
      <c r="FJ33" s="141"/>
      <c r="FK33" s="141"/>
      <c r="FL33" s="141"/>
      <c r="FM33" s="141"/>
      <c r="FN33" s="141"/>
      <c r="FO33" s="141"/>
      <c r="FP33" s="141"/>
      <c r="FQ33" s="141"/>
      <c r="FR33" s="141"/>
      <c r="FS33" s="141"/>
      <c r="FT33" s="141"/>
      <c r="FU33" s="141"/>
      <c r="FV33" s="141"/>
      <c r="FW33" s="141"/>
      <c r="FX33" s="141"/>
      <c r="FY33" s="141"/>
      <c r="FZ33" s="141"/>
      <c r="GA33" s="141"/>
      <c r="GB33" s="141"/>
      <c r="GC33" s="141"/>
      <c r="GD33" s="141"/>
      <c r="GE33" s="141"/>
      <c r="GF33" s="141"/>
      <c r="GG33" s="141"/>
      <c r="GH33" s="141"/>
      <c r="GI33" s="141"/>
      <c r="GJ33" s="141"/>
      <c r="GK33" s="141"/>
      <c r="GL33" s="141"/>
      <c r="GM33" s="141"/>
      <c r="GN33" s="141"/>
      <c r="GO33" s="141"/>
      <c r="GP33" s="141"/>
      <c r="GQ33" s="141"/>
      <c r="GR33" s="141"/>
      <c r="GS33" s="141"/>
      <c r="GT33" s="141"/>
      <c r="GU33" s="141"/>
      <c r="GV33" s="141"/>
      <c r="GW33" s="141"/>
      <c r="GX33" s="141"/>
      <c r="GY33" s="141"/>
      <c r="GZ33" s="141"/>
      <c r="HA33" s="141"/>
      <c r="HB33" s="141"/>
      <c r="HC33" s="141"/>
      <c r="HD33" s="141"/>
      <c r="HE33" s="141"/>
      <c r="HF33" s="141"/>
      <c r="HG33" s="141"/>
      <c r="HH33" s="141"/>
      <c r="HI33" s="141"/>
      <c r="HJ33" s="141"/>
      <c r="HK33" s="141"/>
      <c r="HL33" s="141"/>
      <c r="HM33" s="141"/>
      <c r="HN33" s="141"/>
      <c r="HO33" s="141"/>
      <c r="HP33" s="141"/>
      <c r="HQ33" s="141"/>
      <c r="HR33" s="141"/>
      <c r="HS33" s="141"/>
      <c r="HT33" s="141"/>
      <c r="HU33" s="141"/>
      <c r="HV33" s="141"/>
      <c r="HW33" s="141"/>
      <c r="HX33" s="141"/>
      <c r="HY33" s="141"/>
      <c r="HZ33" s="141"/>
      <c r="IA33" s="141"/>
      <c r="IB33" s="141"/>
      <c r="IC33" s="141"/>
      <c r="ID33" s="141"/>
      <c r="IE33" s="141"/>
      <c r="IF33" s="141"/>
      <c r="IG33" s="141"/>
      <c r="IH33" s="141"/>
      <c r="II33" s="141"/>
      <c r="IJ33" s="141"/>
      <c r="IK33" s="141"/>
      <c r="IL33" s="141"/>
      <c r="IM33" s="141"/>
      <c r="IN33" s="141"/>
      <c r="IO33" s="141"/>
      <c r="IP33" s="141"/>
      <c r="IQ33" s="141"/>
      <c r="IR33" s="141"/>
      <c r="IS33" s="141"/>
      <c r="IT33" s="141"/>
      <c r="IU33" s="141"/>
      <c r="IV33" s="141"/>
      <c r="IW33" s="141"/>
      <c r="IX33" s="141"/>
      <c r="IY33" s="141"/>
      <c r="IZ33" s="141"/>
      <c r="JA33" s="141"/>
      <c r="JB33" s="141"/>
      <c r="JC33" s="141"/>
      <c r="JD33" s="141"/>
      <c r="JE33" s="141"/>
      <c r="JF33" s="141"/>
      <c r="JG33" s="141"/>
      <c r="JH33" s="141"/>
      <c r="JI33" s="141"/>
      <c r="JJ33" s="141"/>
      <c r="JK33" s="141"/>
      <c r="JL33" s="141"/>
      <c r="JM33" s="141"/>
      <c r="JN33" s="141"/>
      <c r="JO33" s="141"/>
      <c r="JP33" s="141"/>
      <c r="JQ33" s="141"/>
      <c r="JR33" s="141"/>
      <c r="JS33" s="141"/>
      <c r="JT33" s="141"/>
      <c r="JU33" s="141"/>
      <c r="JV33" s="141"/>
      <c r="JW33" s="141"/>
      <c r="JX33" s="141"/>
      <c r="JY33" s="141"/>
      <c r="JZ33" s="141"/>
      <c r="KA33" s="141"/>
      <c r="KB33" s="141"/>
      <c r="KC33" s="141"/>
      <c r="KD33" s="141"/>
      <c r="KE33" s="141"/>
      <c r="KF33" s="141"/>
      <c r="KG33" s="141"/>
      <c r="KH33" s="141"/>
      <c r="KI33" s="141"/>
      <c r="KJ33" s="141"/>
      <c r="KK33" s="141"/>
      <c r="KL33" s="141"/>
      <c r="KM33" s="141"/>
      <c r="KN33" s="141"/>
    </row>
    <row r="34" spans="1:300" s="3" customFormat="1" ht="31.5" customHeight="1">
      <c r="A34" s="148"/>
      <c r="B34" s="8"/>
      <c r="C34" s="36"/>
      <c r="D34" s="36"/>
      <c r="E34" s="35"/>
      <c r="F34" s="35"/>
      <c r="G34" s="35"/>
      <c r="H34" s="151"/>
      <c r="I34" s="153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  <c r="CK34" s="141"/>
      <c r="CL34" s="141"/>
      <c r="CM34" s="141"/>
      <c r="CN34" s="141"/>
      <c r="CO34" s="141"/>
      <c r="CP34" s="141"/>
      <c r="CQ34" s="141"/>
      <c r="CR34" s="141"/>
      <c r="CS34" s="141"/>
      <c r="CT34" s="141"/>
      <c r="CU34" s="141"/>
      <c r="CV34" s="141"/>
      <c r="CW34" s="141"/>
      <c r="CX34" s="141"/>
      <c r="CY34" s="141"/>
      <c r="CZ34" s="141"/>
      <c r="DA34" s="141"/>
      <c r="DB34" s="141"/>
      <c r="DC34" s="141"/>
      <c r="DD34" s="141"/>
      <c r="DE34" s="141"/>
      <c r="DF34" s="141"/>
      <c r="DG34" s="141"/>
      <c r="DH34" s="141"/>
      <c r="DI34" s="141"/>
      <c r="DJ34" s="141"/>
      <c r="DK34" s="141"/>
      <c r="DL34" s="141"/>
      <c r="DM34" s="141"/>
      <c r="DN34" s="141"/>
      <c r="DO34" s="141"/>
      <c r="DP34" s="141"/>
      <c r="DQ34" s="141"/>
      <c r="DR34" s="141"/>
      <c r="DS34" s="141"/>
      <c r="DT34" s="141"/>
      <c r="DU34" s="141"/>
      <c r="DV34" s="141"/>
      <c r="DW34" s="141"/>
      <c r="DX34" s="141"/>
      <c r="DY34" s="141"/>
      <c r="DZ34" s="141"/>
      <c r="EA34" s="141"/>
      <c r="EB34" s="141"/>
      <c r="EC34" s="141"/>
      <c r="ED34" s="141"/>
      <c r="EE34" s="141"/>
      <c r="EF34" s="141"/>
      <c r="EG34" s="141"/>
      <c r="EH34" s="141"/>
      <c r="EI34" s="141"/>
      <c r="EJ34" s="141"/>
      <c r="EK34" s="141"/>
      <c r="EL34" s="141"/>
      <c r="EM34" s="141"/>
      <c r="EN34" s="141"/>
      <c r="EO34" s="141"/>
      <c r="EP34" s="141"/>
      <c r="EQ34" s="141"/>
      <c r="ER34" s="141"/>
      <c r="ES34" s="141"/>
      <c r="ET34" s="141"/>
      <c r="EU34" s="141"/>
      <c r="EV34" s="141"/>
      <c r="EW34" s="141"/>
      <c r="EX34" s="141"/>
      <c r="EY34" s="141"/>
      <c r="EZ34" s="141"/>
      <c r="FA34" s="141"/>
      <c r="FB34" s="141"/>
      <c r="FC34" s="141"/>
      <c r="FD34" s="141"/>
      <c r="FE34" s="141"/>
      <c r="FF34" s="141"/>
      <c r="FG34" s="141"/>
      <c r="FH34" s="141"/>
      <c r="FI34" s="141"/>
      <c r="FJ34" s="141"/>
      <c r="FK34" s="141"/>
      <c r="FL34" s="141"/>
      <c r="FM34" s="141"/>
      <c r="FN34" s="141"/>
      <c r="FO34" s="141"/>
      <c r="FP34" s="141"/>
      <c r="FQ34" s="141"/>
      <c r="FR34" s="141"/>
      <c r="FS34" s="141"/>
      <c r="FT34" s="141"/>
      <c r="FU34" s="141"/>
      <c r="FV34" s="141"/>
      <c r="FW34" s="141"/>
      <c r="FX34" s="141"/>
      <c r="FY34" s="141"/>
      <c r="FZ34" s="141"/>
      <c r="GA34" s="141"/>
      <c r="GB34" s="141"/>
      <c r="GC34" s="141"/>
      <c r="GD34" s="141"/>
      <c r="GE34" s="141"/>
      <c r="GF34" s="141"/>
      <c r="GG34" s="141"/>
      <c r="GH34" s="141"/>
      <c r="GI34" s="141"/>
      <c r="GJ34" s="141"/>
      <c r="GK34" s="141"/>
      <c r="GL34" s="141"/>
      <c r="GM34" s="141"/>
      <c r="GN34" s="141"/>
      <c r="GO34" s="141"/>
      <c r="GP34" s="141"/>
      <c r="GQ34" s="141"/>
      <c r="GR34" s="141"/>
      <c r="GS34" s="141"/>
      <c r="GT34" s="141"/>
      <c r="GU34" s="141"/>
      <c r="GV34" s="141"/>
      <c r="GW34" s="141"/>
      <c r="GX34" s="141"/>
      <c r="GY34" s="141"/>
      <c r="GZ34" s="141"/>
      <c r="HA34" s="141"/>
      <c r="HB34" s="141"/>
      <c r="HC34" s="141"/>
      <c r="HD34" s="141"/>
      <c r="HE34" s="141"/>
      <c r="HF34" s="141"/>
      <c r="HG34" s="141"/>
      <c r="HH34" s="141"/>
      <c r="HI34" s="141"/>
      <c r="HJ34" s="141"/>
      <c r="HK34" s="141"/>
      <c r="HL34" s="141"/>
      <c r="HM34" s="141"/>
      <c r="HN34" s="141"/>
      <c r="HO34" s="141"/>
      <c r="HP34" s="141"/>
      <c r="HQ34" s="141"/>
      <c r="HR34" s="141"/>
      <c r="HS34" s="141"/>
      <c r="HT34" s="141"/>
      <c r="HU34" s="141"/>
      <c r="HV34" s="141"/>
      <c r="HW34" s="141"/>
      <c r="HX34" s="141"/>
      <c r="HY34" s="141"/>
      <c r="HZ34" s="141"/>
      <c r="IA34" s="141"/>
      <c r="IB34" s="141"/>
      <c r="IC34" s="141"/>
      <c r="ID34" s="141"/>
      <c r="IE34" s="141"/>
      <c r="IF34" s="141"/>
      <c r="IG34" s="141"/>
      <c r="IH34" s="141"/>
      <c r="II34" s="141"/>
      <c r="IJ34" s="141"/>
      <c r="IK34" s="141"/>
      <c r="IL34" s="141"/>
      <c r="IM34" s="141"/>
      <c r="IN34" s="141"/>
      <c r="IO34" s="141"/>
      <c r="IP34" s="141"/>
      <c r="IQ34" s="141"/>
      <c r="IR34" s="141"/>
      <c r="IS34" s="141"/>
      <c r="IT34" s="141"/>
      <c r="IU34" s="141"/>
      <c r="IV34" s="141"/>
      <c r="IW34" s="141"/>
      <c r="IX34" s="141"/>
      <c r="IY34" s="141"/>
      <c r="IZ34" s="141"/>
      <c r="JA34" s="141"/>
      <c r="JB34" s="141"/>
      <c r="JC34" s="141"/>
      <c r="JD34" s="141"/>
      <c r="JE34" s="141"/>
      <c r="JF34" s="141"/>
      <c r="JG34" s="141"/>
      <c r="JH34" s="141"/>
      <c r="JI34" s="141"/>
      <c r="JJ34" s="141"/>
      <c r="JK34" s="141"/>
      <c r="JL34" s="141"/>
      <c r="JM34" s="141"/>
      <c r="JN34" s="141"/>
      <c r="JO34" s="141"/>
      <c r="JP34" s="141"/>
      <c r="JQ34" s="141"/>
      <c r="JR34" s="141"/>
      <c r="JS34" s="141"/>
      <c r="JT34" s="141"/>
      <c r="JU34" s="141"/>
      <c r="JV34" s="141"/>
      <c r="JW34" s="141"/>
      <c r="JX34" s="141"/>
      <c r="JY34" s="141"/>
      <c r="JZ34" s="141"/>
      <c r="KA34" s="141"/>
      <c r="KB34" s="141"/>
      <c r="KC34" s="141"/>
      <c r="KD34" s="141"/>
      <c r="KE34" s="141"/>
      <c r="KF34" s="141"/>
      <c r="KG34" s="141"/>
      <c r="KH34" s="141"/>
      <c r="KI34" s="141"/>
      <c r="KJ34" s="141"/>
      <c r="KK34" s="141"/>
      <c r="KL34" s="141"/>
      <c r="KM34" s="141"/>
      <c r="KN34" s="141"/>
    </row>
    <row r="35" spans="1:300" s="3" customFormat="1" ht="31.5" customHeight="1">
      <c r="A35" s="148"/>
      <c r="B35" s="8"/>
      <c r="C35" s="36"/>
      <c r="D35" s="36"/>
      <c r="E35" s="35"/>
      <c r="F35" s="35"/>
      <c r="G35" s="35"/>
      <c r="H35" s="151"/>
      <c r="I35" s="153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  <c r="CK35" s="141"/>
      <c r="CL35" s="141"/>
      <c r="CM35" s="141"/>
      <c r="CN35" s="141"/>
      <c r="CO35" s="141"/>
      <c r="CP35" s="141"/>
      <c r="CQ35" s="141"/>
      <c r="CR35" s="141"/>
      <c r="CS35" s="141"/>
      <c r="CT35" s="141"/>
      <c r="CU35" s="141"/>
      <c r="CV35" s="141"/>
      <c r="CW35" s="141"/>
      <c r="CX35" s="141"/>
      <c r="CY35" s="141"/>
      <c r="CZ35" s="141"/>
      <c r="DA35" s="141"/>
      <c r="DB35" s="141"/>
      <c r="DC35" s="141"/>
      <c r="DD35" s="141"/>
      <c r="DE35" s="141"/>
      <c r="DF35" s="141"/>
      <c r="DG35" s="141"/>
      <c r="DH35" s="141"/>
      <c r="DI35" s="141"/>
      <c r="DJ35" s="141"/>
      <c r="DK35" s="141"/>
      <c r="DL35" s="141"/>
      <c r="DM35" s="141"/>
      <c r="DN35" s="141"/>
      <c r="DO35" s="141"/>
      <c r="DP35" s="141"/>
      <c r="DQ35" s="141"/>
      <c r="DR35" s="141"/>
      <c r="DS35" s="141"/>
      <c r="DT35" s="141"/>
      <c r="DU35" s="141"/>
      <c r="DV35" s="141"/>
      <c r="DW35" s="141"/>
      <c r="DX35" s="141"/>
      <c r="DY35" s="141"/>
      <c r="DZ35" s="141"/>
      <c r="EA35" s="141"/>
      <c r="EB35" s="141"/>
      <c r="EC35" s="141"/>
      <c r="ED35" s="141"/>
      <c r="EE35" s="141"/>
      <c r="EF35" s="141"/>
      <c r="EG35" s="141"/>
      <c r="EH35" s="141"/>
      <c r="EI35" s="141"/>
      <c r="EJ35" s="141"/>
      <c r="EK35" s="141"/>
      <c r="EL35" s="141"/>
      <c r="EM35" s="141"/>
      <c r="EN35" s="141"/>
      <c r="EO35" s="141"/>
      <c r="EP35" s="141"/>
      <c r="EQ35" s="141"/>
      <c r="ER35" s="141"/>
      <c r="ES35" s="141"/>
      <c r="ET35" s="141"/>
      <c r="EU35" s="141"/>
      <c r="EV35" s="141"/>
      <c r="EW35" s="141"/>
      <c r="EX35" s="141"/>
      <c r="EY35" s="141"/>
      <c r="EZ35" s="141"/>
      <c r="FA35" s="141"/>
      <c r="FB35" s="141"/>
      <c r="FC35" s="141"/>
      <c r="FD35" s="141"/>
      <c r="FE35" s="141"/>
      <c r="FF35" s="141"/>
      <c r="FG35" s="141"/>
      <c r="FH35" s="141"/>
      <c r="FI35" s="141"/>
      <c r="FJ35" s="141"/>
      <c r="FK35" s="141"/>
      <c r="FL35" s="141"/>
      <c r="FM35" s="141"/>
      <c r="FN35" s="141"/>
      <c r="FO35" s="141"/>
      <c r="FP35" s="141"/>
      <c r="FQ35" s="141"/>
      <c r="FR35" s="141"/>
      <c r="FS35" s="141"/>
      <c r="FT35" s="141"/>
      <c r="FU35" s="141"/>
      <c r="FV35" s="141"/>
      <c r="FW35" s="141"/>
      <c r="FX35" s="141"/>
      <c r="FY35" s="141"/>
      <c r="FZ35" s="141"/>
      <c r="GA35" s="141"/>
      <c r="GB35" s="141"/>
      <c r="GC35" s="141"/>
      <c r="GD35" s="141"/>
      <c r="GE35" s="141"/>
      <c r="GF35" s="141"/>
      <c r="GG35" s="141"/>
      <c r="GH35" s="141"/>
      <c r="GI35" s="141"/>
      <c r="GJ35" s="141"/>
      <c r="GK35" s="141"/>
      <c r="GL35" s="141"/>
      <c r="GM35" s="141"/>
      <c r="GN35" s="141"/>
      <c r="GO35" s="141"/>
      <c r="GP35" s="141"/>
      <c r="GQ35" s="141"/>
      <c r="GR35" s="141"/>
      <c r="GS35" s="141"/>
      <c r="GT35" s="141"/>
      <c r="GU35" s="141"/>
      <c r="GV35" s="141"/>
      <c r="GW35" s="141"/>
      <c r="GX35" s="141"/>
      <c r="GY35" s="141"/>
      <c r="GZ35" s="141"/>
      <c r="HA35" s="141"/>
      <c r="HB35" s="141"/>
      <c r="HC35" s="141"/>
      <c r="HD35" s="141"/>
      <c r="HE35" s="141"/>
      <c r="HF35" s="141"/>
      <c r="HG35" s="141"/>
      <c r="HH35" s="141"/>
      <c r="HI35" s="141"/>
      <c r="HJ35" s="141"/>
      <c r="HK35" s="141"/>
      <c r="HL35" s="141"/>
      <c r="HM35" s="141"/>
      <c r="HN35" s="141"/>
      <c r="HO35" s="141"/>
      <c r="HP35" s="141"/>
      <c r="HQ35" s="141"/>
      <c r="HR35" s="141"/>
      <c r="HS35" s="141"/>
      <c r="HT35" s="141"/>
      <c r="HU35" s="141"/>
      <c r="HV35" s="141"/>
      <c r="HW35" s="141"/>
      <c r="HX35" s="141"/>
      <c r="HY35" s="141"/>
      <c r="HZ35" s="141"/>
      <c r="IA35" s="141"/>
      <c r="IB35" s="141"/>
      <c r="IC35" s="141"/>
      <c r="ID35" s="141"/>
      <c r="IE35" s="141"/>
      <c r="IF35" s="141"/>
      <c r="IG35" s="141"/>
      <c r="IH35" s="141"/>
      <c r="II35" s="141"/>
      <c r="IJ35" s="141"/>
      <c r="IK35" s="141"/>
      <c r="IL35" s="141"/>
      <c r="IM35" s="141"/>
      <c r="IN35" s="141"/>
      <c r="IO35" s="141"/>
      <c r="IP35" s="141"/>
      <c r="IQ35" s="141"/>
      <c r="IR35" s="141"/>
      <c r="IS35" s="141"/>
      <c r="IT35" s="141"/>
      <c r="IU35" s="141"/>
      <c r="IV35" s="141"/>
      <c r="IW35" s="141"/>
      <c r="IX35" s="141"/>
      <c r="IY35" s="141"/>
      <c r="IZ35" s="141"/>
      <c r="JA35" s="141"/>
      <c r="JB35" s="141"/>
      <c r="JC35" s="141"/>
      <c r="JD35" s="141"/>
      <c r="JE35" s="141"/>
      <c r="JF35" s="141"/>
      <c r="JG35" s="141"/>
      <c r="JH35" s="141"/>
      <c r="JI35" s="141"/>
      <c r="JJ35" s="141"/>
      <c r="JK35" s="141"/>
      <c r="JL35" s="141"/>
      <c r="JM35" s="141"/>
      <c r="JN35" s="141"/>
      <c r="JO35" s="141"/>
      <c r="JP35" s="141"/>
      <c r="JQ35" s="141"/>
      <c r="JR35" s="141"/>
      <c r="JS35" s="141"/>
      <c r="JT35" s="141"/>
      <c r="JU35" s="141"/>
      <c r="JV35" s="141"/>
      <c r="JW35" s="141"/>
      <c r="JX35" s="141"/>
      <c r="JY35" s="141"/>
      <c r="JZ35" s="141"/>
      <c r="KA35" s="141"/>
      <c r="KB35" s="141"/>
      <c r="KC35" s="141"/>
      <c r="KD35" s="141"/>
      <c r="KE35" s="141"/>
      <c r="KF35" s="141"/>
      <c r="KG35" s="141"/>
      <c r="KH35" s="141"/>
      <c r="KI35" s="141"/>
      <c r="KJ35" s="141"/>
      <c r="KK35" s="141"/>
      <c r="KL35" s="141"/>
      <c r="KM35" s="141"/>
      <c r="KN35" s="141"/>
    </row>
    <row r="36" spans="1:300" s="3" customFormat="1" ht="31.5" customHeight="1">
      <c r="A36" s="148"/>
      <c r="B36" s="8"/>
      <c r="C36" s="36"/>
      <c r="D36" s="36"/>
      <c r="E36" s="35"/>
      <c r="F36" s="35"/>
      <c r="G36" s="35"/>
      <c r="H36" s="151"/>
      <c r="I36" s="153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  <c r="CK36" s="141"/>
      <c r="CL36" s="141"/>
      <c r="CM36" s="141"/>
      <c r="CN36" s="141"/>
      <c r="CO36" s="141"/>
      <c r="CP36" s="141"/>
      <c r="CQ36" s="141"/>
      <c r="CR36" s="141"/>
      <c r="CS36" s="141"/>
      <c r="CT36" s="141"/>
      <c r="CU36" s="141"/>
      <c r="CV36" s="141"/>
      <c r="CW36" s="141"/>
      <c r="CX36" s="141"/>
      <c r="CY36" s="141"/>
      <c r="CZ36" s="141"/>
      <c r="DA36" s="141"/>
      <c r="DB36" s="141"/>
      <c r="DC36" s="141"/>
      <c r="DD36" s="141"/>
      <c r="DE36" s="141"/>
      <c r="DF36" s="141"/>
      <c r="DG36" s="141"/>
      <c r="DH36" s="141"/>
      <c r="DI36" s="141"/>
      <c r="DJ36" s="141"/>
      <c r="DK36" s="141"/>
      <c r="DL36" s="141"/>
      <c r="DM36" s="141"/>
      <c r="DN36" s="141"/>
      <c r="DO36" s="141"/>
      <c r="DP36" s="141"/>
      <c r="DQ36" s="141"/>
      <c r="DR36" s="141"/>
      <c r="DS36" s="141"/>
      <c r="DT36" s="141"/>
      <c r="DU36" s="141"/>
      <c r="DV36" s="141"/>
      <c r="DW36" s="141"/>
      <c r="DX36" s="141"/>
      <c r="DY36" s="141"/>
      <c r="DZ36" s="141"/>
      <c r="EA36" s="141"/>
      <c r="EB36" s="141"/>
      <c r="EC36" s="141"/>
      <c r="ED36" s="141"/>
      <c r="EE36" s="141"/>
      <c r="EF36" s="141"/>
      <c r="EG36" s="141"/>
      <c r="EH36" s="141"/>
      <c r="EI36" s="141"/>
      <c r="EJ36" s="141"/>
      <c r="EK36" s="141"/>
      <c r="EL36" s="141"/>
      <c r="EM36" s="141"/>
      <c r="EN36" s="141"/>
      <c r="EO36" s="141"/>
      <c r="EP36" s="141"/>
      <c r="EQ36" s="141"/>
      <c r="ER36" s="141"/>
      <c r="ES36" s="141"/>
      <c r="ET36" s="141"/>
      <c r="EU36" s="141"/>
      <c r="EV36" s="141"/>
      <c r="EW36" s="141"/>
      <c r="EX36" s="141"/>
      <c r="EY36" s="141"/>
      <c r="EZ36" s="141"/>
      <c r="FA36" s="141"/>
      <c r="FB36" s="141"/>
      <c r="FC36" s="141"/>
      <c r="FD36" s="141"/>
      <c r="FE36" s="141"/>
      <c r="FF36" s="141"/>
      <c r="FG36" s="141"/>
      <c r="FH36" s="141"/>
      <c r="FI36" s="141"/>
      <c r="FJ36" s="141"/>
      <c r="FK36" s="141"/>
      <c r="FL36" s="141"/>
      <c r="FM36" s="141"/>
      <c r="FN36" s="141"/>
      <c r="FO36" s="141"/>
      <c r="FP36" s="141"/>
      <c r="FQ36" s="141"/>
      <c r="FR36" s="141"/>
      <c r="FS36" s="141"/>
      <c r="FT36" s="141"/>
      <c r="FU36" s="141"/>
      <c r="FV36" s="141"/>
      <c r="FW36" s="141"/>
      <c r="FX36" s="141"/>
      <c r="FY36" s="141"/>
      <c r="FZ36" s="141"/>
      <c r="GA36" s="141"/>
      <c r="GB36" s="141"/>
      <c r="GC36" s="141"/>
      <c r="GD36" s="141"/>
      <c r="GE36" s="141"/>
      <c r="GF36" s="141"/>
      <c r="GG36" s="141"/>
      <c r="GH36" s="141"/>
      <c r="GI36" s="141"/>
      <c r="GJ36" s="141"/>
      <c r="GK36" s="141"/>
      <c r="GL36" s="141"/>
      <c r="GM36" s="141"/>
      <c r="GN36" s="141"/>
      <c r="GO36" s="141"/>
      <c r="GP36" s="141"/>
      <c r="GQ36" s="141"/>
      <c r="GR36" s="141"/>
      <c r="GS36" s="141"/>
      <c r="GT36" s="141"/>
      <c r="GU36" s="141"/>
      <c r="GV36" s="141"/>
      <c r="GW36" s="141"/>
      <c r="GX36" s="141"/>
      <c r="GY36" s="141"/>
      <c r="GZ36" s="141"/>
      <c r="HA36" s="141"/>
      <c r="HB36" s="141"/>
      <c r="HC36" s="141"/>
      <c r="HD36" s="141"/>
      <c r="HE36" s="141"/>
      <c r="HF36" s="141"/>
      <c r="HG36" s="141"/>
      <c r="HH36" s="141"/>
      <c r="HI36" s="141"/>
      <c r="HJ36" s="141"/>
      <c r="HK36" s="141"/>
      <c r="HL36" s="141"/>
      <c r="HM36" s="141"/>
      <c r="HN36" s="141"/>
      <c r="HO36" s="141"/>
      <c r="HP36" s="141"/>
      <c r="HQ36" s="141"/>
      <c r="HR36" s="141"/>
      <c r="HS36" s="141"/>
      <c r="HT36" s="141"/>
      <c r="HU36" s="141"/>
      <c r="HV36" s="141"/>
      <c r="HW36" s="141"/>
      <c r="HX36" s="141"/>
      <c r="HY36" s="141"/>
      <c r="HZ36" s="141"/>
      <c r="IA36" s="141"/>
      <c r="IB36" s="141"/>
      <c r="IC36" s="141"/>
      <c r="ID36" s="141"/>
      <c r="IE36" s="141"/>
      <c r="IF36" s="141"/>
      <c r="IG36" s="141"/>
      <c r="IH36" s="141"/>
      <c r="II36" s="141"/>
      <c r="IJ36" s="141"/>
      <c r="IK36" s="141"/>
      <c r="IL36" s="141"/>
      <c r="IM36" s="141"/>
      <c r="IN36" s="141"/>
      <c r="IO36" s="141"/>
      <c r="IP36" s="141"/>
      <c r="IQ36" s="141"/>
      <c r="IR36" s="141"/>
      <c r="IS36" s="141"/>
      <c r="IT36" s="141"/>
      <c r="IU36" s="141"/>
      <c r="IV36" s="141"/>
      <c r="IW36" s="141"/>
      <c r="IX36" s="141"/>
      <c r="IY36" s="141"/>
      <c r="IZ36" s="141"/>
      <c r="JA36" s="141"/>
      <c r="JB36" s="141"/>
      <c r="JC36" s="141"/>
      <c r="JD36" s="141"/>
      <c r="JE36" s="141"/>
      <c r="JF36" s="141"/>
      <c r="JG36" s="141"/>
      <c r="JH36" s="141"/>
      <c r="JI36" s="141"/>
      <c r="JJ36" s="141"/>
      <c r="JK36" s="141"/>
      <c r="JL36" s="141"/>
      <c r="JM36" s="141"/>
      <c r="JN36" s="141"/>
      <c r="JO36" s="141"/>
      <c r="JP36" s="141"/>
      <c r="JQ36" s="141"/>
      <c r="JR36" s="141"/>
      <c r="JS36" s="141"/>
      <c r="JT36" s="141"/>
      <c r="JU36" s="141"/>
      <c r="JV36" s="141"/>
      <c r="JW36" s="141"/>
      <c r="JX36" s="141"/>
      <c r="JY36" s="141"/>
      <c r="JZ36" s="141"/>
      <c r="KA36" s="141"/>
      <c r="KB36" s="141"/>
      <c r="KC36" s="141"/>
      <c r="KD36" s="141"/>
      <c r="KE36" s="141"/>
      <c r="KF36" s="141"/>
      <c r="KG36" s="141"/>
      <c r="KH36" s="141"/>
      <c r="KI36" s="141"/>
      <c r="KJ36" s="141"/>
      <c r="KK36" s="141"/>
      <c r="KL36" s="141"/>
      <c r="KM36" s="141"/>
      <c r="KN36" s="141"/>
    </row>
    <row r="37" spans="1:300" s="3" customFormat="1" ht="31.5" customHeight="1">
      <c r="A37" s="148"/>
      <c r="B37" s="8"/>
      <c r="C37" s="36"/>
      <c r="D37" s="36"/>
      <c r="E37" s="35"/>
      <c r="F37" s="35"/>
      <c r="G37" s="35"/>
      <c r="H37" s="151"/>
      <c r="I37" s="153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  <c r="CK37" s="141"/>
      <c r="CL37" s="141"/>
      <c r="CM37" s="141"/>
      <c r="CN37" s="141"/>
      <c r="CO37" s="141"/>
      <c r="CP37" s="141"/>
      <c r="CQ37" s="141"/>
      <c r="CR37" s="141"/>
      <c r="CS37" s="141"/>
      <c r="CT37" s="141"/>
      <c r="CU37" s="141"/>
      <c r="CV37" s="141"/>
      <c r="CW37" s="141"/>
      <c r="CX37" s="141"/>
      <c r="CY37" s="141"/>
      <c r="CZ37" s="141"/>
      <c r="DA37" s="141"/>
      <c r="DB37" s="141"/>
      <c r="DC37" s="141"/>
      <c r="DD37" s="141"/>
      <c r="DE37" s="141"/>
      <c r="DF37" s="141"/>
      <c r="DG37" s="141"/>
      <c r="DH37" s="141"/>
      <c r="DI37" s="141"/>
      <c r="DJ37" s="141"/>
      <c r="DK37" s="141"/>
      <c r="DL37" s="141"/>
      <c r="DM37" s="141"/>
      <c r="DN37" s="141"/>
      <c r="DO37" s="141"/>
      <c r="DP37" s="141"/>
      <c r="DQ37" s="141"/>
      <c r="DR37" s="141"/>
      <c r="DS37" s="141"/>
      <c r="DT37" s="141"/>
      <c r="DU37" s="141"/>
      <c r="DV37" s="141"/>
      <c r="DW37" s="141"/>
      <c r="DX37" s="141"/>
      <c r="DY37" s="141"/>
      <c r="DZ37" s="141"/>
      <c r="EA37" s="141"/>
      <c r="EB37" s="141"/>
      <c r="EC37" s="141"/>
      <c r="ED37" s="141"/>
      <c r="EE37" s="141"/>
      <c r="EF37" s="141"/>
      <c r="EG37" s="141"/>
      <c r="EH37" s="141"/>
      <c r="EI37" s="141"/>
      <c r="EJ37" s="141"/>
      <c r="EK37" s="141"/>
      <c r="EL37" s="141"/>
      <c r="EM37" s="141"/>
      <c r="EN37" s="141"/>
      <c r="EO37" s="141"/>
      <c r="EP37" s="141"/>
      <c r="EQ37" s="141"/>
      <c r="ER37" s="141"/>
      <c r="ES37" s="141"/>
      <c r="ET37" s="141"/>
      <c r="EU37" s="141"/>
      <c r="EV37" s="141"/>
      <c r="EW37" s="141"/>
      <c r="EX37" s="141"/>
      <c r="EY37" s="141"/>
      <c r="EZ37" s="141"/>
      <c r="FA37" s="141"/>
      <c r="FB37" s="141"/>
      <c r="FC37" s="141"/>
      <c r="FD37" s="141"/>
      <c r="FE37" s="141"/>
      <c r="FF37" s="141"/>
      <c r="FG37" s="141"/>
      <c r="FH37" s="141"/>
      <c r="FI37" s="141"/>
      <c r="FJ37" s="141"/>
      <c r="FK37" s="141"/>
      <c r="FL37" s="141"/>
      <c r="FM37" s="141"/>
      <c r="FN37" s="141"/>
      <c r="FO37" s="141"/>
      <c r="FP37" s="141"/>
      <c r="FQ37" s="141"/>
      <c r="FR37" s="141"/>
      <c r="FS37" s="141"/>
      <c r="FT37" s="141"/>
      <c r="FU37" s="141"/>
      <c r="FV37" s="141"/>
      <c r="FW37" s="141"/>
      <c r="FX37" s="141"/>
      <c r="FY37" s="141"/>
      <c r="FZ37" s="141"/>
      <c r="GA37" s="141"/>
      <c r="GB37" s="141"/>
      <c r="GC37" s="141"/>
      <c r="GD37" s="141"/>
      <c r="GE37" s="141"/>
      <c r="GF37" s="141"/>
      <c r="GG37" s="141"/>
      <c r="GH37" s="141"/>
      <c r="GI37" s="141"/>
      <c r="GJ37" s="141"/>
      <c r="GK37" s="141"/>
      <c r="GL37" s="141"/>
      <c r="GM37" s="141"/>
      <c r="GN37" s="141"/>
      <c r="GO37" s="141"/>
      <c r="GP37" s="141"/>
      <c r="GQ37" s="141"/>
      <c r="GR37" s="141"/>
      <c r="GS37" s="141"/>
      <c r="GT37" s="141"/>
      <c r="GU37" s="141"/>
      <c r="GV37" s="141"/>
      <c r="GW37" s="141"/>
      <c r="GX37" s="141"/>
      <c r="GY37" s="141"/>
      <c r="GZ37" s="141"/>
      <c r="HA37" s="141"/>
      <c r="HB37" s="141"/>
      <c r="HC37" s="141"/>
      <c r="HD37" s="141"/>
      <c r="HE37" s="141"/>
      <c r="HF37" s="141"/>
      <c r="HG37" s="141"/>
      <c r="HH37" s="141"/>
      <c r="HI37" s="141"/>
      <c r="HJ37" s="141"/>
      <c r="HK37" s="141"/>
      <c r="HL37" s="141"/>
      <c r="HM37" s="141"/>
      <c r="HN37" s="141"/>
      <c r="HO37" s="141"/>
      <c r="HP37" s="141"/>
      <c r="HQ37" s="141"/>
      <c r="HR37" s="141"/>
      <c r="HS37" s="141"/>
      <c r="HT37" s="141"/>
      <c r="HU37" s="141"/>
      <c r="HV37" s="141"/>
      <c r="HW37" s="141"/>
      <c r="HX37" s="141"/>
      <c r="HY37" s="141"/>
      <c r="HZ37" s="141"/>
      <c r="IA37" s="141"/>
      <c r="IB37" s="141"/>
      <c r="IC37" s="141"/>
      <c r="ID37" s="141"/>
      <c r="IE37" s="141"/>
      <c r="IF37" s="141"/>
      <c r="IG37" s="141"/>
      <c r="IH37" s="141"/>
      <c r="II37" s="141"/>
      <c r="IJ37" s="141"/>
      <c r="IK37" s="141"/>
      <c r="IL37" s="141"/>
      <c r="IM37" s="141"/>
      <c r="IN37" s="141"/>
      <c r="IO37" s="141"/>
      <c r="IP37" s="141"/>
      <c r="IQ37" s="141"/>
      <c r="IR37" s="141"/>
      <c r="IS37" s="141"/>
      <c r="IT37" s="141"/>
      <c r="IU37" s="141"/>
      <c r="IV37" s="141"/>
      <c r="IW37" s="141"/>
      <c r="IX37" s="141"/>
      <c r="IY37" s="141"/>
      <c r="IZ37" s="141"/>
      <c r="JA37" s="141"/>
      <c r="JB37" s="141"/>
      <c r="JC37" s="141"/>
      <c r="JD37" s="141"/>
      <c r="JE37" s="141"/>
      <c r="JF37" s="141"/>
      <c r="JG37" s="141"/>
      <c r="JH37" s="141"/>
      <c r="JI37" s="141"/>
      <c r="JJ37" s="141"/>
      <c r="JK37" s="141"/>
      <c r="JL37" s="141"/>
      <c r="JM37" s="141"/>
      <c r="JN37" s="141"/>
      <c r="JO37" s="141"/>
      <c r="JP37" s="141"/>
      <c r="JQ37" s="141"/>
      <c r="JR37" s="141"/>
      <c r="JS37" s="141"/>
      <c r="JT37" s="141"/>
      <c r="JU37" s="141"/>
      <c r="JV37" s="141"/>
      <c r="JW37" s="141"/>
      <c r="JX37" s="141"/>
      <c r="JY37" s="141"/>
      <c r="JZ37" s="141"/>
      <c r="KA37" s="141"/>
      <c r="KB37" s="141"/>
      <c r="KC37" s="141"/>
      <c r="KD37" s="141"/>
      <c r="KE37" s="141"/>
      <c r="KF37" s="141"/>
      <c r="KG37" s="141"/>
      <c r="KH37" s="141"/>
      <c r="KI37" s="141"/>
      <c r="KJ37" s="141"/>
      <c r="KK37" s="141"/>
      <c r="KL37" s="141"/>
      <c r="KM37" s="141"/>
      <c r="KN37" s="141"/>
    </row>
    <row r="38" spans="1:300" s="3" customFormat="1" ht="31.5" customHeight="1">
      <c r="A38" s="148"/>
      <c r="B38" s="8"/>
      <c r="C38" s="36"/>
      <c r="D38" s="36"/>
      <c r="E38" s="35"/>
      <c r="F38" s="35"/>
      <c r="G38" s="35"/>
      <c r="H38" s="151"/>
      <c r="I38" s="153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  <c r="CK38" s="141"/>
      <c r="CL38" s="141"/>
      <c r="CM38" s="141"/>
      <c r="CN38" s="141"/>
      <c r="CO38" s="141"/>
      <c r="CP38" s="141"/>
      <c r="CQ38" s="141"/>
      <c r="CR38" s="141"/>
      <c r="CS38" s="141"/>
      <c r="CT38" s="141"/>
      <c r="CU38" s="141"/>
      <c r="CV38" s="141"/>
      <c r="CW38" s="141"/>
      <c r="CX38" s="141"/>
      <c r="CY38" s="141"/>
      <c r="CZ38" s="141"/>
      <c r="DA38" s="141"/>
      <c r="DB38" s="141"/>
      <c r="DC38" s="141"/>
      <c r="DD38" s="141"/>
      <c r="DE38" s="141"/>
      <c r="DF38" s="141"/>
      <c r="DG38" s="141"/>
      <c r="DH38" s="141"/>
      <c r="DI38" s="141"/>
      <c r="DJ38" s="141"/>
      <c r="DK38" s="141"/>
      <c r="DL38" s="141"/>
      <c r="DM38" s="141"/>
      <c r="DN38" s="141"/>
      <c r="DO38" s="141"/>
      <c r="DP38" s="141"/>
      <c r="DQ38" s="141"/>
      <c r="DR38" s="141"/>
      <c r="DS38" s="141"/>
      <c r="DT38" s="141"/>
      <c r="DU38" s="141"/>
      <c r="DV38" s="141"/>
      <c r="DW38" s="141"/>
      <c r="DX38" s="141"/>
      <c r="DY38" s="141"/>
      <c r="DZ38" s="141"/>
      <c r="EA38" s="141"/>
      <c r="EB38" s="141"/>
      <c r="EC38" s="141"/>
      <c r="ED38" s="141"/>
      <c r="EE38" s="141"/>
      <c r="EF38" s="141"/>
      <c r="EG38" s="141"/>
      <c r="EH38" s="141"/>
      <c r="EI38" s="141"/>
      <c r="EJ38" s="141"/>
      <c r="EK38" s="141"/>
      <c r="EL38" s="141"/>
      <c r="EM38" s="141"/>
      <c r="EN38" s="141"/>
      <c r="EO38" s="141"/>
      <c r="EP38" s="141"/>
      <c r="EQ38" s="141"/>
      <c r="ER38" s="141"/>
      <c r="ES38" s="141"/>
      <c r="ET38" s="141"/>
      <c r="EU38" s="141"/>
      <c r="EV38" s="141"/>
      <c r="EW38" s="141"/>
      <c r="EX38" s="141"/>
      <c r="EY38" s="141"/>
      <c r="EZ38" s="141"/>
      <c r="FA38" s="141"/>
      <c r="FB38" s="141"/>
      <c r="FC38" s="141"/>
      <c r="FD38" s="141"/>
      <c r="FE38" s="141"/>
      <c r="FF38" s="141"/>
      <c r="FG38" s="141"/>
      <c r="FH38" s="141"/>
      <c r="FI38" s="141"/>
      <c r="FJ38" s="141"/>
      <c r="FK38" s="141"/>
      <c r="FL38" s="141"/>
      <c r="FM38" s="141"/>
      <c r="FN38" s="141"/>
      <c r="FO38" s="141"/>
      <c r="FP38" s="141"/>
      <c r="FQ38" s="141"/>
      <c r="FR38" s="141"/>
      <c r="FS38" s="141"/>
      <c r="FT38" s="141"/>
      <c r="FU38" s="141"/>
      <c r="FV38" s="141"/>
      <c r="FW38" s="141"/>
      <c r="FX38" s="141"/>
      <c r="FY38" s="141"/>
      <c r="FZ38" s="141"/>
      <c r="GA38" s="141"/>
      <c r="GB38" s="141"/>
      <c r="GC38" s="141"/>
      <c r="GD38" s="141"/>
      <c r="GE38" s="141"/>
      <c r="GF38" s="141"/>
      <c r="GG38" s="141"/>
      <c r="GH38" s="141"/>
      <c r="GI38" s="141"/>
      <c r="GJ38" s="141"/>
      <c r="GK38" s="141"/>
      <c r="GL38" s="141"/>
      <c r="GM38" s="141"/>
      <c r="GN38" s="141"/>
      <c r="GO38" s="141"/>
      <c r="GP38" s="141"/>
      <c r="GQ38" s="141"/>
      <c r="GR38" s="141"/>
      <c r="GS38" s="141"/>
      <c r="GT38" s="141"/>
      <c r="GU38" s="141"/>
      <c r="GV38" s="141"/>
      <c r="GW38" s="141"/>
      <c r="GX38" s="141"/>
      <c r="GY38" s="141"/>
      <c r="GZ38" s="141"/>
      <c r="HA38" s="141"/>
      <c r="HB38" s="141"/>
      <c r="HC38" s="141"/>
      <c r="HD38" s="141"/>
      <c r="HE38" s="141"/>
      <c r="HF38" s="141"/>
      <c r="HG38" s="141"/>
      <c r="HH38" s="141"/>
      <c r="HI38" s="141"/>
      <c r="HJ38" s="141"/>
      <c r="HK38" s="141"/>
      <c r="HL38" s="141"/>
      <c r="HM38" s="141"/>
      <c r="HN38" s="141"/>
      <c r="HO38" s="141"/>
      <c r="HP38" s="141"/>
      <c r="HQ38" s="141"/>
      <c r="HR38" s="141"/>
      <c r="HS38" s="141"/>
      <c r="HT38" s="141"/>
      <c r="HU38" s="141"/>
      <c r="HV38" s="141"/>
      <c r="HW38" s="141"/>
      <c r="HX38" s="141"/>
      <c r="HY38" s="141"/>
      <c r="HZ38" s="141"/>
      <c r="IA38" s="141"/>
      <c r="IB38" s="141"/>
      <c r="IC38" s="141"/>
      <c r="ID38" s="141"/>
      <c r="IE38" s="141"/>
      <c r="IF38" s="141"/>
      <c r="IG38" s="141"/>
      <c r="IH38" s="141"/>
      <c r="II38" s="141"/>
      <c r="IJ38" s="141"/>
      <c r="IK38" s="141"/>
      <c r="IL38" s="141"/>
      <c r="IM38" s="141"/>
      <c r="IN38" s="141"/>
      <c r="IO38" s="141"/>
      <c r="IP38" s="141"/>
      <c r="IQ38" s="141"/>
      <c r="IR38" s="141"/>
      <c r="IS38" s="141"/>
      <c r="IT38" s="141"/>
      <c r="IU38" s="141"/>
      <c r="IV38" s="141"/>
      <c r="IW38" s="141"/>
      <c r="IX38" s="141"/>
      <c r="IY38" s="141"/>
      <c r="IZ38" s="141"/>
      <c r="JA38" s="141"/>
      <c r="JB38" s="141"/>
      <c r="JC38" s="141"/>
      <c r="JD38" s="141"/>
      <c r="JE38" s="141"/>
      <c r="JF38" s="141"/>
      <c r="JG38" s="141"/>
      <c r="JH38" s="141"/>
      <c r="JI38" s="141"/>
      <c r="JJ38" s="141"/>
      <c r="JK38" s="141"/>
      <c r="JL38" s="141"/>
      <c r="JM38" s="141"/>
      <c r="JN38" s="141"/>
      <c r="JO38" s="141"/>
      <c r="JP38" s="141"/>
      <c r="JQ38" s="141"/>
      <c r="JR38" s="141"/>
      <c r="JS38" s="141"/>
      <c r="JT38" s="141"/>
      <c r="JU38" s="141"/>
      <c r="JV38" s="141"/>
      <c r="JW38" s="141"/>
      <c r="JX38" s="141"/>
      <c r="JY38" s="141"/>
      <c r="JZ38" s="141"/>
      <c r="KA38" s="141"/>
      <c r="KB38" s="141"/>
      <c r="KC38" s="141"/>
      <c r="KD38" s="141"/>
      <c r="KE38" s="141"/>
      <c r="KF38" s="141"/>
      <c r="KG38" s="141"/>
      <c r="KH38" s="141"/>
      <c r="KI38" s="141"/>
      <c r="KJ38" s="141"/>
      <c r="KK38" s="141"/>
      <c r="KL38" s="141"/>
      <c r="KM38" s="141"/>
      <c r="KN38" s="141"/>
    </row>
    <row r="39" spans="1:300" s="3" customFormat="1" ht="31.5" customHeight="1">
      <c r="A39" s="148"/>
      <c r="B39" s="8"/>
      <c r="C39" s="36"/>
      <c r="D39" s="36"/>
      <c r="E39" s="35"/>
      <c r="F39" s="35"/>
      <c r="G39" s="35"/>
      <c r="H39" s="151"/>
      <c r="I39" s="153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  <c r="CK39" s="141"/>
      <c r="CL39" s="141"/>
      <c r="CM39" s="141"/>
      <c r="CN39" s="141"/>
      <c r="CO39" s="141"/>
      <c r="CP39" s="141"/>
      <c r="CQ39" s="141"/>
      <c r="CR39" s="141"/>
      <c r="CS39" s="141"/>
      <c r="CT39" s="141"/>
      <c r="CU39" s="141"/>
      <c r="CV39" s="141"/>
      <c r="CW39" s="141"/>
      <c r="CX39" s="141"/>
      <c r="CY39" s="141"/>
      <c r="CZ39" s="141"/>
      <c r="DA39" s="141"/>
      <c r="DB39" s="141"/>
      <c r="DC39" s="141"/>
      <c r="DD39" s="141"/>
      <c r="DE39" s="141"/>
      <c r="DF39" s="141"/>
      <c r="DG39" s="141"/>
      <c r="DH39" s="141"/>
      <c r="DI39" s="141"/>
      <c r="DJ39" s="141"/>
      <c r="DK39" s="141"/>
      <c r="DL39" s="141"/>
      <c r="DM39" s="141"/>
      <c r="DN39" s="141"/>
      <c r="DO39" s="141"/>
      <c r="DP39" s="141"/>
      <c r="DQ39" s="141"/>
      <c r="DR39" s="141"/>
      <c r="DS39" s="141"/>
      <c r="DT39" s="141"/>
      <c r="DU39" s="141"/>
      <c r="DV39" s="141"/>
      <c r="DW39" s="141"/>
      <c r="DX39" s="141"/>
      <c r="DY39" s="141"/>
      <c r="DZ39" s="141"/>
      <c r="EA39" s="141"/>
      <c r="EB39" s="141"/>
      <c r="EC39" s="141"/>
      <c r="ED39" s="141"/>
      <c r="EE39" s="141"/>
      <c r="EF39" s="141"/>
      <c r="EG39" s="141"/>
      <c r="EH39" s="141"/>
      <c r="EI39" s="141"/>
      <c r="EJ39" s="141"/>
      <c r="EK39" s="141"/>
      <c r="EL39" s="141"/>
      <c r="EM39" s="141"/>
      <c r="EN39" s="141"/>
      <c r="EO39" s="141"/>
      <c r="EP39" s="141"/>
      <c r="EQ39" s="141"/>
      <c r="ER39" s="141"/>
      <c r="ES39" s="141"/>
      <c r="ET39" s="141"/>
      <c r="EU39" s="141"/>
      <c r="EV39" s="141"/>
      <c r="EW39" s="141"/>
      <c r="EX39" s="141"/>
      <c r="EY39" s="141"/>
      <c r="EZ39" s="141"/>
      <c r="FA39" s="141"/>
      <c r="FB39" s="141"/>
      <c r="FC39" s="141"/>
      <c r="FD39" s="141"/>
      <c r="FE39" s="141"/>
      <c r="FF39" s="141"/>
      <c r="FG39" s="141"/>
      <c r="FH39" s="141"/>
      <c r="FI39" s="141"/>
      <c r="FJ39" s="141"/>
      <c r="FK39" s="141"/>
      <c r="FL39" s="141"/>
      <c r="FM39" s="141"/>
      <c r="FN39" s="141"/>
      <c r="FO39" s="141"/>
      <c r="FP39" s="141"/>
      <c r="FQ39" s="141"/>
      <c r="FR39" s="141"/>
      <c r="FS39" s="141"/>
      <c r="FT39" s="141"/>
      <c r="FU39" s="141"/>
      <c r="FV39" s="141"/>
      <c r="FW39" s="141"/>
      <c r="FX39" s="141"/>
      <c r="FY39" s="141"/>
      <c r="FZ39" s="141"/>
      <c r="GA39" s="141"/>
      <c r="GB39" s="141"/>
      <c r="GC39" s="141"/>
      <c r="GD39" s="141"/>
      <c r="GE39" s="141"/>
      <c r="GF39" s="141"/>
      <c r="GG39" s="141"/>
      <c r="GH39" s="141"/>
      <c r="GI39" s="141"/>
      <c r="GJ39" s="141"/>
      <c r="GK39" s="141"/>
      <c r="GL39" s="141"/>
      <c r="GM39" s="141"/>
      <c r="GN39" s="141"/>
      <c r="GO39" s="141"/>
      <c r="GP39" s="141"/>
      <c r="GQ39" s="141"/>
      <c r="GR39" s="141"/>
      <c r="GS39" s="141"/>
      <c r="GT39" s="141"/>
      <c r="GU39" s="141"/>
      <c r="GV39" s="141"/>
      <c r="GW39" s="141"/>
      <c r="GX39" s="141"/>
      <c r="GY39" s="141"/>
      <c r="GZ39" s="141"/>
      <c r="HA39" s="141"/>
      <c r="HB39" s="141"/>
      <c r="HC39" s="141"/>
      <c r="HD39" s="141"/>
      <c r="HE39" s="141"/>
      <c r="HF39" s="141"/>
      <c r="HG39" s="141"/>
      <c r="HH39" s="141"/>
      <c r="HI39" s="141"/>
      <c r="HJ39" s="141"/>
      <c r="HK39" s="141"/>
      <c r="HL39" s="141"/>
      <c r="HM39" s="141"/>
      <c r="HN39" s="141"/>
      <c r="HO39" s="141"/>
      <c r="HP39" s="141"/>
      <c r="HQ39" s="141"/>
      <c r="HR39" s="141"/>
      <c r="HS39" s="141"/>
      <c r="HT39" s="141"/>
      <c r="HU39" s="141"/>
      <c r="HV39" s="141"/>
      <c r="HW39" s="141"/>
      <c r="HX39" s="141"/>
      <c r="HY39" s="141"/>
      <c r="HZ39" s="141"/>
      <c r="IA39" s="141"/>
      <c r="IB39" s="141"/>
      <c r="IC39" s="141"/>
      <c r="ID39" s="141"/>
      <c r="IE39" s="141"/>
      <c r="IF39" s="141"/>
      <c r="IG39" s="141"/>
      <c r="IH39" s="141"/>
      <c r="II39" s="141"/>
      <c r="IJ39" s="141"/>
      <c r="IK39" s="141"/>
      <c r="IL39" s="141"/>
      <c r="IM39" s="141"/>
      <c r="IN39" s="141"/>
      <c r="IO39" s="141"/>
      <c r="IP39" s="141"/>
      <c r="IQ39" s="141"/>
      <c r="IR39" s="141"/>
      <c r="IS39" s="141"/>
      <c r="IT39" s="141"/>
      <c r="IU39" s="141"/>
      <c r="IV39" s="141"/>
      <c r="IW39" s="141"/>
      <c r="IX39" s="141"/>
      <c r="IY39" s="141"/>
      <c r="IZ39" s="141"/>
      <c r="JA39" s="141"/>
      <c r="JB39" s="141"/>
      <c r="JC39" s="141"/>
      <c r="JD39" s="141"/>
      <c r="JE39" s="141"/>
      <c r="JF39" s="141"/>
      <c r="JG39" s="141"/>
      <c r="JH39" s="141"/>
      <c r="JI39" s="141"/>
      <c r="JJ39" s="141"/>
      <c r="JK39" s="141"/>
      <c r="JL39" s="141"/>
      <c r="JM39" s="141"/>
      <c r="JN39" s="141"/>
      <c r="JO39" s="141"/>
      <c r="JP39" s="141"/>
      <c r="JQ39" s="141"/>
      <c r="JR39" s="141"/>
      <c r="JS39" s="141"/>
      <c r="JT39" s="141"/>
      <c r="JU39" s="141"/>
      <c r="JV39" s="141"/>
      <c r="JW39" s="141"/>
      <c r="JX39" s="141"/>
      <c r="JY39" s="141"/>
      <c r="JZ39" s="141"/>
      <c r="KA39" s="141"/>
      <c r="KB39" s="141"/>
      <c r="KC39" s="141"/>
      <c r="KD39" s="141"/>
      <c r="KE39" s="141"/>
      <c r="KF39" s="141"/>
      <c r="KG39" s="141"/>
      <c r="KH39" s="141"/>
      <c r="KI39" s="141"/>
      <c r="KJ39" s="141"/>
      <c r="KK39" s="141"/>
      <c r="KL39" s="141"/>
      <c r="KM39" s="141"/>
      <c r="KN39" s="141"/>
    </row>
    <row r="40" spans="1:300" s="3" customFormat="1" ht="31.5" customHeight="1">
      <c r="A40" s="148"/>
      <c r="B40" s="8"/>
      <c r="C40" s="36"/>
      <c r="D40" s="36"/>
      <c r="E40" s="35"/>
      <c r="F40" s="35"/>
      <c r="G40" s="35"/>
      <c r="H40" s="151"/>
      <c r="I40" s="153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  <c r="CK40" s="141"/>
      <c r="CL40" s="141"/>
      <c r="CM40" s="141"/>
      <c r="CN40" s="141"/>
      <c r="CO40" s="141"/>
      <c r="CP40" s="141"/>
      <c r="CQ40" s="141"/>
      <c r="CR40" s="141"/>
      <c r="CS40" s="141"/>
      <c r="CT40" s="141"/>
      <c r="CU40" s="141"/>
      <c r="CV40" s="141"/>
      <c r="CW40" s="141"/>
      <c r="CX40" s="141"/>
      <c r="CY40" s="141"/>
      <c r="CZ40" s="141"/>
      <c r="DA40" s="141"/>
      <c r="DB40" s="141"/>
      <c r="DC40" s="141"/>
      <c r="DD40" s="141"/>
      <c r="DE40" s="141"/>
      <c r="DF40" s="141"/>
      <c r="DG40" s="141"/>
      <c r="DH40" s="141"/>
      <c r="DI40" s="141"/>
      <c r="DJ40" s="141"/>
      <c r="DK40" s="141"/>
      <c r="DL40" s="141"/>
      <c r="DM40" s="141"/>
      <c r="DN40" s="141"/>
      <c r="DO40" s="141"/>
      <c r="DP40" s="141"/>
      <c r="DQ40" s="141"/>
      <c r="DR40" s="141"/>
      <c r="DS40" s="141"/>
      <c r="DT40" s="141"/>
      <c r="DU40" s="141"/>
      <c r="DV40" s="141"/>
      <c r="DW40" s="141"/>
      <c r="DX40" s="141"/>
      <c r="DY40" s="141"/>
      <c r="DZ40" s="141"/>
      <c r="EA40" s="141"/>
      <c r="EB40" s="141"/>
      <c r="EC40" s="141"/>
      <c r="ED40" s="141"/>
      <c r="EE40" s="141"/>
      <c r="EF40" s="141"/>
      <c r="EG40" s="141"/>
      <c r="EH40" s="141"/>
      <c r="EI40" s="141"/>
      <c r="EJ40" s="141"/>
      <c r="EK40" s="141"/>
      <c r="EL40" s="141"/>
      <c r="EM40" s="141"/>
      <c r="EN40" s="141"/>
      <c r="EO40" s="141"/>
      <c r="EP40" s="141"/>
      <c r="EQ40" s="141"/>
      <c r="ER40" s="141"/>
      <c r="ES40" s="141"/>
      <c r="ET40" s="141"/>
      <c r="EU40" s="141"/>
      <c r="EV40" s="141"/>
      <c r="EW40" s="141"/>
      <c r="EX40" s="141"/>
      <c r="EY40" s="141"/>
      <c r="EZ40" s="141"/>
      <c r="FA40" s="141"/>
      <c r="FB40" s="141"/>
      <c r="FC40" s="141"/>
      <c r="FD40" s="141"/>
      <c r="FE40" s="141"/>
      <c r="FF40" s="141"/>
      <c r="FG40" s="141"/>
      <c r="FH40" s="141"/>
      <c r="FI40" s="141"/>
      <c r="FJ40" s="141"/>
      <c r="FK40" s="141"/>
      <c r="FL40" s="141"/>
      <c r="FM40" s="141"/>
      <c r="FN40" s="141"/>
      <c r="FO40" s="141"/>
      <c r="FP40" s="141"/>
      <c r="FQ40" s="141"/>
      <c r="FR40" s="141"/>
      <c r="FS40" s="141"/>
      <c r="FT40" s="141"/>
      <c r="FU40" s="141"/>
      <c r="FV40" s="141"/>
      <c r="FW40" s="141"/>
      <c r="FX40" s="141"/>
      <c r="FY40" s="141"/>
      <c r="FZ40" s="141"/>
      <c r="GA40" s="141"/>
      <c r="GB40" s="141"/>
      <c r="GC40" s="141"/>
      <c r="GD40" s="141"/>
      <c r="GE40" s="141"/>
      <c r="GF40" s="141"/>
      <c r="GG40" s="141"/>
      <c r="GH40" s="141"/>
      <c r="GI40" s="141"/>
      <c r="GJ40" s="141"/>
      <c r="GK40" s="141"/>
      <c r="GL40" s="141"/>
      <c r="GM40" s="141"/>
      <c r="GN40" s="141"/>
      <c r="GO40" s="141"/>
      <c r="GP40" s="141"/>
      <c r="GQ40" s="141"/>
      <c r="GR40" s="141"/>
      <c r="GS40" s="141"/>
      <c r="GT40" s="141"/>
      <c r="GU40" s="141"/>
      <c r="GV40" s="141"/>
      <c r="GW40" s="141"/>
      <c r="GX40" s="141"/>
      <c r="GY40" s="141"/>
      <c r="GZ40" s="141"/>
      <c r="HA40" s="141"/>
      <c r="HB40" s="141"/>
      <c r="HC40" s="141"/>
      <c r="HD40" s="141"/>
      <c r="HE40" s="141"/>
      <c r="HF40" s="141"/>
      <c r="HG40" s="141"/>
      <c r="HH40" s="141"/>
      <c r="HI40" s="141"/>
      <c r="HJ40" s="141"/>
      <c r="HK40" s="141"/>
      <c r="HL40" s="141"/>
      <c r="HM40" s="141"/>
      <c r="HN40" s="141"/>
      <c r="HO40" s="141"/>
      <c r="HP40" s="141"/>
      <c r="HQ40" s="141"/>
      <c r="HR40" s="141"/>
      <c r="HS40" s="141"/>
      <c r="HT40" s="141"/>
      <c r="HU40" s="141"/>
      <c r="HV40" s="141"/>
      <c r="HW40" s="141"/>
      <c r="HX40" s="141"/>
      <c r="HY40" s="141"/>
      <c r="HZ40" s="141"/>
      <c r="IA40" s="141"/>
      <c r="IB40" s="141"/>
      <c r="IC40" s="141"/>
      <c r="ID40" s="141"/>
      <c r="IE40" s="141"/>
      <c r="IF40" s="141"/>
      <c r="IG40" s="141"/>
      <c r="IH40" s="141"/>
      <c r="II40" s="141"/>
      <c r="IJ40" s="141"/>
      <c r="IK40" s="141"/>
      <c r="IL40" s="141"/>
      <c r="IM40" s="141"/>
      <c r="IN40" s="141"/>
      <c r="IO40" s="141"/>
      <c r="IP40" s="141"/>
      <c r="IQ40" s="141"/>
      <c r="IR40" s="141"/>
      <c r="IS40" s="141"/>
      <c r="IT40" s="141"/>
      <c r="IU40" s="141"/>
      <c r="IV40" s="141"/>
      <c r="IW40" s="141"/>
      <c r="IX40" s="141"/>
      <c r="IY40" s="141"/>
      <c r="IZ40" s="141"/>
      <c r="JA40" s="141"/>
      <c r="JB40" s="141"/>
      <c r="JC40" s="141"/>
      <c r="JD40" s="141"/>
      <c r="JE40" s="141"/>
      <c r="JF40" s="141"/>
      <c r="JG40" s="141"/>
      <c r="JH40" s="141"/>
      <c r="JI40" s="141"/>
      <c r="JJ40" s="141"/>
      <c r="JK40" s="141"/>
      <c r="JL40" s="141"/>
      <c r="JM40" s="141"/>
      <c r="JN40" s="141"/>
      <c r="JO40" s="141"/>
      <c r="JP40" s="141"/>
      <c r="JQ40" s="141"/>
      <c r="JR40" s="141"/>
      <c r="JS40" s="141"/>
      <c r="JT40" s="141"/>
      <c r="JU40" s="141"/>
      <c r="JV40" s="141"/>
      <c r="JW40" s="141"/>
      <c r="JX40" s="141"/>
      <c r="JY40" s="141"/>
      <c r="JZ40" s="141"/>
      <c r="KA40" s="141"/>
      <c r="KB40" s="141"/>
      <c r="KC40" s="141"/>
      <c r="KD40" s="141"/>
      <c r="KE40" s="141"/>
      <c r="KF40" s="141"/>
      <c r="KG40" s="141"/>
      <c r="KH40" s="141"/>
      <c r="KI40" s="141"/>
      <c r="KJ40" s="141"/>
      <c r="KK40" s="141"/>
      <c r="KL40" s="141"/>
      <c r="KM40" s="141"/>
      <c r="KN40" s="141"/>
    </row>
    <row r="41" spans="1:300" s="3" customFormat="1" ht="31.5" customHeight="1">
      <c r="A41" s="148"/>
      <c r="B41" s="8"/>
      <c r="C41" s="36"/>
      <c r="D41" s="36"/>
      <c r="E41" s="35"/>
      <c r="F41" s="35"/>
      <c r="G41" s="35"/>
      <c r="H41" s="151"/>
      <c r="I41" s="153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  <c r="CK41" s="141"/>
      <c r="CL41" s="141"/>
      <c r="CM41" s="141"/>
      <c r="CN41" s="141"/>
      <c r="CO41" s="141"/>
      <c r="CP41" s="141"/>
      <c r="CQ41" s="141"/>
      <c r="CR41" s="141"/>
      <c r="CS41" s="141"/>
      <c r="CT41" s="141"/>
      <c r="CU41" s="141"/>
      <c r="CV41" s="141"/>
      <c r="CW41" s="141"/>
      <c r="CX41" s="141"/>
      <c r="CY41" s="141"/>
      <c r="CZ41" s="141"/>
      <c r="DA41" s="141"/>
      <c r="DB41" s="141"/>
      <c r="DC41" s="141"/>
      <c r="DD41" s="141"/>
      <c r="DE41" s="141"/>
      <c r="DF41" s="141"/>
      <c r="DG41" s="141"/>
      <c r="DH41" s="141"/>
      <c r="DI41" s="141"/>
      <c r="DJ41" s="141"/>
      <c r="DK41" s="141"/>
      <c r="DL41" s="141"/>
      <c r="DM41" s="141"/>
      <c r="DN41" s="141"/>
      <c r="DO41" s="141"/>
      <c r="DP41" s="141"/>
      <c r="DQ41" s="141"/>
      <c r="DR41" s="141"/>
      <c r="DS41" s="141"/>
      <c r="DT41" s="141"/>
      <c r="DU41" s="141"/>
      <c r="DV41" s="141"/>
      <c r="DW41" s="141"/>
      <c r="DX41" s="141"/>
      <c r="DY41" s="141"/>
      <c r="DZ41" s="141"/>
      <c r="EA41" s="141"/>
      <c r="EB41" s="141"/>
      <c r="EC41" s="141"/>
      <c r="ED41" s="141"/>
      <c r="EE41" s="141"/>
      <c r="EF41" s="141"/>
      <c r="EG41" s="141"/>
      <c r="EH41" s="141"/>
      <c r="EI41" s="141"/>
      <c r="EJ41" s="141"/>
      <c r="EK41" s="141"/>
      <c r="EL41" s="141"/>
      <c r="EM41" s="141"/>
      <c r="EN41" s="141"/>
      <c r="EO41" s="141"/>
      <c r="EP41" s="141"/>
      <c r="EQ41" s="141"/>
      <c r="ER41" s="141"/>
      <c r="ES41" s="141"/>
      <c r="ET41" s="141"/>
      <c r="EU41" s="141"/>
      <c r="EV41" s="141"/>
      <c r="EW41" s="141"/>
      <c r="EX41" s="141"/>
      <c r="EY41" s="141"/>
      <c r="EZ41" s="141"/>
      <c r="FA41" s="141"/>
      <c r="FB41" s="141"/>
      <c r="FC41" s="141"/>
      <c r="FD41" s="141"/>
      <c r="FE41" s="141"/>
      <c r="FF41" s="141"/>
      <c r="FG41" s="141"/>
      <c r="FH41" s="141"/>
      <c r="FI41" s="141"/>
      <c r="FJ41" s="141"/>
      <c r="FK41" s="141"/>
      <c r="FL41" s="141"/>
      <c r="FM41" s="141"/>
      <c r="FN41" s="141"/>
      <c r="FO41" s="141"/>
      <c r="FP41" s="141"/>
      <c r="FQ41" s="141"/>
      <c r="FR41" s="141"/>
      <c r="FS41" s="141"/>
      <c r="FT41" s="141"/>
      <c r="FU41" s="141"/>
      <c r="FV41" s="141"/>
      <c r="FW41" s="141"/>
      <c r="FX41" s="141"/>
      <c r="FY41" s="141"/>
      <c r="FZ41" s="141"/>
      <c r="GA41" s="141"/>
      <c r="GB41" s="141"/>
      <c r="GC41" s="141"/>
      <c r="GD41" s="141"/>
      <c r="GE41" s="141"/>
      <c r="GF41" s="141"/>
      <c r="GG41" s="141"/>
      <c r="GH41" s="141"/>
      <c r="GI41" s="141"/>
      <c r="GJ41" s="141"/>
      <c r="GK41" s="141"/>
      <c r="GL41" s="141"/>
      <c r="GM41" s="141"/>
      <c r="GN41" s="141"/>
      <c r="GO41" s="141"/>
      <c r="GP41" s="141"/>
      <c r="GQ41" s="141"/>
      <c r="GR41" s="141"/>
      <c r="GS41" s="141"/>
      <c r="GT41" s="141"/>
      <c r="GU41" s="141"/>
      <c r="GV41" s="141"/>
      <c r="GW41" s="141"/>
      <c r="GX41" s="141"/>
      <c r="GY41" s="141"/>
      <c r="GZ41" s="141"/>
      <c r="HA41" s="141"/>
      <c r="HB41" s="141"/>
      <c r="HC41" s="141"/>
      <c r="HD41" s="141"/>
      <c r="HE41" s="141"/>
      <c r="HF41" s="141"/>
      <c r="HG41" s="141"/>
      <c r="HH41" s="141"/>
      <c r="HI41" s="141"/>
      <c r="HJ41" s="141"/>
      <c r="HK41" s="141"/>
      <c r="HL41" s="141"/>
      <c r="HM41" s="141"/>
      <c r="HN41" s="141"/>
      <c r="HO41" s="141"/>
      <c r="HP41" s="141"/>
      <c r="HQ41" s="141"/>
      <c r="HR41" s="141"/>
      <c r="HS41" s="141"/>
      <c r="HT41" s="141"/>
      <c r="HU41" s="141"/>
      <c r="HV41" s="141"/>
      <c r="HW41" s="141"/>
      <c r="HX41" s="141"/>
      <c r="HY41" s="141"/>
      <c r="HZ41" s="141"/>
      <c r="IA41" s="141"/>
      <c r="IB41" s="141"/>
      <c r="IC41" s="141"/>
      <c r="ID41" s="141"/>
      <c r="IE41" s="141"/>
      <c r="IF41" s="141"/>
      <c r="IG41" s="141"/>
      <c r="IH41" s="141"/>
      <c r="II41" s="141"/>
      <c r="IJ41" s="141"/>
      <c r="IK41" s="141"/>
      <c r="IL41" s="141"/>
      <c r="IM41" s="141"/>
      <c r="IN41" s="141"/>
      <c r="IO41" s="141"/>
      <c r="IP41" s="141"/>
      <c r="IQ41" s="141"/>
      <c r="IR41" s="141"/>
      <c r="IS41" s="141"/>
      <c r="IT41" s="141"/>
      <c r="IU41" s="141"/>
      <c r="IV41" s="141"/>
      <c r="IW41" s="141"/>
      <c r="IX41" s="141"/>
      <c r="IY41" s="141"/>
      <c r="IZ41" s="141"/>
      <c r="JA41" s="141"/>
      <c r="JB41" s="141"/>
      <c r="JC41" s="141"/>
      <c r="JD41" s="141"/>
      <c r="JE41" s="141"/>
      <c r="JF41" s="141"/>
      <c r="JG41" s="141"/>
      <c r="JH41" s="141"/>
      <c r="JI41" s="141"/>
      <c r="JJ41" s="141"/>
      <c r="JK41" s="141"/>
      <c r="JL41" s="141"/>
      <c r="JM41" s="141"/>
      <c r="JN41" s="141"/>
      <c r="JO41" s="141"/>
      <c r="JP41" s="141"/>
      <c r="JQ41" s="141"/>
      <c r="JR41" s="141"/>
      <c r="JS41" s="141"/>
      <c r="JT41" s="141"/>
      <c r="JU41" s="141"/>
      <c r="JV41" s="141"/>
      <c r="JW41" s="141"/>
      <c r="JX41" s="141"/>
      <c r="JY41" s="141"/>
      <c r="JZ41" s="141"/>
      <c r="KA41" s="141"/>
      <c r="KB41" s="141"/>
      <c r="KC41" s="141"/>
      <c r="KD41" s="141"/>
      <c r="KE41" s="141"/>
      <c r="KF41" s="141"/>
      <c r="KG41" s="141"/>
      <c r="KH41" s="141"/>
      <c r="KI41" s="141"/>
      <c r="KJ41" s="141"/>
      <c r="KK41" s="141"/>
      <c r="KL41" s="141"/>
      <c r="KM41" s="141"/>
      <c r="KN41" s="141"/>
    </row>
    <row r="42" spans="1:300" s="3" customFormat="1" ht="31.5" customHeight="1">
      <c r="A42" s="148"/>
      <c r="B42" s="8"/>
      <c r="C42" s="36"/>
      <c r="D42" s="36"/>
      <c r="E42" s="35"/>
      <c r="F42" s="35"/>
      <c r="G42" s="35"/>
      <c r="H42" s="151"/>
      <c r="I42" s="153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  <c r="CK42" s="141"/>
      <c r="CL42" s="141"/>
      <c r="CM42" s="141"/>
      <c r="CN42" s="141"/>
      <c r="CO42" s="141"/>
      <c r="CP42" s="141"/>
      <c r="CQ42" s="141"/>
      <c r="CR42" s="141"/>
      <c r="CS42" s="141"/>
      <c r="CT42" s="141"/>
      <c r="CU42" s="141"/>
      <c r="CV42" s="141"/>
      <c r="CW42" s="141"/>
      <c r="CX42" s="141"/>
      <c r="CY42" s="141"/>
      <c r="CZ42" s="141"/>
      <c r="DA42" s="141"/>
      <c r="DB42" s="141"/>
      <c r="DC42" s="141"/>
      <c r="DD42" s="141"/>
      <c r="DE42" s="141"/>
      <c r="DF42" s="141"/>
      <c r="DG42" s="141"/>
      <c r="DH42" s="141"/>
      <c r="DI42" s="141"/>
      <c r="DJ42" s="141"/>
      <c r="DK42" s="141"/>
      <c r="DL42" s="141"/>
      <c r="DM42" s="141"/>
      <c r="DN42" s="141"/>
      <c r="DO42" s="141"/>
      <c r="DP42" s="141"/>
      <c r="DQ42" s="141"/>
      <c r="DR42" s="141"/>
      <c r="DS42" s="141"/>
      <c r="DT42" s="141"/>
      <c r="DU42" s="141"/>
      <c r="DV42" s="141"/>
      <c r="DW42" s="141"/>
      <c r="DX42" s="141"/>
      <c r="DY42" s="141"/>
      <c r="DZ42" s="141"/>
      <c r="EA42" s="141"/>
      <c r="EB42" s="141"/>
      <c r="EC42" s="141"/>
      <c r="ED42" s="141"/>
      <c r="EE42" s="141"/>
      <c r="EF42" s="141"/>
      <c r="EG42" s="141"/>
      <c r="EH42" s="141"/>
      <c r="EI42" s="141"/>
      <c r="EJ42" s="141"/>
      <c r="EK42" s="141"/>
      <c r="EL42" s="141"/>
      <c r="EM42" s="141"/>
      <c r="EN42" s="141"/>
      <c r="EO42" s="141"/>
      <c r="EP42" s="141"/>
      <c r="EQ42" s="141"/>
      <c r="ER42" s="141"/>
      <c r="ES42" s="141"/>
      <c r="ET42" s="141"/>
      <c r="EU42" s="141"/>
      <c r="EV42" s="141"/>
      <c r="EW42" s="141"/>
      <c r="EX42" s="141"/>
      <c r="EY42" s="141"/>
      <c r="EZ42" s="141"/>
      <c r="FA42" s="141"/>
      <c r="FB42" s="141"/>
      <c r="FC42" s="141"/>
      <c r="FD42" s="141"/>
      <c r="FE42" s="141"/>
      <c r="FF42" s="141"/>
      <c r="FG42" s="141"/>
      <c r="FH42" s="141"/>
      <c r="FI42" s="141"/>
      <c r="FJ42" s="141"/>
      <c r="FK42" s="141"/>
      <c r="FL42" s="141"/>
      <c r="FM42" s="141"/>
      <c r="FN42" s="141"/>
      <c r="FO42" s="141"/>
      <c r="FP42" s="141"/>
      <c r="FQ42" s="141"/>
      <c r="FR42" s="141"/>
      <c r="FS42" s="141"/>
      <c r="FT42" s="141"/>
      <c r="FU42" s="141"/>
      <c r="FV42" s="141"/>
      <c r="FW42" s="141"/>
      <c r="FX42" s="141"/>
      <c r="FY42" s="141"/>
      <c r="FZ42" s="141"/>
      <c r="GA42" s="141"/>
      <c r="GB42" s="141"/>
      <c r="GC42" s="141"/>
      <c r="GD42" s="141"/>
      <c r="GE42" s="141"/>
      <c r="GF42" s="141"/>
      <c r="GG42" s="141"/>
      <c r="GH42" s="141"/>
      <c r="GI42" s="141"/>
      <c r="GJ42" s="141"/>
      <c r="GK42" s="141"/>
      <c r="GL42" s="141"/>
      <c r="GM42" s="141"/>
      <c r="GN42" s="141"/>
      <c r="GO42" s="141"/>
      <c r="GP42" s="141"/>
      <c r="GQ42" s="141"/>
      <c r="GR42" s="141"/>
      <c r="GS42" s="141"/>
      <c r="GT42" s="141"/>
      <c r="GU42" s="141"/>
      <c r="GV42" s="141"/>
      <c r="GW42" s="141"/>
      <c r="GX42" s="141"/>
      <c r="GY42" s="141"/>
      <c r="GZ42" s="141"/>
      <c r="HA42" s="141"/>
      <c r="HB42" s="141"/>
      <c r="HC42" s="141"/>
      <c r="HD42" s="141"/>
      <c r="HE42" s="141"/>
      <c r="HF42" s="141"/>
      <c r="HG42" s="141"/>
      <c r="HH42" s="141"/>
      <c r="HI42" s="141"/>
      <c r="HJ42" s="141"/>
      <c r="HK42" s="141"/>
      <c r="HL42" s="141"/>
      <c r="HM42" s="141"/>
      <c r="HN42" s="141"/>
      <c r="HO42" s="141"/>
      <c r="HP42" s="141"/>
      <c r="HQ42" s="141"/>
      <c r="HR42" s="141"/>
      <c r="HS42" s="141"/>
      <c r="HT42" s="141"/>
      <c r="HU42" s="141"/>
      <c r="HV42" s="141"/>
      <c r="HW42" s="141"/>
      <c r="HX42" s="141"/>
      <c r="HY42" s="141"/>
      <c r="HZ42" s="141"/>
      <c r="IA42" s="141"/>
      <c r="IB42" s="141"/>
      <c r="IC42" s="141"/>
      <c r="ID42" s="141"/>
      <c r="IE42" s="141"/>
      <c r="IF42" s="141"/>
      <c r="IG42" s="141"/>
      <c r="IH42" s="141"/>
      <c r="II42" s="141"/>
      <c r="IJ42" s="141"/>
      <c r="IK42" s="141"/>
      <c r="IL42" s="141"/>
      <c r="IM42" s="141"/>
      <c r="IN42" s="141"/>
      <c r="IO42" s="141"/>
      <c r="IP42" s="141"/>
      <c r="IQ42" s="141"/>
      <c r="IR42" s="141"/>
      <c r="IS42" s="141"/>
      <c r="IT42" s="141"/>
      <c r="IU42" s="141"/>
      <c r="IV42" s="141"/>
      <c r="IW42" s="141"/>
      <c r="IX42" s="141"/>
      <c r="IY42" s="141"/>
      <c r="IZ42" s="141"/>
      <c r="JA42" s="141"/>
      <c r="JB42" s="141"/>
      <c r="JC42" s="141"/>
      <c r="JD42" s="141"/>
      <c r="JE42" s="141"/>
      <c r="JF42" s="141"/>
      <c r="JG42" s="141"/>
      <c r="JH42" s="141"/>
      <c r="JI42" s="141"/>
      <c r="JJ42" s="141"/>
      <c r="JK42" s="141"/>
      <c r="JL42" s="141"/>
      <c r="JM42" s="141"/>
      <c r="JN42" s="141"/>
      <c r="JO42" s="141"/>
      <c r="JP42" s="141"/>
      <c r="JQ42" s="141"/>
      <c r="JR42" s="141"/>
      <c r="JS42" s="141"/>
      <c r="JT42" s="141"/>
      <c r="JU42" s="141"/>
      <c r="JV42" s="141"/>
      <c r="JW42" s="141"/>
      <c r="JX42" s="141"/>
      <c r="JY42" s="141"/>
      <c r="JZ42" s="141"/>
      <c r="KA42" s="141"/>
      <c r="KB42" s="141"/>
      <c r="KC42" s="141"/>
      <c r="KD42" s="141"/>
      <c r="KE42" s="141"/>
      <c r="KF42" s="141"/>
      <c r="KG42" s="141"/>
      <c r="KH42" s="141"/>
      <c r="KI42" s="141"/>
      <c r="KJ42" s="141"/>
      <c r="KK42" s="141"/>
      <c r="KL42" s="141"/>
      <c r="KM42" s="141"/>
      <c r="KN42" s="141"/>
    </row>
    <row r="43" spans="1:300" s="3" customFormat="1" ht="31.5" customHeight="1">
      <c r="A43" s="148"/>
      <c r="B43" s="8"/>
      <c r="C43" s="36"/>
      <c r="D43" s="36"/>
      <c r="E43" s="35"/>
      <c r="F43" s="35"/>
      <c r="G43" s="35"/>
      <c r="H43" s="151"/>
      <c r="I43" s="153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  <c r="CK43" s="141"/>
      <c r="CL43" s="141"/>
      <c r="CM43" s="141"/>
      <c r="CN43" s="141"/>
      <c r="CO43" s="141"/>
      <c r="CP43" s="141"/>
      <c r="CQ43" s="141"/>
      <c r="CR43" s="141"/>
      <c r="CS43" s="141"/>
      <c r="CT43" s="141"/>
      <c r="CU43" s="141"/>
      <c r="CV43" s="141"/>
      <c r="CW43" s="141"/>
      <c r="CX43" s="141"/>
      <c r="CY43" s="141"/>
      <c r="CZ43" s="141"/>
      <c r="DA43" s="141"/>
      <c r="DB43" s="141"/>
      <c r="DC43" s="141"/>
      <c r="DD43" s="141"/>
      <c r="DE43" s="141"/>
      <c r="DF43" s="141"/>
      <c r="DG43" s="141"/>
      <c r="DH43" s="141"/>
      <c r="DI43" s="141"/>
      <c r="DJ43" s="141"/>
      <c r="DK43" s="141"/>
      <c r="DL43" s="141"/>
      <c r="DM43" s="141"/>
      <c r="DN43" s="141"/>
      <c r="DO43" s="141"/>
      <c r="DP43" s="141"/>
      <c r="DQ43" s="141"/>
      <c r="DR43" s="141"/>
      <c r="DS43" s="141"/>
      <c r="DT43" s="141"/>
      <c r="DU43" s="141"/>
      <c r="DV43" s="141"/>
      <c r="DW43" s="141"/>
      <c r="DX43" s="141"/>
      <c r="DY43" s="141"/>
      <c r="DZ43" s="141"/>
      <c r="EA43" s="141"/>
      <c r="EB43" s="141"/>
      <c r="EC43" s="141"/>
      <c r="ED43" s="141"/>
      <c r="EE43" s="141"/>
      <c r="EF43" s="141"/>
      <c r="EG43" s="141"/>
      <c r="EH43" s="141"/>
      <c r="EI43" s="141"/>
      <c r="EJ43" s="141"/>
      <c r="EK43" s="141"/>
      <c r="EL43" s="141"/>
      <c r="EM43" s="141"/>
      <c r="EN43" s="141"/>
      <c r="EO43" s="141"/>
      <c r="EP43" s="141"/>
      <c r="EQ43" s="141"/>
      <c r="ER43" s="141"/>
      <c r="ES43" s="141"/>
      <c r="ET43" s="141"/>
      <c r="EU43" s="141"/>
      <c r="EV43" s="141"/>
      <c r="EW43" s="141"/>
      <c r="EX43" s="141"/>
      <c r="EY43" s="141"/>
      <c r="EZ43" s="141"/>
      <c r="FA43" s="141"/>
      <c r="FB43" s="141"/>
      <c r="FC43" s="141"/>
      <c r="FD43" s="141"/>
      <c r="FE43" s="141"/>
      <c r="FF43" s="141"/>
      <c r="FG43" s="141"/>
      <c r="FH43" s="141"/>
      <c r="FI43" s="141"/>
      <c r="FJ43" s="141"/>
      <c r="FK43" s="141"/>
      <c r="FL43" s="141"/>
      <c r="FM43" s="141"/>
      <c r="FN43" s="141"/>
      <c r="FO43" s="141"/>
      <c r="FP43" s="141"/>
      <c r="FQ43" s="141"/>
      <c r="FR43" s="141"/>
      <c r="FS43" s="141"/>
      <c r="FT43" s="141"/>
      <c r="FU43" s="141"/>
      <c r="FV43" s="141"/>
      <c r="FW43" s="141"/>
      <c r="FX43" s="141"/>
      <c r="FY43" s="141"/>
      <c r="FZ43" s="141"/>
      <c r="GA43" s="141"/>
      <c r="GB43" s="141"/>
      <c r="GC43" s="141"/>
      <c r="GD43" s="141"/>
      <c r="GE43" s="141"/>
      <c r="GF43" s="141"/>
      <c r="GG43" s="141"/>
      <c r="GH43" s="141"/>
      <c r="GI43" s="141"/>
      <c r="GJ43" s="141"/>
      <c r="GK43" s="141"/>
      <c r="GL43" s="141"/>
      <c r="GM43" s="141"/>
      <c r="GN43" s="141"/>
      <c r="GO43" s="141"/>
      <c r="GP43" s="141"/>
      <c r="GQ43" s="141"/>
      <c r="GR43" s="141"/>
      <c r="GS43" s="141"/>
      <c r="GT43" s="141"/>
      <c r="GU43" s="141"/>
      <c r="GV43" s="141"/>
      <c r="GW43" s="141"/>
      <c r="GX43" s="141"/>
      <c r="GY43" s="141"/>
      <c r="GZ43" s="141"/>
      <c r="HA43" s="141"/>
      <c r="HB43" s="141"/>
      <c r="HC43" s="141"/>
      <c r="HD43" s="141"/>
      <c r="HE43" s="141"/>
      <c r="HF43" s="141"/>
      <c r="HG43" s="141"/>
      <c r="HH43" s="141"/>
      <c r="HI43" s="141"/>
      <c r="HJ43" s="141"/>
      <c r="HK43" s="141"/>
      <c r="HL43" s="141"/>
      <c r="HM43" s="141"/>
      <c r="HN43" s="141"/>
      <c r="HO43" s="141"/>
      <c r="HP43" s="141"/>
      <c r="HQ43" s="141"/>
      <c r="HR43" s="141"/>
      <c r="HS43" s="141"/>
      <c r="HT43" s="141"/>
      <c r="HU43" s="141"/>
      <c r="HV43" s="141"/>
      <c r="HW43" s="141"/>
      <c r="HX43" s="141"/>
      <c r="HY43" s="141"/>
      <c r="HZ43" s="141"/>
      <c r="IA43" s="141"/>
      <c r="IB43" s="141"/>
      <c r="IC43" s="141"/>
      <c r="ID43" s="141"/>
      <c r="IE43" s="141"/>
      <c r="IF43" s="141"/>
      <c r="IG43" s="141"/>
      <c r="IH43" s="141"/>
      <c r="II43" s="141"/>
      <c r="IJ43" s="141"/>
      <c r="IK43" s="141"/>
      <c r="IL43" s="141"/>
      <c r="IM43" s="141"/>
      <c r="IN43" s="141"/>
      <c r="IO43" s="141"/>
      <c r="IP43" s="141"/>
      <c r="IQ43" s="141"/>
      <c r="IR43" s="141"/>
      <c r="IS43" s="141"/>
      <c r="IT43" s="141"/>
      <c r="IU43" s="141"/>
      <c r="IV43" s="141"/>
      <c r="IW43" s="141"/>
      <c r="IX43" s="141"/>
      <c r="IY43" s="141"/>
      <c r="IZ43" s="141"/>
      <c r="JA43" s="141"/>
      <c r="JB43" s="141"/>
      <c r="JC43" s="141"/>
      <c r="JD43" s="141"/>
      <c r="JE43" s="141"/>
      <c r="JF43" s="141"/>
      <c r="JG43" s="141"/>
      <c r="JH43" s="141"/>
      <c r="JI43" s="141"/>
      <c r="JJ43" s="141"/>
      <c r="JK43" s="141"/>
      <c r="JL43" s="141"/>
      <c r="JM43" s="141"/>
      <c r="JN43" s="141"/>
      <c r="JO43" s="141"/>
      <c r="JP43" s="141"/>
      <c r="JQ43" s="141"/>
      <c r="JR43" s="141"/>
      <c r="JS43" s="141"/>
      <c r="JT43" s="141"/>
      <c r="JU43" s="141"/>
      <c r="JV43" s="141"/>
      <c r="JW43" s="141"/>
      <c r="JX43" s="141"/>
      <c r="JY43" s="141"/>
      <c r="JZ43" s="141"/>
      <c r="KA43" s="141"/>
      <c r="KB43" s="141"/>
      <c r="KC43" s="141"/>
      <c r="KD43" s="141"/>
      <c r="KE43" s="141"/>
      <c r="KF43" s="141"/>
      <c r="KG43" s="141"/>
      <c r="KH43" s="141"/>
      <c r="KI43" s="141"/>
      <c r="KJ43" s="141"/>
      <c r="KK43" s="141"/>
      <c r="KL43" s="141"/>
      <c r="KM43" s="141"/>
      <c r="KN43" s="141"/>
    </row>
    <row r="44" spans="1:300" s="3" customFormat="1" ht="31.5" customHeight="1">
      <c r="A44" s="148"/>
      <c r="B44" s="8"/>
      <c r="C44" s="36"/>
      <c r="D44" s="36"/>
      <c r="E44" s="35"/>
      <c r="F44" s="35"/>
      <c r="G44" s="35"/>
      <c r="H44" s="151"/>
      <c r="I44" s="153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  <c r="CK44" s="141"/>
      <c r="CL44" s="141"/>
      <c r="CM44" s="141"/>
      <c r="CN44" s="141"/>
      <c r="CO44" s="141"/>
      <c r="CP44" s="141"/>
      <c r="CQ44" s="141"/>
      <c r="CR44" s="141"/>
      <c r="CS44" s="141"/>
      <c r="CT44" s="141"/>
      <c r="CU44" s="141"/>
      <c r="CV44" s="141"/>
      <c r="CW44" s="141"/>
      <c r="CX44" s="141"/>
      <c r="CY44" s="141"/>
      <c r="CZ44" s="141"/>
      <c r="DA44" s="141"/>
      <c r="DB44" s="141"/>
      <c r="DC44" s="141"/>
      <c r="DD44" s="141"/>
      <c r="DE44" s="141"/>
      <c r="DF44" s="141"/>
      <c r="DG44" s="141"/>
      <c r="DH44" s="141"/>
      <c r="DI44" s="141"/>
      <c r="DJ44" s="141"/>
      <c r="DK44" s="141"/>
      <c r="DL44" s="141"/>
      <c r="DM44" s="141"/>
      <c r="DN44" s="141"/>
      <c r="DO44" s="141"/>
      <c r="DP44" s="141"/>
      <c r="DQ44" s="141"/>
      <c r="DR44" s="141"/>
      <c r="DS44" s="141"/>
      <c r="DT44" s="141"/>
      <c r="DU44" s="141"/>
      <c r="DV44" s="141"/>
      <c r="DW44" s="141"/>
      <c r="DX44" s="141"/>
      <c r="DY44" s="141"/>
      <c r="DZ44" s="141"/>
      <c r="EA44" s="141"/>
      <c r="EB44" s="141"/>
      <c r="EC44" s="141"/>
      <c r="ED44" s="141"/>
      <c r="EE44" s="141"/>
      <c r="EF44" s="141"/>
      <c r="EG44" s="141"/>
      <c r="EH44" s="141"/>
      <c r="EI44" s="141"/>
      <c r="EJ44" s="141"/>
      <c r="EK44" s="141"/>
      <c r="EL44" s="141"/>
      <c r="EM44" s="141"/>
      <c r="EN44" s="141"/>
      <c r="EO44" s="141"/>
      <c r="EP44" s="141"/>
      <c r="EQ44" s="141"/>
      <c r="ER44" s="141"/>
      <c r="ES44" s="141"/>
      <c r="ET44" s="141"/>
      <c r="EU44" s="141"/>
      <c r="EV44" s="141"/>
      <c r="EW44" s="141"/>
      <c r="EX44" s="141"/>
      <c r="EY44" s="141"/>
      <c r="EZ44" s="141"/>
      <c r="FA44" s="141"/>
      <c r="FB44" s="141"/>
      <c r="FC44" s="141"/>
      <c r="FD44" s="141"/>
      <c r="FE44" s="141"/>
      <c r="FF44" s="141"/>
      <c r="FG44" s="141"/>
      <c r="FH44" s="141"/>
      <c r="FI44" s="141"/>
      <c r="FJ44" s="141"/>
      <c r="FK44" s="141"/>
      <c r="FL44" s="141"/>
      <c r="FM44" s="141"/>
      <c r="FN44" s="141"/>
      <c r="FO44" s="141"/>
      <c r="FP44" s="141"/>
      <c r="FQ44" s="141"/>
      <c r="FR44" s="141"/>
      <c r="FS44" s="141"/>
      <c r="FT44" s="141"/>
      <c r="FU44" s="141"/>
      <c r="FV44" s="141"/>
      <c r="FW44" s="141"/>
      <c r="FX44" s="141"/>
      <c r="FY44" s="141"/>
      <c r="FZ44" s="141"/>
      <c r="GA44" s="141"/>
      <c r="GB44" s="141"/>
      <c r="GC44" s="141"/>
      <c r="GD44" s="141"/>
      <c r="GE44" s="141"/>
      <c r="GF44" s="141"/>
      <c r="GG44" s="141"/>
      <c r="GH44" s="141"/>
      <c r="GI44" s="141"/>
      <c r="GJ44" s="141"/>
      <c r="GK44" s="141"/>
      <c r="GL44" s="141"/>
      <c r="GM44" s="141"/>
      <c r="GN44" s="141"/>
      <c r="GO44" s="141"/>
      <c r="GP44" s="141"/>
      <c r="GQ44" s="141"/>
      <c r="GR44" s="141"/>
      <c r="GS44" s="141"/>
      <c r="GT44" s="141"/>
      <c r="GU44" s="141"/>
      <c r="GV44" s="141"/>
      <c r="GW44" s="141"/>
      <c r="GX44" s="141"/>
      <c r="GY44" s="141"/>
      <c r="GZ44" s="141"/>
      <c r="HA44" s="141"/>
      <c r="HB44" s="141"/>
      <c r="HC44" s="141"/>
      <c r="HD44" s="141"/>
      <c r="HE44" s="141"/>
      <c r="HF44" s="141"/>
      <c r="HG44" s="141"/>
      <c r="HH44" s="141"/>
      <c r="HI44" s="141"/>
      <c r="HJ44" s="141"/>
      <c r="HK44" s="141"/>
      <c r="HL44" s="141"/>
      <c r="HM44" s="141"/>
      <c r="HN44" s="141"/>
      <c r="HO44" s="141"/>
      <c r="HP44" s="141"/>
      <c r="HQ44" s="141"/>
      <c r="HR44" s="141"/>
      <c r="HS44" s="141"/>
      <c r="HT44" s="141"/>
      <c r="HU44" s="141"/>
      <c r="HV44" s="141"/>
      <c r="HW44" s="141"/>
      <c r="HX44" s="141"/>
      <c r="HY44" s="141"/>
      <c r="HZ44" s="141"/>
      <c r="IA44" s="141"/>
      <c r="IB44" s="141"/>
      <c r="IC44" s="141"/>
      <c r="ID44" s="141"/>
      <c r="IE44" s="141"/>
      <c r="IF44" s="141"/>
      <c r="IG44" s="141"/>
      <c r="IH44" s="141"/>
      <c r="II44" s="141"/>
      <c r="IJ44" s="141"/>
      <c r="IK44" s="141"/>
      <c r="IL44" s="141"/>
      <c r="IM44" s="141"/>
      <c r="IN44" s="141"/>
      <c r="IO44" s="141"/>
      <c r="IP44" s="141"/>
      <c r="IQ44" s="141"/>
      <c r="IR44" s="141"/>
      <c r="IS44" s="141"/>
      <c r="IT44" s="141"/>
      <c r="IU44" s="141"/>
      <c r="IV44" s="141"/>
      <c r="IW44" s="141"/>
      <c r="IX44" s="141"/>
      <c r="IY44" s="141"/>
      <c r="IZ44" s="141"/>
      <c r="JA44" s="141"/>
      <c r="JB44" s="141"/>
      <c r="JC44" s="141"/>
      <c r="JD44" s="141"/>
      <c r="JE44" s="141"/>
      <c r="JF44" s="141"/>
      <c r="JG44" s="141"/>
      <c r="JH44" s="141"/>
      <c r="JI44" s="141"/>
      <c r="JJ44" s="141"/>
      <c r="JK44" s="141"/>
      <c r="JL44" s="141"/>
      <c r="JM44" s="141"/>
      <c r="JN44" s="141"/>
      <c r="JO44" s="141"/>
      <c r="JP44" s="141"/>
      <c r="JQ44" s="141"/>
      <c r="JR44" s="141"/>
      <c r="JS44" s="141"/>
      <c r="JT44" s="141"/>
      <c r="JU44" s="141"/>
      <c r="JV44" s="141"/>
      <c r="JW44" s="141"/>
      <c r="JX44" s="141"/>
      <c r="JY44" s="141"/>
      <c r="JZ44" s="141"/>
      <c r="KA44" s="141"/>
      <c r="KB44" s="141"/>
      <c r="KC44" s="141"/>
      <c r="KD44" s="141"/>
      <c r="KE44" s="141"/>
      <c r="KF44" s="141"/>
      <c r="KG44" s="141"/>
      <c r="KH44" s="141"/>
      <c r="KI44" s="141"/>
      <c r="KJ44" s="141"/>
      <c r="KK44" s="141"/>
      <c r="KL44" s="141"/>
      <c r="KM44" s="141"/>
      <c r="KN44" s="141"/>
    </row>
    <row r="45" spans="1:300" s="3" customFormat="1" ht="31.5" customHeight="1">
      <c r="A45" s="148"/>
      <c r="B45" s="8"/>
      <c r="C45" s="36"/>
      <c r="D45" s="36"/>
      <c r="E45" s="35"/>
      <c r="F45" s="35"/>
      <c r="G45" s="35"/>
      <c r="H45" s="151"/>
      <c r="I45" s="153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  <c r="CK45" s="141"/>
      <c r="CL45" s="141"/>
      <c r="CM45" s="141"/>
      <c r="CN45" s="141"/>
      <c r="CO45" s="141"/>
      <c r="CP45" s="141"/>
      <c r="CQ45" s="141"/>
      <c r="CR45" s="141"/>
      <c r="CS45" s="141"/>
      <c r="CT45" s="141"/>
      <c r="CU45" s="141"/>
      <c r="CV45" s="141"/>
      <c r="CW45" s="141"/>
      <c r="CX45" s="141"/>
      <c r="CY45" s="141"/>
      <c r="CZ45" s="141"/>
      <c r="DA45" s="141"/>
      <c r="DB45" s="141"/>
      <c r="DC45" s="141"/>
      <c r="DD45" s="141"/>
      <c r="DE45" s="141"/>
      <c r="DF45" s="141"/>
      <c r="DG45" s="141"/>
      <c r="DH45" s="141"/>
      <c r="DI45" s="141"/>
      <c r="DJ45" s="141"/>
      <c r="DK45" s="141"/>
      <c r="DL45" s="141"/>
      <c r="DM45" s="141"/>
      <c r="DN45" s="141"/>
      <c r="DO45" s="141"/>
      <c r="DP45" s="141"/>
      <c r="DQ45" s="141"/>
      <c r="DR45" s="141"/>
      <c r="DS45" s="141"/>
      <c r="DT45" s="141"/>
      <c r="DU45" s="141"/>
      <c r="DV45" s="141"/>
      <c r="DW45" s="141"/>
      <c r="DX45" s="141"/>
      <c r="DY45" s="141"/>
      <c r="DZ45" s="141"/>
      <c r="EA45" s="141"/>
      <c r="EB45" s="141"/>
      <c r="EC45" s="141"/>
      <c r="ED45" s="141"/>
      <c r="EE45" s="141"/>
      <c r="EF45" s="141"/>
      <c r="EG45" s="141"/>
      <c r="EH45" s="141"/>
      <c r="EI45" s="141"/>
      <c r="EJ45" s="141"/>
      <c r="EK45" s="141"/>
      <c r="EL45" s="141"/>
      <c r="EM45" s="141"/>
      <c r="EN45" s="141"/>
      <c r="EO45" s="141"/>
      <c r="EP45" s="141"/>
      <c r="EQ45" s="141"/>
      <c r="ER45" s="141"/>
      <c r="ES45" s="141"/>
      <c r="ET45" s="141"/>
      <c r="EU45" s="141"/>
      <c r="EV45" s="141"/>
      <c r="EW45" s="141"/>
      <c r="EX45" s="141"/>
      <c r="EY45" s="141"/>
      <c r="EZ45" s="141"/>
      <c r="FA45" s="141"/>
      <c r="FB45" s="141"/>
      <c r="FC45" s="141"/>
      <c r="FD45" s="141"/>
      <c r="FE45" s="141"/>
      <c r="FF45" s="141"/>
      <c r="FG45" s="141"/>
      <c r="FH45" s="141"/>
      <c r="FI45" s="141"/>
      <c r="FJ45" s="141"/>
      <c r="FK45" s="141"/>
      <c r="FL45" s="141"/>
      <c r="FM45" s="141"/>
      <c r="FN45" s="141"/>
      <c r="FO45" s="141"/>
      <c r="FP45" s="141"/>
      <c r="FQ45" s="141"/>
      <c r="FR45" s="141"/>
      <c r="FS45" s="141"/>
      <c r="FT45" s="141"/>
      <c r="FU45" s="141"/>
      <c r="FV45" s="141"/>
      <c r="FW45" s="141"/>
      <c r="FX45" s="141"/>
      <c r="FY45" s="141"/>
      <c r="FZ45" s="141"/>
      <c r="GA45" s="141"/>
      <c r="GB45" s="141"/>
      <c r="GC45" s="141"/>
      <c r="GD45" s="141"/>
      <c r="GE45" s="141"/>
      <c r="GF45" s="141"/>
      <c r="GG45" s="141"/>
      <c r="GH45" s="141"/>
      <c r="GI45" s="141"/>
      <c r="GJ45" s="141"/>
      <c r="GK45" s="141"/>
      <c r="GL45" s="141"/>
      <c r="GM45" s="141"/>
      <c r="GN45" s="141"/>
      <c r="GO45" s="141"/>
      <c r="GP45" s="141"/>
      <c r="GQ45" s="141"/>
      <c r="GR45" s="141"/>
      <c r="GS45" s="141"/>
      <c r="GT45" s="141"/>
      <c r="GU45" s="141"/>
      <c r="GV45" s="141"/>
      <c r="GW45" s="141"/>
      <c r="GX45" s="141"/>
      <c r="GY45" s="141"/>
      <c r="GZ45" s="141"/>
      <c r="HA45" s="141"/>
      <c r="HB45" s="141"/>
      <c r="HC45" s="141"/>
      <c r="HD45" s="141"/>
      <c r="HE45" s="141"/>
      <c r="HF45" s="141"/>
      <c r="HG45" s="141"/>
      <c r="HH45" s="141"/>
      <c r="HI45" s="141"/>
      <c r="HJ45" s="141"/>
      <c r="HK45" s="141"/>
      <c r="HL45" s="141"/>
      <c r="HM45" s="141"/>
      <c r="HN45" s="141"/>
      <c r="HO45" s="141"/>
      <c r="HP45" s="141"/>
      <c r="HQ45" s="141"/>
      <c r="HR45" s="141"/>
      <c r="HS45" s="141"/>
      <c r="HT45" s="141"/>
      <c r="HU45" s="141"/>
      <c r="HV45" s="141"/>
      <c r="HW45" s="141"/>
      <c r="HX45" s="141"/>
      <c r="HY45" s="141"/>
      <c r="HZ45" s="141"/>
      <c r="IA45" s="141"/>
      <c r="IB45" s="141"/>
      <c r="IC45" s="141"/>
      <c r="ID45" s="141"/>
      <c r="IE45" s="141"/>
      <c r="IF45" s="141"/>
      <c r="IG45" s="141"/>
      <c r="IH45" s="141"/>
      <c r="II45" s="141"/>
      <c r="IJ45" s="141"/>
      <c r="IK45" s="141"/>
      <c r="IL45" s="141"/>
      <c r="IM45" s="141"/>
      <c r="IN45" s="141"/>
      <c r="IO45" s="141"/>
      <c r="IP45" s="141"/>
      <c r="IQ45" s="141"/>
      <c r="IR45" s="141"/>
      <c r="IS45" s="141"/>
      <c r="IT45" s="141"/>
      <c r="IU45" s="141"/>
      <c r="IV45" s="141"/>
      <c r="IW45" s="141"/>
      <c r="IX45" s="141"/>
      <c r="IY45" s="141"/>
      <c r="IZ45" s="141"/>
      <c r="JA45" s="141"/>
      <c r="JB45" s="141"/>
      <c r="JC45" s="141"/>
      <c r="JD45" s="141"/>
      <c r="JE45" s="141"/>
      <c r="JF45" s="141"/>
      <c r="JG45" s="141"/>
      <c r="JH45" s="141"/>
      <c r="JI45" s="141"/>
      <c r="JJ45" s="141"/>
      <c r="JK45" s="141"/>
      <c r="JL45" s="141"/>
      <c r="JM45" s="141"/>
      <c r="JN45" s="141"/>
      <c r="JO45" s="141"/>
      <c r="JP45" s="141"/>
      <c r="JQ45" s="141"/>
      <c r="JR45" s="141"/>
      <c r="JS45" s="141"/>
      <c r="JT45" s="141"/>
      <c r="JU45" s="141"/>
      <c r="JV45" s="141"/>
      <c r="JW45" s="141"/>
      <c r="JX45" s="141"/>
      <c r="JY45" s="141"/>
      <c r="JZ45" s="141"/>
      <c r="KA45" s="141"/>
      <c r="KB45" s="141"/>
      <c r="KC45" s="141"/>
      <c r="KD45" s="141"/>
      <c r="KE45" s="141"/>
      <c r="KF45" s="141"/>
      <c r="KG45" s="141"/>
      <c r="KH45" s="141"/>
      <c r="KI45" s="141"/>
      <c r="KJ45" s="141"/>
      <c r="KK45" s="141"/>
      <c r="KL45" s="141"/>
      <c r="KM45" s="141"/>
      <c r="KN45" s="141"/>
    </row>
    <row r="46" spans="1:300" s="3" customFormat="1" ht="31.5" customHeight="1">
      <c r="A46" s="148"/>
      <c r="B46" s="8"/>
      <c r="C46" s="36"/>
      <c r="D46" s="36"/>
      <c r="E46" s="35"/>
      <c r="F46" s="35"/>
      <c r="G46" s="35"/>
      <c r="H46" s="151"/>
      <c r="I46" s="153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  <c r="CK46" s="141"/>
      <c r="CL46" s="141"/>
      <c r="CM46" s="141"/>
      <c r="CN46" s="141"/>
      <c r="CO46" s="141"/>
      <c r="CP46" s="141"/>
      <c r="CQ46" s="141"/>
      <c r="CR46" s="141"/>
      <c r="CS46" s="141"/>
      <c r="CT46" s="141"/>
      <c r="CU46" s="141"/>
      <c r="CV46" s="141"/>
      <c r="CW46" s="141"/>
      <c r="CX46" s="141"/>
      <c r="CY46" s="141"/>
      <c r="CZ46" s="141"/>
      <c r="DA46" s="141"/>
      <c r="DB46" s="141"/>
      <c r="DC46" s="141"/>
      <c r="DD46" s="141"/>
      <c r="DE46" s="141"/>
      <c r="DF46" s="141"/>
      <c r="DG46" s="141"/>
      <c r="DH46" s="141"/>
      <c r="DI46" s="141"/>
      <c r="DJ46" s="141"/>
      <c r="DK46" s="141"/>
      <c r="DL46" s="141"/>
      <c r="DM46" s="141"/>
      <c r="DN46" s="141"/>
      <c r="DO46" s="141"/>
      <c r="DP46" s="141"/>
      <c r="DQ46" s="141"/>
      <c r="DR46" s="141"/>
      <c r="DS46" s="141"/>
      <c r="DT46" s="141"/>
      <c r="DU46" s="141"/>
      <c r="DV46" s="141"/>
      <c r="DW46" s="141"/>
      <c r="DX46" s="141"/>
      <c r="DY46" s="141"/>
      <c r="DZ46" s="141"/>
      <c r="EA46" s="141"/>
      <c r="EB46" s="141"/>
      <c r="EC46" s="141"/>
      <c r="ED46" s="141"/>
      <c r="EE46" s="141"/>
      <c r="EF46" s="141"/>
      <c r="EG46" s="141"/>
      <c r="EH46" s="141"/>
      <c r="EI46" s="141"/>
      <c r="EJ46" s="141"/>
      <c r="EK46" s="141"/>
      <c r="EL46" s="141"/>
      <c r="EM46" s="141"/>
      <c r="EN46" s="141"/>
      <c r="EO46" s="141"/>
      <c r="EP46" s="141"/>
      <c r="EQ46" s="141"/>
      <c r="ER46" s="141"/>
      <c r="ES46" s="141"/>
      <c r="ET46" s="141"/>
      <c r="EU46" s="141"/>
      <c r="EV46" s="141"/>
      <c r="EW46" s="141"/>
      <c r="EX46" s="141"/>
      <c r="EY46" s="141"/>
      <c r="EZ46" s="141"/>
      <c r="FA46" s="141"/>
      <c r="FB46" s="141"/>
      <c r="FC46" s="141"/>
      <c r="FD46" s="141"/>
      <c r="FE46" s="141"/>
      <c r="FF46" s="141"/>
      <c r="FG46" s="141"/>
      <c r="FH46" s="141"/>
      <c r="FI46" s="141"/>
      <c r="FJ46" s="141"/>
      <c r="FK46" s="141"/>
      <c r="FL46" s="141"/>
      <c r="FM46" s="141"/>
      <c r="FN46" s="141"/>
      <c r="FO46" s="141"/>
      <c r="FP46" s="141"/>
      <c r="FQ46" s="141"/>
      <c r="FR46" s="141"/>
      <c r="FS46" s="141"/>
      <c r="FT46" s="141"/>
      <c r="FU46" s="141"/>
      <c r="FV46" s="141"/>
      <c r="FW46" s="141"/>
      <c r="FX46" s="141"/>
      <c r="FY46" s="141"/>
      <c r="FZ46" s="141"/>
      <c r="GA46" s="141"/>
      <c r="GB46" s="141"/>
      <c r="GC46" s="141"/>
      <c r="GD46" s="141"/>
      <c r="GE46" s="141"/>
      <c r="GF46" s="141"/>
      <c r="GG46" s="141"/>
      <c r="GH46" s="141"/>
      <c r="GI46" s="141"/>
      <c r="GJ46" s="141"/>
      <c r="GK46" s="141"/>
      <c r="GL46" s="141"/>
      <c r="GM46" s="141"/>
      <c r="GN46" s="141"/>
      <c r="GO46" s="141"/>
      <c r="GP46" s="141"/>
      <c r="GQ46" s="141"/>
      <c r="GR46" s="141"/>
      <c r="GS46" s="141"/>
      <c r="GT46" s="141"/>
      <c r="GU46" s="141"/>
      <c r="GV46" s="141"/>
      <c r="GW46" s="141"/>
      <c r="GX46" s="141"/>
      <c r="GY46" s="141"/>
      <c r="GZ46" s="141"/>
      <c r="HA46" s="141"/>
      <c r="HB46" s="141"/>
      <c r="HC46" s="141"/>
      <c r="HD46" s="141"/>
      <c r="HE46" s="141"/>
      <c r="HF46" s="141"/>
      <c r="HG46" s="141"/>
      <c r="HH46" s="141"/>
      <c r="HI46" s="141"/>
      <c r="HJ46" s="141"/>
      <c r="HK46" s="141"/>
      <c r="HL46" s="141"/>
      <c r="HM46" s="141"/>
      <c r="HN46" s="141"/>
      <c r="HO46" s="141"/>
      <c r="HP46" s="141"/>
      <c r="HQ46" s="141"/>
      <c r="HR46" s="141"/>
      <c r="HS46" s="141"/>
      <c r="HT46" s="141"/>
      <c r="HU46" s="141"/>
      <c r="HV46" s="141"/>
      <c r="HW46" s="141"/>
      <c r="HX46" s="141"/>
      <c r="HY46" s="141"/>
      <c r="HZ46" s="141"/>
      <c r="IA46" s="141"/>
      <c r="IB46" s="141"/>
      <c r="IC46" s="141"/>
      <c r="ID46" s="141"/>
      <c r="IE46" s="141"/>
      <c r="IF46" s="141"/>
      <c r="IG46" s="141"/>
      <c r="IH46" s="141"/>
      <c r="II46" s="141"/>
      <c r="IJ46" s="141"/>
      <c r="IK46" s="141"/>
      <c r="IL46" s="141"/>
      <c r="IM46" s="141"/>
      <c r="IN46" s="141"/>
      <c r="IO46" s="141"/>
      <c r="IP46" s="141"/>
      <c r="IQ46" s="141"/>
      <c r="IR46" s="141"/>
      <c r="IS46" s="141"/>
      <c r="IT46" s="141"/>
      <c r="IU46" s="141"/>
      <c r="IV46" s="141"/>
      <c r="IW46" s="141"/>
      <c r="IX46" s="141"/>
      <c r="IY46" s="141"/>
      <c r="IZ46" s="141"/>
      <c r="JA46" s="141"/>
      <c r="JB46" s="141"/>
      <c r="JC46" s="141"/>
      <c r="JD46" s="141"/>
      <c r="JE46" s="141"/>
      <c r="JF46" s="141"/>
      <c r="JG46" s="141"/>
      <c r="JH46" s="141"/>
      <c r="JI46" s="141"/>
      <c r="JJ46" s="141"/>
      <c r="JK46" s="141"/>
      <c r="JL46" s="141"/>
      <c r="JM46" s="141"/>
      <c r="JN46" s="141"/>
      <c r="JO46" s="141"/>
      <c r="JP46" s="141"/>
      <c r="JQ46" s="141"/>
      <c r="JR46" s="141"/>
      <c r="JS46" s="141"/>
      <c r="JT46" s="141"/>
      <c r="JU46" s="141"/>
      <c r="JV46" s="141"/>
      <c r="JW46" s="141"/>
      <c r="JX46" s="141"/>
      <c r="JY46" s="141"/>
      <c r="JZ46" s="141"/>
      <c r="KA46" s="141"/>
      <c r="KB46" s="141"/>
      <c r="KC46" s="141"/>
      <c r="KD46" s="141"/>
      <c r="KE46" s="141"/>
      <c r="KF46" s="141"/>
      <c r="KG46" s="141"/>
      <c r="KH46" s="141"/>
      <c r="KI46" s="141"/>
      <c r="KJ46" s="141"/>
      <c r="KK46" s="141"/>
      <c r="KL46" s="141"/>
      <c r="KM46" s="141"/>
      <c r="KN46" s="141"/>
    </row>
    <row r="47" spans="1:300" s="3" customFormat="1" ht="31.5" customHeight="1">
      <c r="A47" s="148"/>
      <c r="B47" s="8"/>
      <c r="C47" s="36"/>
      <c r="D47" s="36"/>
      <c r="E47" s="35"/>
      <c r="F47" s="35"/>
      <c r="G47" s="35"/>
      <c r="H47" s="151"/>
      <c r="I47" s="153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  <c r="CK47" s="141"/>
      <c r="CL47" s="141"/>
      <c r="CM47" s="141"/>
      <c r="CN47" s="141"/>
      <c r="CO47" s="141"/>
      <c r="CP47" s="141"/>
      <c r="CQ47" s="141"/>
      <c r="CR47" s="141"/>
      <c r="CS47" s="141"/>
      <c r="CT47" s="141"/>
      <c r="CU47" s="141"/>
      <c r="CV47" s="141"/>
      <c r="CW47" s="141"/>
      <c r="CX47" s="141"/>
      <c r="CY47" s="141"/>
      <c r="CZ47" s="141"/>
      <c r="DA47" s="141"/>
      <c r="DB47" s="141"/>
      <c r="DC47" s="141"/>
      <c r="DD47" s="141"/>
      <c r="DE47" s="141"/>
      <c r="DF47" s="141"/>
      <c r="DG47" s="141"/>
      <c r="DH47" s="141"/>
      <c r="DI47" s="141"/>
      <c r="DJ47" s="141"/>
      <c r="DK47" s="141"/>
      <c r="DL47" s="141"/>
      <c r="DM47" s="141"/>
      <c r="DN47" s="141"/>
      <c r="DO47" s="141"/>
      <c r="DP47" s="141"/>
      <c r="DQ47" s="141"/>
      <c r="DR47" s="141"/>
      <c r="DS47" s="141"/>
      <c r="DT47" s="141"/>
      <c r="DU47" s="141"/>
      <c r="DV47" s="141"/>
      <c r="DW47" s="141"/>
      <c r="DX47" s="141"/>
      <c r="DY47" s="141"/>
      <c r="DZ47" s="141"/>
      <c r="EA47" s="141"/>
      <c r="EB47" s="141"/>
      <c r="EC47" s="141"/>
      <c r="ED47" s="141"/>
      <c r="EE47" s="141"/>
      <c r="EF47" s="141"/>
      <c r="EG47" s="141"/>
      <c r="EH47" s="141"/>
      <c r="EI47" s="141"/>
      <c r="EJ47" s="141"/>
      <c r="EK47" s="141"/>
      <c r="EL47" s="141"/>
      <c r="EM47" s="141"/>
      <c r="EN47" s="141"/>
      <c r="EO47" s="141"/>
      <c r="EP47" s="141"/>
      <c r="EQ47" s="141"/>
      <c r="ER47" s="141"/>
      <c r="ES47" s="141"/>
      <c r="ET47" s="141"/>
      <c r="EU47" s="141"/>
      <c r="EV47" s="141"/>
      <c r="EW47" s="141"/>
      <c r="EX47" s="141"/>
      <c r="EY47" s="141"/>
      <c r="EZ47" s="141"/>
      <c r="FA47" s="141"/>
      <c r="FB47" s="141"/>
      <c r="FC47" s="141"/>
      <c r="FD47" s="141"/>
      <c r="FE47" s="141"/>
      <c r="FF47" s="141"/>
      <c r="FG47" s="141"/>
      <c r="FH47" s="141"/>
      <c r="FI47" s="141"/>
      <c r="FJ47" s="141"/>
      <c r="FK47" s="141"/>
      <c r="FL47" s="141"/>
      <c r="FM47" s="141"/>
      <c r="FN47" s="141"/>
      <c r="FO47" s="141"/>
      <c r="FP47" s="141"/>
      <c r="FQ47" s="141"/>
      <c r="FR47" s="141"/>
      <c r="FS47" s="141"/>
      <c r="FT47" s="141"/>
      <c r="FU47" s="141"/>
      <c r="FV47" s="141"/>
      <c r="FW47" s="141"/>
      <c r="FX47" s="141"/>
      <c r="FY47" s="141"/>
      <c r="FZ47" s="141"/>
      <c r="GA47" s="141"/>
      <c r="GB47" s="141"/>
      <c r="GC47" s="141"/>
      <c r="GD47" s="141"/>
      <c r="GE47" s="141"/>
      <c r="GF47" s="141"/>
      <c r="GG47" s="141"/>
      <c r="GH47" s="141"/>
      <c r="GI47" s="141"/>
      <c r="GJ47" s="141"/>
      <c r="GK47" s="141"/>
      <c r="GL47" s="141"/>
      <c r="GM47" s="141"/>
      <c r="GN47" s="141"/>
      <c r="GO47" s="141"/>
      <c r="GP47" s="141"/>
      <c r="GQ47" s="141"/>
      <c r="GR47" s="141"/>
      <c r="GS47" s="141"/>
      <c r="GT47" s="141"/>
      <c r="GU47" s="141"/>
      <c r="GV47" s="141"/>
      <c r="GW47" s="141"/>
      <c r="GX47" s="141"/>
      <c r="GY47" s="141"/>
      <c r="GZ47" s="141"/>
      <c r="HA47" s="141"/>
      <c r="HB47" s="141"/>
      <c r="HC47" s="141"/>
      <c r="HD47" s="141"/>
      <c r="HE47" s="141"/>
      <c r="HF47" s="141"/>
      <c r="HG47" s="141"/>
      <c r="HH47" s="141"/>
      <c r="HI47" s="141"/>
      <c r="HJ47" s="141"/>
      <c r="HK47" s="141"/>
      <c r="HL47" s="141"/>
      <c r="HM47" s="141"/>
      <c r="HN47" s="141"/>
      <c r="HO47" s="141"/>
      <c r="HP47" s="141"/>
      <c r="HQ47" s="141"/>
      <c r="HR47" s="141"/>
      <c r="HS47" s="141"/>
      <c r="HT47" s="141"/>
      <c r="HU47" s="141"/>
      <c r="HV47" s="141"/>
      <c r="HW47" s="141"/>
      <c r="HX47" s="141"/>
      <c r="HY47" s="141"/>
      <c r="HZ47" s="141"/>
      <c r="IA47" s="141"/>
      <c r="IB47" s="141"/>
      <c r="IC47" s="141"/>
      <c r="ID47" s="141"/>
      <c r="IE47" s="141"/>
      <c r="IF47" s="141"/>
      <c r="IG47" s="141"/>
      <c r="IH47" s="141"/>
      <c r="II47" s="141"/>
      <c r="IJ47" s="141"/>
      <c r="IK47" s="141"/>
      <c r="IL47" s="141"/>
      <c r="IM47" s="141"/>
      <c r="IN47" s="141"/>
      <c r="IO47" s="141"/>
      <c r="IP47" s="141"/>
      <c r="IQ47" s="141"/>
      <c r="IR47" s="141"/>
      <c r="IS47" s="141"/>
      <c r="IT47" s="141"/>
      <c r="IU47" s="141"/>
      <c r="IV47" s="141"/>
      <c r="IW47" s="141"/>
      <c r="IX47" s="141"/>
      <c r="IY47" s="141"/>
      <c r="IZ47" s="141"/>
      <c r="JA47" s="141"/>
      <c r="JB47" s="141"/>
      <c r="JC47" s="141"/>
      <c r="JD47" s="141"/>
      <c r="JE47" s="141"/>
      <c r="JF47" s="141"/>
      <c r="JG47" s="141"/>
      <c r="JH47" s="141"/>
      <c r="JI47" s="141"/>
      <c r="JJ47" s="141"/>
      <c r="JK47" s="141"/>
      <c r="JL47" s="141"/>
      <c r="JM47" s="141"/>
      <c r="JN47" s="141"/>
      <c r="JO47" s="141"/>
      <c r="JP47" s="141"/>
      <c r="JQ47" s="141"/>
      <c r="JR47" s="141"/>
      <c r="JS47" s="141"/>
      <c r="JT47" s="141"/>
      <c r="JU47" s="141"/>
      <c r="JV47" s="141"/>
      <c r="JW47" s="141"/>
      <c r="JX47" s="141"/>
      <c r="JY47" s="141"/>
      <c r="JZ47" s="141"/>
      <c r="KA47" s="141"/>
      <c r="KB47" s="141"/>
      <c r="KC47" s="141"/>
      <c r="KD47" s="141"/>
      <c r="KE47" s="141"/>
      <c r="KF47" s="141"/>
      <c r="KG47" s="141"/>
      <c r="KH47" s="141"/>
      <c r="KI47" s="141"/>
      <c r="KJ47" s="141"/>
      <c r="KK47" s="141"/>
      <c r="KL47" s="141"/>
      <c r="KM47" s="141"/>
      <c r="KN47" s="141"/>
    </row>
    <row r="48" spans="1:300" s="3" customFormat="1" ht="31.5" customHeight="1">
      <c r="A48" s="148"/>
      <c r="B48" s="8"/>
      <c r="C48" s="36"/>
      <c r="D48" s="36"/>
      <c r="E48" s="35"/>
      <c r="F48" s="35"/>
      <c r="G48" s="35"/>
      <c r="H48" s="151"/>
      <c r="I48" s="15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  <c r="CK48" s="141"/>
      <c r="CL48" s="141"/>
      <c r="CM48" s="141"/>
      <c r="CN48" s="141"/>
      <c r="CO48" s="141"/>
      <c r="CP48" s="141"/>
      <c r="CQ48" s="141"/>
      <c r="CR48" s="141"/>
      <c r="CS48" s="141"/>
      <c r="CT48" s="141"/>
      <c r="CU48" s="141"/>
      <c r="CV48" s="141"/>
      <c r="CW48" s="141"/>
      <c r="CX48" s="141"/>
      <c r="CY48" s="141"/>
      <c r="CZ48" s="141"/>
      <c r="DA48" s="141"/>
      <c r="DB48" s="141"/>
      <c r="DC48" s="141"/>
      <c r="DD48" s="141"/>
      <c r="DE48" s="141"/>
      <c r="DF48" s="141"/>
      <c r="DG48" s="141"/>
      <c r="DH48" s="141"/>
      <c r="DI48" s="141"/>
      <c r="DJ48" s="141"/>
      <c r="DK48" s="141"/>
      <c r="DL48" s="141"/>
      <c r="DM48" s="141"/>
      <c r="DN48" s="141"/>
      <c r="DO48" s="141"/>
      <c r="DP48" s="141"/>
      <c r="DQ48" s="141"/>
      <c r="DR48" s="141"/>
      <c r="DS48" s="141"/>
      <c r="DT48" s="141"/>
      <c r="DU48" s="141"/>
      <c r="DV48" s="141"/>
      <c r="DW48" s="141"/>
      <c r="DX48" s="141"/>
      <c r="DY48" s="141"/>
      <c r="DZ48" s="141"/>
      <c r="EA48" s="141"/>
      <c r="EB48" s="141"/>
      <c r="EC48" s="141"/>
      <c r="ED48" s="141"/>
      <c r="EE48" s="141"/>
      <c r="EF48" s="141"/>
      <c r="EG48" s="141"/>
      <c r="EH48" s="141"/>
      <c r="EI48" s="141"/>
      <c r="EJ48" s="141"/>
      <c r="EK48" s="141"/>
      <c r="EL48" s="141"/>
      <c r="EM48" s="141"/>
      <c r="EN48" s="141"/>
      <c r="EO48" s="141"/>
      <c r="EP48" s="141"/>
      <c r="EQ48" s="141"/>
      <c r="ER48" s="141"/>
      <c r="ES48" s="141"/>
      <c r="ET48" s="141"/>
      <c r="EU48" s="141"/>
      <c r="EV48" s="141"/>
      <c r="EW48" s="141"/>
      <c r="EX48" s="141"/>
      <c r="EY48" s="141"/>
      <c r="EZ48" s="141"/>
      <c r="FA48" s="141"/>
      <c r="FB48" s="141"/>
      <c r="FC48" s="141"/>
      <c r="FD48" s="141"/>
      <c r="FE48" s="141"/>
      <c r="FF48" s="141"/>
      <c r="FG48" s="141"/>
      <c r="FH48" s="141"/>
      <c r="FI48" s="141"/>
      <c r="FJ48" s="141"/>
      <c r="FK48" s="141"/>
      <c r="FL48" s="141"/>
      <c r="FM48" s="141"/>
      <c r="FN48" s="141"/>
      <c r="FO48" s="141"/>
      <c r="FP48" s="141"/>
      <c r="FQ48" s="141"/>
      <c r="FR48" s="141"/>
      <c r="FS48" s="141"/>
      <c r="FT48" s="141"/>
      <c r="FU48" s="141"/>
      <c r="FV48" s="141"/>
      <c r="FW48" s="141"/>
      <c r="FX48" s="141"/>
      <c r="FY48" s="141"/>
      <c r="FZ48" s="141"/>
      <c r="GA48" s="141"/>
      <c r="GB48" s="141"/>
      <c r="GC48" s="141"/>
      <c r="GD48" s="141"/>
      <c r="GE48" s="141"/>
      <c r="GF48" s="141"/>
      <c r="GG48" s="141"/>
      <c r="GH48" s="141"/>
      <c r="GI48" s="141"/>
      <c r="GJ48" s="141"/>
      <c r="GK48" s="141"/>
      <c r="GL48" s="141"/>
      <c r="GM48" s="141"/>
      <c r="GN48" s="141"/>
      <c r="GO48" s="141"/>
      <c r="GP48" s="141"/>
      <c r="GQ48" s="141"/>
      <c r="GR48" s="141"/>
      <c r="GS48" s="141"/>
      <c r="GT48" s="141"/>
      <c r="GU48" s="141"/>
      <c r="GV48" s="141"/>
      <c r="GW48" s="141"/>
      <c r="GX48" s="141"/>
      <c r="GY48" s="141"/>
      <c r="GZ48" s="141"/>
      <c r="HA48" s="141"/>
      <c r="HB48" s="141"/>
      <c r="HC48" s="141"/>
      <c r="HD48" s="141"/>
      <c r="HE48" s="141"/>
      <c r="HF48" s="141"/>
      <c r="HG48" s="141"/>
      <c r="HH48" s="141"/>
      <c r="HI48" s="141"/>
      <c r="HJ48" s="141"/>
      <c r="HK48" s="141"/>
      <c r="HL48" s="141"/>
      <c r="HM48" s="141"/>
      <c r="HN48" s="141"/>
      <c r="HO48" s="141"/>
      <c r="HP48" s="141"/>
      <c r="HQ48" s="141"/>
      <c r="HR48" s="141"/>
      <c r="HS48" s="141"/>
      <c r="HT48" s="141"/>
      <c r="HU48" s="141"/>
      <c r="HV48" s="141"/>
      <c r="HW48" s="141"/>
      <c r="HX48" s="141"/>
      <c r="HY48" s="141"/>
      <c r="HZ48" s="141"/>
      <c r="IA48" s="141"/>
      <c r="IB48" s="141"/>
      <c r="IC48" s="141"/>
      <c r="ID48" s="141"/>
      <c r="IE48" s="141"/>
      <c r="IF48" s="141"/>
      <c r="IG48" s="141"/>
      <c r="IH48" s="141"/>
      <c r="II48" s="141"/>
      <c r="IJ48" s="141"/>
      <c r="IK48" s="141"/>
      <c r="IL48" s="141"/>
      <c r="IM48" s="141"/>
      <c r="IN48" s="141"/>
      <c r="IO48" s="141"/>
      <c r="IP48" s="141"/>
      <c r="IQ48" s="141"/>
      <c r="IR48" s="141"/>
      <c r="IS48" s="141"/>
      <c r="IT48" s="141"/>
      <c r="IU48" s="141"/>
      <c r="IV48" s="141"/>
      <c r="IW48" s="141"/>
      <c r="IX48" s="141"/>
      <c r="IY48" s="141"/>
      <c r="IZ48" s="141"/>
      <c r="JA48" s="141"/>
      <c r="JB48" s="141"/>
      <c r="JC48" s="141"/>
      <c r="JD48" s="141"/>
      <c r="JE48" s="141"/>
      <c r="JF48" s="141"/>
      <c r="JG48" s="141"/>
      <c r="JH48" s="141"/>
      <c r="JI48" s="141"/>
      <c r="JJ48" s="141"/>
      <c r="JK48" s="141"/>
      <c r="JL48" s="141"/>
      <c r="JM48" s="141"/>
      <c r="JN48" s="141"/>
      <c r="JO48" s="141"/>
      <c r="JP48" s="141"/>
      <c r="JQ48" s="141"/>
      <c r="JR48" s="141"/>
      <c r="JS48" s="141"/>
      <c r="JT48" s="141"/>
      <c r="JU48" s="141"/>
      <c r="JV48" s="141"/>
      <c r="JW48" s="141"/>
      <c r="JX48" s="141"/>
      <c r="JY48" s="141"/>
      <c r="JZ48" s="141"/>
      <c r="KA48" s="141"/>
      <c r="KB48" s="141"/>
      <c r="KC48" s="141"/>
      <c r="KD48" s="141"/>
      <c r="KE48" s="141"/>
      <c r="KF48" s="141"/>
      <c r="KG48" s="141"/>
      <c r="KH48" s="141"/>
      <c r="KI48" s="141"/>
      <c r="KJ48" s="141"/>
      <c r="KK48" s="141"/>
      <c r="KL48" s="141"/>
      <c r="KM48" s="141"/>
      <c r="KN48" s="141"/>
    </row>
    <row r="49" spans="1:300" s="3" customFormat="1" ht="31.5" customHeight="1">
      <c r="A49" s="148"/>
      <c r="B49" s="8"/>
      <c r="C49" s="36"/>
      <c r="D49" s="36"/>
      <c r="E49" s="35"/>
      <c r="F49" s="35"/>
      <c r="G49" s="35"/>
      <c r="H49" s="151"/>
      <c r="I49" s="153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  <c r="CK49" s="141"/>
      <c r="CL49" s="141"/>
      <c r="CM49" s="141"/>
      <c r="CN49" s="141"/>
      <c r="CO49" s="141"/>
      <c r="CP49" s="141"/>
      <c r="CQ49" s="141"/>
      <c r="CR49" s="141"/>
      <c r="CS49" s="141"/>
      <c r="CT49" s="141"/>
      <c r="CU49" s="141"/>
      <c r="CV49" s="141"/>
      <c r="CW49" s="141"/>
      <c r="CX49" s="141"/>
      <c r="CY49" s="141"/>
      <c r="CZ49" s="141"/>
      <c r="DA49" s="141"/>
      <c r="DB49" s="141"/>
      <c r="DC49" s="141"/>
      <c r="DD49" s="141"/>
      <c r="DE49" s="141"/>
      <c r="DF49" s="141"/>
      <c r="DG49" s="141"/>
      <c r="DH49" s="141"/>
      <c r="DI49" s="141"/>
      <c r="DJ49" s="141"/>
      <c r="DK49" s="141"/>
      <c r="DL49" s="141"/>
      <c r="DM49" s="141"/>
      <c r="DN49" s="141"/>
      <c r="DO49" s="141"/>
      <c r="DP49" s="141"/>
      <c r="DQ49" s="141"/>
      <c r="DR49" s="141"/>
      <c r="DS49" s="141"/>
      <c r="DT49" s="141"/>
      <c r="DU49" s="141"/>
      <c r="DV49" s="141"/>
      <c r="DW49" s="141"/>
      <c r="DX49" s="141"/>
      <c r="DY49" s="141"/>
      <c r="DZ49" s="141"/>
      <c r="EA49" s="141"/>
      <c r="EB49" s="141"/>
      <c r="EC49" s="141"/>
      <c r="ED49" s="141"/>
      <c r="EE49" s="141"/>
      <c r="EF49" s="141"/>
      <c r="EG49" s="141"/>
      <c r="EH49" s="141"/>
      <c r="EI49" s="141"/>
      <c r="EJ49" s="141"/>
      <c r="EK49" s="141"/>
      <c r="EL49" s="141"/>
      <c r="EM49" s="141"/>
      <c r="EN49" s="141"/>
      <c r="EO49" s="141"/>
      <c r="EP49" s="141"/>
      <c r="EQ49" s="141"/>
      <c r="ER49" s="141"/>
      <c r="ES49" s="141"/>
      <c r="ET49" s="141"/>
      <c r="EU49" s="141"/>
      <c r="EV49" s="141"/>
      <c r="EW49" s="141"/>
      <c r="EX49" s="141"/>
      <c r="EY49" s="141"/>
      <c r="EZ49" s="141"/>
      <c r="FA49" s="141"/>
      <c r="FB49" s="141"/>
      <c r="FC49" s="141"/>
      <c r="FD49" s="141"/>
      <c r="FE49" s="141"/>
      <c r="FF49" s="141"/>
      <c r="FG49" s="141"/>
      <c r="FH49" s="141"/>
      <c r="FI49" s="141"/>
      <c r="FJ49" s="141"/>
      <c r="FK49" s="141"/>
      <c r="FL49" s="141"/>
      <c r="FM49" s="141"/>
      <c r="FN49" s="141"/>
      <c r="FO49" s="141"/>
      <c r="FP49" s="141"/>
      <c r="FQ49" s="141"/>
      <c r="FR49" s="141"/>
      <c r="FS49" s="141"/>
      <c r="FT49" s="141"/>
      <c r="FU49" s="141"/>
      <c r="FV49" s="141"/>
      <c r="FW49" s="141"/>
      <c r="FX49" s="141"/>
      <c r="FY49" s="141"/>
      <c r="FZ49" s="141"/>
      <c r="GA49" s="141"/>
      <c r="GB49" s="141"/>
      <c r="GC49" s="141"/>
      <c r="GD49" s="141"/>
      <c r="GE49" s="141"/>
      <c r="GF49" s="141"/>
      <c r="GG49" s="141"/>
      <c r="GH49" s="141"/>
      <c r="GI49" s="141"/>
      <c r="GJ49" s="141"/>
      <c r="GK49" s="141"/>
      <c r="GL49" s="141"/>
      <c r="GM49" s="141"/>
      <c r="GN49" s="141"/>
      <c r="GO49" s="141"/>
      <c r="GP49" s="141"/>
      <c r="GQ49" s="141"/>
      <c r="GR49" s="141"/>
      <c r="GS49" s="141"/>
      <c r="GT49" s="141"/>
      <c r="GU49" s="141"/>
      <c r="GV49" s="141"/>
      <c r="GW49" s="141"/>
      <c r="GX49" s="141"/>
      <c r="GY49" s="141"/>
      <c r="GZ49" s="141"/>
      <c r="HA49" s="141"/>
      <c r="HB49" s="141"/>
      <c r="HC49" s="141"/>
      <c r="HD49" s="141"/>
      <c r="HE49" s="141"/>
      <c r="HF49" s="141"/>
      <c r="HG49" s="141"/>
      <c r="HH49" s="141"/>
      <c r="HI49" s="141"/>
      <c r="HJ49" s="141"/>
      <c r="HK49" s="141"/>
      <c r="HL49" s="141"/>
      <c r="HM49" s="141"/>
      <c r="HN49" s="141"/>
      <c r="HO49" s="141"/>
      <c r="HP49" s="141"/>
      <c r="HQ49" s="141"/>
      <c r="HR49" s="141"/>
      <c r="HS49" s="141"/>
      <c r="HT49" s="141"/>
      <c r="HU49" s="141"/>
      <c r="HV49" s="141"/>
      <c r="HW49" s="141"/>
      <c r="HX49" s="141"/>
      <c r="HY49" s="141"/>
      <c r="HZ49" s="141"/>
      <c r="IA49" s="141"/>
      <c r="IB49" s="141"/>
      <c r="IC49" s="141"/>
      <c r="ID49" s="141"/>
      <c r="IE49" s="141"/>
      <c r="IF49" s="141"/>
      <c r="IG49" s="141"/>
      <c r="IH49" s="141"/>
      <c r="II49" s="141"/>
      <c r="IJ49" s="141"/>
      <c r="IK49" s="141"/>
      <c r="IL49" s="141"/>
      <c r="IM49" s="141"/>
      <c r="IN49" s="141"/>
      <c r="IO49" s="141"/>
      <c r="IP49" s="141"/>
      <c r="IQ49" s="141"/>
      <c r="IR49" s="141"/>
      <c r="IS49" s="141"/>
      <c r="IT49" s="141"/>
      <c r="IU49" s="141"/>
      <c r="IV49" s="141"/>
      <c r="IW49" s="141"/>
      <c r="IX49" s="141"/>
      <c r="IY49" s="141"/>
      <c r="IZ49" s="141"/>
      <c r="JA49" s="141"/>
      <c r="JB49" s="141"/>
      <c r="JC49" s="141"/>
      <c r="JD49" s="141"/>
      <c r="JE49" s="141"/>
      <c r="JF49" s="141"/>
      <c r="JG49" s="141"/>
      <c r="JH49" s="141"/>
      <c r="JI49" s="141"/>
      <c r="JJ49" s="141"/>
      <c r="JK49" s="141"/>
      <c r="JL49" s="141"/>
      <c r="JM49" s="141"/>
      <c r="JN49" s="141"/>
      <c r="JO49" s="141"/>
      <c r="JP49" s="141"/>
      <c r="JQ49" s="141"/>
      <c r="JR49" s="141"/>
      <c r="JS49" s="141"/>
      <c r="JT49" s="141"/>
      <c r="JU49" s="141"/>
      <c r="JV49" s="141"/>
      <c r="JW49" s="141"/>
      <c r="JX49" s="141"/>
      <c r="JY49" s="141"/>
      <c r="JZ49" s="141"/>
      <c r="KA49" s="141"/>
      <c r="KB49" s="141"/>
      <c r="KC49" s="141"/>
      <c r="KD49" s="141"/>
      <c r="KE49" s="141"/>
      <c r="KF49" s="141"/>
      <c r="KG49" s="141"/>
      <c r="KH49" s="141"/>
      <c r="KI49" s="141"/>
      <c r="KJ49" s="141"/>
      <c r="KK49" s="141"/>
      <c r="KL49" s="141"/>
      <c r="KM49" s="141"/>
      <c r="KN49" s="141"/>
    </row>
    <row r="50" spans="1:300" s="3" customFormat="1" ht="31.5" customHeight="1">
      <c r="A50" s="148"/>
      <c r="B50" s="8"/>
      <c r="C50" s="36"/>
      <c r="D50" s="36"/>
      <c r="E50" s="35"/>
      <c r="F50" s="35"/>
      <c r="G50" s="35"/>
      <c r="H50" s="151"/>
      <c r="I50" s="153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  <c r="CK50" s="141"/>
      <c r="CL50" s="141"/>
      <c r="CM50" s="141"/>
      <c r="CN50" s="141"/>
      <c r="CO50" s="141"/>
      <c r="CP50" s="141"/>
      <c r="CQ50" s="141"/>
      <c r="CR50" s="141"/>
      <c r="CS50" s="141"/>
      <c r="CT50" s="141"/>
      <c r="CU50" s="141"/>
      <c r="CV50" s="141"/>
      <c r="CW50" s="141"/>
      <c r="CX50" s="141"/>
      <c r="CY50" s="141"/>
      <c r="CZ50" s="141"/>
      <c r="DA50" s="141"/>
      <c r="DB50" s="141"/>
      <c r="DC50" s="141"/>
      <c r="DD50" s="141"/>
      <c r="DE50" s="141"/>
      <c r="DF50" s="141"/>
      <c r="DG50" s="141"/>
      <c r="DH50" s="141"/>
      <c r="DI50" s="141"/>
      <c r="DJ50" s="141"/>
      <c r="DK50" s="141"/>
      <c r="DL50" s="141"/>
      <c r="DM50" s="141"/>
      <c r="DN50" s="141"/>
      <c r="DO50" s="141"/>
      <c r="DP50" s="141"/>
      <c r="DQ50" s="141"/>
      <c r="DR50" s="141"/>
      <c r="DS50" s="141"/>
      <c r="DT50" s="141"/>
      <c r="DU50" s="141"/>
      <c r="DV50" s="141"/>
      <c r="DW50" s="141"/>
      <c r="DX50" s="141"/>
      <c r="DY50" s="141"/>
      <c r="DZ50" s="141"/>
      <c r="EA50" s="141"/>
      <c r="EB50" s="141"/>
      <c r="EC50" s="141"/>
      <c r="ED50" s="141"/>
      <c r="EE50" s="141"/>
      <c r="EF50" s="141"/>
      <c r="EG50" s="141"/>
      <c r="EH50" s="141"/>
      <c r="EI50" s="141"/>
      <c r="EJ50" s="141"/>
      <c r="EK50" s="141"/>
      <c r="EL50" s="141"/>
      <c r="EM50" s="141"/>
      <c r="EN50" s="141"/>
      <c r="EO50" s="141"/>
      <c r="EP50" s="141"/>
      <c r="EQ50" s="141"/>
      <c r="ER50" s="141"/>
      <c r="ES50" s="141"/>
      <c r="ET50" s="141"/>
      <c r="EU50" s="141"/>
      <c r="EV50" s="141"/>
      <c r="EW50" s="141"/>
      <c r="EX50" s="141"/>
      <c r="EY50" s="141"/>
      <c r="EZ50" s="141"/>
      <c r="FA50" s="141"/>
      <c r="FB50" s="141"/>
      <c r="FC50" s="141"/>
      <c r="FD50" s="141"/>
      <c r="FE50" s="141"/>
      <c r="FF50" s="141"/>
      <c r="FG50" s="141"/>
      <c r="FH50" s="141"/>
      <c r="FI50" s="141"/>
      <c r="FJ50" s="141"/>
      <c r="FK50" s="141"/>
      <c r="FL50" s="141"/>
      <c r="FM50" s="141"/>
      <c r="FN50" s="141"/>
      <c r="FO50" s="141"/>
      <c r="FP50" s="141"/>
      <c r="FQ50" s="141"/>
      <c r="FR50" s="141"/>
      <c r="FS50" s="141"/>
      <c r="FT50" s="141"/>
      <c r="FU50" s="141"/>
      <c r="FV50" s="141"/>
      <c r="FW50" s="141"/>
      <c r="FX50" s="141"/>
      <c r="FY50" s="141"/>
      <c r="FZ50" s="141"/>
      <c r="GA50" s="141"/>
      <c r="GB50" s="141"/>
      <c r="GC50" s="141"/>
      <c r="GD50" s="141"/>
      <c r="GE50" s="141"/>
      <c r="GF50" s="141"/>
      <c r="GG50" s="141"/>
      <c r="GH50" s="141"/>
      <c r="GI50" s="141"/>
      <c r="GJ50" s="141"/>
      <c r="GK50" s="141"/>
      <c r="GL50" s="141"/>
      <c r="GM50" s="141"/>
      <c r="GN50" s="141"/>
      <c r="GO50" s="141"/>
      <c r="GP50" s="141"/>
      <c r="GQ50" s="141"/>
      <c r="GR50" s="141"/>
      <c r="GS50" s="141"/>
      <c r="GT50" s="141"/>
      <c r="GU50" s="141"/>
      <c r="GV50" s="141"/>
      <c r="GW50" s="141"/>
      <c r="GX50" s="141"/>
      <c r="GY50" s="141"/>
      <c r="GZ50" s="141"/>
      <c r="HA50" s="141"/>
      <c r="HB50" s="141"/>
      <c r="HC50" s="141"/>
      <c r="HD50" s="141"/>
      <c r="HE50" s="141"/>
      <c r="HF50" s="141"/>
      <c r="HG50" s="141"/>
      <c r="HH50" s="141"/>
      <c r="HI50" s="141"/>
      <c r="HJ50" s="141"/>
      <c r="HK50" s="141"/>
      <c r="HL50" s="141"/>
      <c r="HM50" s="141"/>
      <c r="HN50" s="141"/>
      <c r="HO50" s="141"/>
      <c r="HP50" s="141"/>
      <c r="HQ50" s="141"/>
      <c r="HR50" s="141"/>
      <c r="HS50" s="141"/>
      <c r="HT50" s="141"/>
      <c r="HU50" s="141"/>
      <c r="HV50" s="141"/>
      <c r="HW50" s="141"/>
      <c r="HX50" s="141"/>
      <c r="HY50" s="141"/>
      <c r="HZ50" s="141"/>
      <c r="IA50" s="141"/>
      <c r="IB50" s="141"/>
      <c r="IC50" s="141"/>
      <c r="ID50" s="141"/>
      <c r="IE50" s="141"/>
      <c r="IF50" s="141"/>
      <c r="IG50" s="141"/>
      <c r="IH50" s="141"/>
      <c r="II50" s="141"/>
      <c r="IJ50" s="141"/>
      <c r="IK50" s="141"/>
      <c r="IL50" s="141"/>
      <c r="IM50" s="141"/>
      <c r="IN50" s="141"/>
      <c r="IO50" s="141"/>
      <c r="IP50" s="141"/>
      <c r="IQ50" s="141"/>
      <c r="IR50" s="141"/>
      <c r="IS50" s="141"/>
      <c r="IT50" s="141"/>
      <c r="IU50" s="141"/>
      <c r="IV50" s="141"/>
      <c r="IW50" s="141"/>
      <c r="IX50" s="141"/>
      <c r="IY50" s="141"/>
      <c r="IZ50" s="141"/>
      <c r="JA50" s="141"/>
      <c r="JB50" s="141"/>
      <c r="JC50" s="141"/>
      <c r="JD50" s="141"/>
      <c r="JE50" s="141"/>
      <c r="JF50" s="141"/>
      <c r="JG50" s="141"/>
      <c r="JH50" s="141"/>
      <c r="JI50" s="141"/>
      <c r="JJ50" s="141"/>
      <c r="JK50" s="141"/>
      <c r="JL50" s="141"/>
      <c r="JM50" s="141"/>
      <c r="JN50" s="141"/>
      <c r="JO50" s="141"/>
      <c r="JP50" s="141"/>
      <c r="JQ50" s="141"/>
      <c r="JR50" s="141"/>
      <c r="JS50" s="141"/>
      <c r="JT50" s="141"/>
      <c r="JU50" s="141"/>
      <c r="JV50" s="141"/>
      <c r="JW50" s="141"/>
      <c r="JX50" s="141"/>
      <c r="JY50" s="141"/>
      <c r="JZ50" s="141"/>
      <c r="KA50" s="141"/>
      <c r="KB50" s="141"/>
      <c r="KC50" s="141"/>
      <c r="KD50" s="141"/>
      <c r="KE50" s="141"/>
      <c r="KF50" s="141"/>
      <c r="KG50" s="141"/>
      <c r="KH50" s="141"/>
      <c r="KI50" s="141"/>
      <c r="KJ50" s="141"/>
      <c r="KK50" s="141"/>
      <c r="KL50" s="141"/>
      <c r="KM50" s="141"/>
      <c r="KN50" s="141"/>
    </row>
    <row r="51" spans="1:300" s="3" customFormat="1" ht="31.5" customHeight="1">
      <c r="A51" s="148"/>
      <c r="B51" s="8"/>
      <c r="C51" s="36"/>
      <c r="D51" s="36"/>
      <c r="E51" s="35"/>
      <c r="F51" s="35"/>
      <c r="G51" s="35"/>
      <c r="H51" s="151"/>
      <c r="I51" s="153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  <c r="CK51" s="141"/>
      <c r="CL51" s="141"/>
      <c r="CM51" s="141"/>
      <c r="CN51" s="141"/>
      <c r="CO51" s="141"/>
      <c r="CP51" s="141"/>
      <c r="CQ51" s="141"/>
      <c r="CR51" s="141"/>
      <c r="CS51" s="141"/>
      <c r="CT51" s="141"/>
      <c r="CU51" s="141"/>
      <c r="CV51" s="141"/>
      <c r="CW51" s="141"/>
      <c r="CX51" s="141"/>
      <c r="CY51" s="141"/>
      <c r="CZ51" s="141"/>
      <c r="DA51" s="141"/>
      <c r="DB51" s="141"/>
      <c r="DC51" s="141"/>
      <c r="DD51" s="141"/>
      <c r="DE51" s="141"/>
      <c r="DF51" s="141"/>
      <c r="DG51" s="141"/>
      <c r="DH51" s="141"/>
      <c r="DI51" s="141"/>
      <c r="DJ51" s="141"/>
      <c r="DK51" s="141"/>
      <c r="DL51" s="141"/>
      <c r="DM51" s="141"/>
      <c r="DN51" s="141"/>
      <c r="DO51" s="141"/>
      <c r="DP51" s="141"/>
      <c r="DQ51" s="141"/>
      <c r="DR51" s="141"/>
      <c r="DS51" s="141"/>
      <c r="DT51" s="141"/>
      <c r="DU51" s="141"/>
      <c r="DV51" s="141"/>
      <c r="DW51" s="141"/>
      <c r="DX51" s="141"/>
      <c r="DY51" s="141"/>
      <c r="DZ51" s="141"/>
      <c r="EA51" s="141"/>
      <c r="EB51" s="141"/>
      <c r="EC51" s="141"/>
      <c r="ED51" s="141"/>
      <c r="EE51" s="141"/>
      <c r="EF51" s="141"/>
      <c r="EG51" s="141"/>
      <c r="EH51" s="141"/>
      <c r="EI51" s="141"/>
      <c r="EJ51" s="141"/>
      <c r="EK51" s="141"/>
      <c r="EL51" s="141"/>
      <c r="EM51" s="141"/>
      <c r="EN51" s="141"/>
      <c r="EO51" s="141"/>
      <c r="EP51" s="141"/>
      <c r="EQ51" s="141"/>
      <c r="ER51" s="141"/>
      <c r="ES51" s="141"/>
      <c r="ET51" s="141"/>
      <c r="EU51" s="141"/>
      <c r="EV51" s="141"/>
      <c r="EW51" s="141"/>
      <c r="EX51" s="141"/>
      <c r="EY51" s="141"/>
      <c r="EZ51" s="141"/>
      <c r="FA51" s="141"/>
      <c r="FB51" s="141"/>
      <c r="FC51" s="141"/>
      <c r="FD51" s="141"/>
      <c r="FE51" s="141"/>
      <c r="FF51" s="141"/>
      <c r="FG51" s="141"/>
      <c r="FH51" s="141"/>
      <c r="FI51" s="141"/>
      <c r="FJ51" s="141"/>
      <c r="FK51" s="141"/>
      <c r="FL51" s="141"/>
      <c r="FM51" s="141"/>
      <c r="FN51" s="141"/>
      <c r="FO51" s="141"/>
      <c r="FP51" s="141"/>
      <c r="FQ51" s="141"/>
      <c r="FR51" s="141"/>
      <c r="FS51" s="141"/>
      <c r="FT51" s="141"/>
      <c r="FU51" s="141"/>
      <c r="FV51" s="141"/>
      <c r="FW51" s="141"/>
      <c r="FX51" s="141"/>
      <c r="FY51" s="141"/>
      <c r="FZ51" s="141"/>
      <c r="GA51" s="141"/>
      <c r="GB51" s="141"/>
      <c r="GC51" s="141"/>
      <c r="GD51" s="141"/>
      <c r="GE51" s="141"/>
      <c r="GF51" s="141"/>
      <c r="GG51" s="141"/>
      <c r="GH51" s="141"/>
      <c r="GI51" s="141"/>
      <c r="GJ51" s="141"/>
      <c r="GK51" s="141"/>
      <c r="GL51" s="141"/>
      <c r="GM51" s="141"/>
      <c r="GN51" s="141"/>
      <c r="GO51" s="141"/>
      <c r="GP51" s="141"/>
      <c r="GQ51" s="141"/>
      <c r="GR51" s="141"/>
      <c r="GS51" s="141"/>
      <c r="GT51" s="141"/>
      <c r="GU51" s="141"/>
      <c r="GV51" s="141"/>
      <c r="GW51" s="141"/>
      <c r="GX51" s="141"/>
      <c r="GY51" s="141"/>
      <c r="GZ51" s="141"/>
      <c r="HA51" s="141"/>
      <c r="HB51" s="141"/>
      <c r="HC51" s="141"/>
      <c r="HD51" s="141"/>
      <c r="HE51" s="141"/>
      <c r="HF51" s="141"/>
      <c r="HG51" s="141"/>
      <c r="HH51" s="141"/>
      <c r="HI51" s="141"/>
      <c r="HJ51" s="141"/>
      <c r="HK51" s="141"/>
      <c r="HL51" s="141"/>
      <c r="HM51" s="141"/>
      <c r="HN51" s="141"/>
      <c r="HO51" s="141"/>
      <c r="HP51" s="141"/>
      <c r="HQ51" s="141"/>
      <c r="HR51" s="141"/>
      <c r="HS51" s="141"/>
      <c r="HT51" s="141"/>
      <c r="HU51" s="141"/>
      <c r="HV51" s="141"/>
      <c r="HW51" s="141"/>
      <c r="HX51" s="141"/>
      <c r="HY51" s="141"/>
      <c r="HZ51" s="141"/>
      <c r="IA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R51" s="141"/>
      <c r="IS51" s="141"/>
      <c r="IT51" s="141"/>
      <c r="IU51" s="141"/>
      <c r="IV51" s="141"/>
      <c r="IW51" s="141"/>
      <c r="IX51" s="141"/>
      <c r="IY51" s="141"/>
      <c r="IZ51" s="141"/>
      <c r="JA51" s="141"/>
      <c r="JB51" s="141"/>
      <c r="JC51" s="141"/>
      <c r="JD51" s="141"/>
      <c r="JE51" s="141"/>
      <c r="JF51" s="141"/>
      <c r="JG51" s="141"/>
      <c r="JH51" s="141"/>
      <c r="JI51" s="141"/>
      <c r="JJ51" s="141"/>
      <c r="JK51" s="141"/>
      <c r="JL51" s="141"/>
      <c r="JM51" s="141"/>
      <c r="JN51" s="141"/>
      <c r="JO51" s="141"/>
      <c r="JP51" s="141"/>
      <c r="JQ51" s="141"/>
      <c r="JR51" s="141"/>
      <c r="JS51" s="141"/>
      <c r="JT51" s="141"/>
      <c r="JU51" s="141"/>
      <c r="JV51" s="141"/>
      <c r="JW51" s="141"/>
      <c r="JX51" s="141"/>
      <c r="JY51" s="141"/>
      <c r="JZ51" s="141"/>
      <c r="KA51" s="141"/>
      <c r="KB51" s="141"/>
      <c r="KC51" s="141"/>
      <c r="KD51" s="141"/>
      <c r="KE51" s="141"/>
      <c r="KF51" s="141"/>
      <c r="KG51" s="141"/>
      <c r="KH51" s="141"/>
      <c r="KI51" s="141"/>
      <c r="KJ51" s="141"/>
      <c r="KK51" s="141"/>
      <c r="KL51" s="141"/>
      <c r="KM51" s="141"/>
      <c r="KN51" s="141"/>
    </row>
    <row r="52" spans="1:300" s="3" customFormat="1" ht="31.5" customHeight="1">
      <c r="A52" s="148"/>
      <c r="B52" s="8"/>
      <c r="C52" s="36"/>
      <c r="D52" s="36"/>
      <c r="E52" s="35"/>
      <c r="F52" s="35"/>
      <c r="G52" s="35"/>
      <c r="H52" s="151"/>
      <c r="I52" s="153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  <c r="CK52" s="141"/>
      <c r="CL52" s="141"/>
      <c r="CM52" s="141"/>
      <c r="CN52" s="141"/>
      <c r="CO52" s="141"/>
      <c r="CP52" s="141"/>
      <c r="CQ52" s="141"/>
      <c r="CR52" s="141"/>
      <c r="CS52" s="141"/>
      <c r="CT52" s="141"/>
      <c r="CU52" s="141"/>
      <c r="CV52" s="141"/>
      <c r="CW52" s="141"/>
      <c r="CX52" s="141"/>
      <c r="CY52" s="141"/>
      <c r="CZ52" s="141"/>
      <c r="DA52" s="141"/>
      <c r="DB52" s="141"/>
      <c r="DC52" s="141"/>
      <c r="DD52" s="141"/>
      <c r="DE52" s="141"/>
      <c r="DF52" s="141"/>
      <c r="DG52" s="141"/>
      <c r="DH52" s="141"/>
      <c r="DI52" s="141"/>
      <c r="DJ52" s="141"/>
      <c r="DK52" s="141"/>
      <c r="DL52" s="141"/>
      <c r="DM52" s="141"/>
      <c r="DN52" s="141"/>
      <c r="DO52" s="141"/>
      <c r="DP52" s="141"/>
      <c r="DQ52" s="141"/>
      <c r="DR52" s="141"/>
      <c r="DS52" s="141"/>
      <c r="DT52" s="141"/>
      <c r="DU52" s="141"/>
      <c r="DV52" s="141"/>
      <c r="DW52" s="141"/>
      <c r="DX52" s="141"/>
      <c r="DY52" s="141"/>
      <c r="DZ52" s="141"/>
      <c r="EA52" s="141"/>
      <c r="EB52" s="141"/>
      <c r="EC52" s="141"/>
      <c r="ED52" s="141"/>
      <c r="EE52" s="141"/>
      <c r="EF52" s="141"/>
      <c r="EG52" s="141"/>
      <c r="EH52" s="141"/>
      <c r="EI52" s="141"/>
      <c r="EJ52" s="141"/>
      <c r="EK52" s="141"/>
      <c r="EL52" s="141"/>
      <c r="EM52" s="141"/>
      <c r="EN52" s="141"/>
      <c r="EO52" s="141"/>
      <c r="EP52" s="141"/>
      <c r="EQ52" s="141"/>
      <c r="ER52" s="141"/>
      <c r="ES52" s="141"/>
      <c r="ET52" s="141"/>
      <c r="EU52" s="141"/>
      <c r="EV52" s="141"/>
      <c r="EW52" s="141"/>
      <c r="EX52" s="141"/>
      <c r="EY52" s="141"/>
      <c r="EZ52" s="141"/>
      <c r="FA52" s="141"/>
      <c r="FB52" s="141"/>
      <c r="FC52" s="141"/>
      <c r="FD52" s="141"/>
      <c r="FE52" s="141"/>
      <c r="FF52" s="141"/>
      <c r="FG52" s="141"/>
      <c r="FH52" s="141"/>
      <c r="FI52" s="141"/>
      <c r="FJ52" s="141"/>
      <c r="FK52" s="141"/>
      <c r="FL52" s="141"/>
      <c r="FM52" s="141"/>
      <c r="FN52" s="141"/>
      <c r="FO52" s="141"/>
      <c r="FP52" s="141"/>
      <c r="FQ52" s="141"/>
      <c r="FR52" s="141"/>
      <c r="FS52" s="141"/>
      <c r="FT52" s="141"/>
      <c r="FU52" s="141"/>
      <c r="FV52" s="141"/>
      <c r="FW52" s="141"/>
      <c r="FX52" s="141"/>
      <c r="FY52" s="141"/>
      <c r="FZ52" s="141"/>
      <c r="GA52" s="141"/>
      <c r="GB52" s="141"/>
      <c r="GC52" s="141"/>
      <c r="GD52" s="141"/>
      <c r="GE52" s="141"/>
      <c r="GF52" s="141"/>
      <c r="GG52" s="141"/>
      <c r="GH52" s="141"/>
      <c r="GI52" s="141"/>
      <c r="GJ52" s="141"/>
      <c r="GK52" s="141"/>
      <c r="GL52" s="141"/>
      <c r="GM52" s="141"/>
      <c r="GN52" s="141"/>
      <c r="GO52" s="141"/>
      <c r="GP52" s="141"/>
      <c r="GQ52" s="141"/>
      <c r="GR52" s="141"/>
      <c r="GS52" s="141"/>
      <c r="GT52" s="141"/>
      <c r="GU52" s="141"/>
      <c r="GV52" s="141"/>
      <c r="GW52" s="141"/>
      <c r="GX52" s="141"/>
      <c r="GY52" s="141"/>
      <c r="GZ52" s="141"/>
      <c r="HA52" s="141"/>
      <c r="HB52" s="141"/>
      <c r="HC52" s="141"/>
      <c r="HD52" s="141"/>
      <c r="HE52" s="141"/>
      <c r="HF52" s="141"/>
      <c r="HG52" s="141"/>
      <c r="HH52" s="141"/>
      <c r="HI52" s="141"/>
      <c r="HJ52" s="141"/>
      <c r="HK52" s="141"/>
      <c r="HL52" s="141"/>
      <c r="HM52" s="141"/>
      <c r="HN52" s="141"/>
      <c r="HO52" s="141"/>
      <c r="HP52" s="141"/>
      <c r="HQ52" s="141"/>
      <c r="HR52" s="141"/>
      <c r="HS52" s="141"/>
      <c r="HT52" s="141"/>
      <c r="HU52" s="141"/>
      <c r="HV52" s="141"/>
      <c r="HW52" s="141"/>
      <c r="HX52" s="141"/>
      <c r="HY52" s="141"/>
      <c r="HZ52" s="141"/>
      <c r="IA52" s="141"/>
      <c r="IB52" s="141"/>
      <c r="IC52" s="141"/>
      <c r="ID52" s="141"/>
      <c r="IE52" s="141"/>
      <c r="IF52" s="141"/>
      <c r="IG52" s="141"/>
      <c r="IH52" s="141"/>
      <c r="II52" s="141"/>
      <c r="IJ52" s="141"/>
      <c r="IK52" s="141"/>
      <c r="IL52" s="141"/>
      <c r="IM52" s="141"/>
      <c r="IN52" s="141"/>
      <c r="IO52" s="141"/>
      <c r="IP52" s="141"/>
      <c r="IQ52" s="141"/>
      <c r="IR52" s="141"/>
      <c r="IS52" s="141"/>
      <c r="IT52" s="141"/>
      <c r="IU52" s="141"/>
      <c r="IV52" s="141"/>
      <c r="IW52" s="141"/>
      <c r="IX52" s="141"/>
      <c r="IY52" s="141"/>
      <c r="IZ52" s="141"/>
      <c r="JA52" s="141"/>
      <c r="JB52" s="141"/>
      <c r="JC52" s="141"/>
      <c r="JD52" s="141"/>
      <c r="JE52" s="141"/>
      <c r="JF52" s="141"/>
      <c r="JG52" s="141"/>
      <c r="JH52" s="141"/>
      <c r="JI52" s="141"/>
      <c r="JJ52" s="141"/>
      <c r="JK52" s="141"/>
      <c r="JL52" s="141"/>
      <c r="JM52" s="141"/>
      <c r="JN52" s="141"/>
      <c r="JO52" s="141"/>
      <c r="JP52" s="141"/>
      <c r="JQ52" s="141"/>
      <c r="JR52" s="141"/>
      <c r="JS52" s="141"/>
      <c r="JT52" s="141"/>
      <c r="JU52" s="141"/>
      <c r="JV52" s="141"/>
      <c r="JW52" s="141"/>
      <c r="JX52" s="141"/>
      <c r="JY52" s="141"/>
      <c r="JZ52" s="141"/>
      <c r="KA52" s="141"/>
      <c r="KB52" s="141"/>
      <c r="KC52" s="141"/>
      <c r="KD52" s="141"/>
      <c r="KE52" s="141"/>
      <c r="KF52" s="141"/>
      <c r="KG52" s="141"/>
      <c r="KH52" s="141"/>
      <c r="KI52" s="141"/>
      <c r="KJ52" s="141"/>
      <c r="KK52" s="141"/>
      <c r="KL52" s="141"/>
      <c r="KM52" s="141"/>
      <c r="KN52" s="141"/>
    </row>
    <row r="53" spans="1:300" s="3" customFormat="1" ht="31.5" customHeight="1">
      <c r="A53" s="148"/>
      <c r="B53" s="8"/>
      <c r="C53" s="36"/>
      <c r="D53" s="36"/>
      <c r="E53" s="35"/>
      <c r="F53" s="35"/>
      <c r="G53" s="35"/>
      <c r="H53" s="151"/>
      <c r="I53" s="153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  <c r="CK53" s="141"/>
      <c r="CL53" s="141"/>
      <c r="CM53" s="141"/>
      <c r="CN53" s="141"/>
      <c r="CO53" s="141"/>
      <c r="CP53" s="141"/>
      <c r="CQ53" s="141"/>
      <c r="CR53" s="141"/>
      <c r="CS53" s="141"/>
      <c r="CT53" s="141"/>
      <c r="CU53" s="141"/>
      <c r="CV53" s="141"/>
      <c r="CW53" s="141"/>
      <c r="CX53" s="141"/>
      <c r="CY53" s="141"/>
      <c r="CZ53" s="141"/>
      <c r="DA53" s="141"/>
      <c r="DB53" s="141"/>
      <c r="DC53" s="141"/>
      <c r="DD53" s="141"/>
      <c r="DE53" s="141"/>
      <c r="DF53" s="141"/>
      <c r="DG53" s="141"/>
      <c r="DH53" s="141"/>
      <c r="DI53" s="141"/>
      <c r="DJ53" s="141"/>
      <c r="DK53" s="141"/>
      <c r="DL53" s="141"/>
      <c r="DM53" s="141"/>
      <c r="DN53" s="141"/>
      <c r="DO53" s="141"/>
      <c r="DP53" s="141"/>
      <c r="DQ53" s="141"/>
      <c r="DR53" s="141"/>
      <c r="DS53" s="141"/>
      <c r="DT53" s="141"/>
      <c r="DU53" s="141"/>
      <c r="DV53" s="141"/>
      <c r="DW53" s="141"/>
      <c r="DX53" s="141"/>
      <c r="DY53" s="141"/>
      <c r="DZ53" s="141"/>
      <c r="EA53" s="141"/>
      <c r="EB53" s="141"/>
      <c r="EC53" s="141"/>
      <c r="ED53" s="141"/>
      <c r="EE53" s="141"/>
      <c r="EF53" s="141"/>
      <c r="EG53" s="141"/>
      <c r="EH53" s="141"/>
      <c r="EI53" s="141"/>
      <c r="EJ53" s="141"/>
      <c r="EK53" s="141"/>
      <c r="EL53" s="141"/>
      <c r="EM53" s="141"/>
      <c r="EN53" s="141"/>
      <c r="EO53" s="141"/>
      <c r="EP53" s="141"/>
      <c r="EQ53" s="141"/>
      <c r="ER53" s="141"/>
      <c r="ES53" s="141"/>
      <c r="ET53" s="141"/>
      <c r="EU53" s="141"/>
      <c r="EV53" s="141"/>
      <c r="EW53" s="141"/>
      <c r="EX53" s="141"/>
      <c r="EY53" s="141"/>
      <c r="EZ53" s="141"/>
      <c r="FA53" s="141"/>
      <c r="FB53" s="141"/>
      <c r="FC53" s="141"/>
      <c r="FD53" s="141"/>
      <c r="FE53" s="141"/>
      <c r="FF53" s="141"/>
      <c r="FG53" s="141"/>
      <c r="FH53" s="141"/>
      <c r="FI53" s="141"/>
      <c r="FJ53" s="141"/>
      <c r="FK53" s="141"/>
      <c r="FL53" s="141"/>
      <c r="FM53" s="141"/>
      <c r="FN53" s="141"/>
      <c r="FO53" s="141"/>
      <c r="FP53" s="141"/>
      <c r="FQ53" s="141"/>
      <c r="FR53" s="141"/>
      <c r="FS53" s="141"/>
      <c r="FT53" s="141"/>
      <c r="FU53" s="141"/>
      <c r="FV53" s="141"/>
      <c r="FW53" s="141"/>
      <c r="FX53" s="141"/>
      <c r="FY53" s="141"/>
      <c r="FZ53" s="141"/>
      <c r="GA53" s="141"/>
      <c r="GB53" s="141"/>
      <c r="GC53" s="141"/>
      <c r="GD53" s="141"/>
      <c r="GE53" s="141"/>
      <c r="GF53" s="141"/>
      <c r="GG53" s="141"/>
      <c r="GH53" s="141"/>
      <c r="GI53" s="141"/>
      <c r="GJ53" s="141"/>
      <c r="GK53" s="141"/>
      <c r="GL53" s="141"/>
      <c r="GM53" s="141"/>
      <c r="GN53" s="141"/>
      <c r="GO53" s="141"/>
      <c r="GP53" s="141"/>
      <c r="GQ53" s="141"/>
      <c r="GR53" s="141"/>
      <c r="GS53" s="141"/>
      <c r="GT53" s="141"/>
      <c r="GU53" s="141"/>
      <c r="GV53" s="141"/>
      <c r="GW53" s="141"/>
      <c r="GX53" s="141"/>
      <c r="GY53" s="141"/>
      <c r="GZ53" s="141"/>
      <c r="HA53" s="141"/>
      <c r="HB53" s="141"/>
      <c r="HC53" s="141"/>
      <c r="HD53" s="141"/>
      <c r="HE53" s="141"/>
      <c r="HF53" s="141"/>
      <c r="HG53" s="141"/>
      <c r="HH53" s="141"/>
      <c r="HI53" s="141"/>
      <c r="HJ53" s="141"/>
      <c r="HK53" s="141"/>
      <c r="HL53" s="141"/>
      <c r="HM53" s="141"/>
      <c r="HN53" s="141"/>
      <c r="HO53" s="141"/>
      <c r="HP53" s="141"/>
      <c r="HQ53" s="141"/>
      <c r="HR53" s="141"/>
      <c r="HS53" s="141"/>
      <c r="HT53" s="141"/>
      <c r="HU53" s="141"/>
      <c r="HV53" s="141"/>
      <c r="HW53" s="141"/>
      <c r="HX53" s="141"/>
      <c r="HY53" s="141"/>
      <c r="HZ53" s="141"/>
      <c r="IA53" s="141"/>
      <c r="IB53" s="141"/>
      <c r="IC53" s="141"/>
      <c r="ID53" s="141"/>
      <c r="IE53" s="141"/>
      <c r="IF53" s="141"/>
      <c r="IG53" s="141"/>
      <c r="IH53" s="141"/>
      <c r="II53" s="141"/>
      <c r="IJ53" s="141"/>
      <c r="IK53" s="141"/>
      <c r="IL53" s="141"/>
      <c r="IM53" s="141"/>
      <c r="IN53" s="141"/>
      <c r="IO53" s="141"/>
      <c r="IP53" s="141"/>
      <c r="IQ53" s="141"/>
      <c r="IR53" s="141"/>
      <c r="IS53" s="141"/>
      <c r="IT53" s="141"/>
      <c r="IU53" s="141"/>
      <c r="IV53" s="141"/>
      <c r="IW53" s="141"/>
      <c r="IX53" s="141"/>
      <c r="IY53" s="141"/>
      <c r="IZ53" s="141"/>
      <c r="JA53" s="141"/>
      <c r="JB53" s="141"/>
      <c r="JC53" s="141"/>
      <c r="JD53" s="141"/>
      <c r="JE53" s="141"/>
      <c r="JF53" s="141"/>
      <c r="JG53" s="141"/>
      <c r="JH53" s="141"/>
      <c r="JI53" s="141"/>
      <c r="JJ53" s="141"/>
      <c r="JK53" s="141"/>
      <c r="JL53" s="141"/>
      <c r="JM53" s="141"/>
      <c r="JN53" s="141"/>
      <c r="JO53" s="141"/>
      <c r="JP53" s="141"/>
      <c r="JQ53" s="141"/>
      <c r="JR53" s="141"/>
      <c r="JS53" s="141"/>
      <c r="JT53" s="141"/>
      <c r="JU53" s="141"/>
      <c r="JV53" s="141"/>
      <c r="JW53" s="141"/>
      <c r="JX53" s="141"/>
      <c r="JY53" s="141"/>
      <c r="JZ53" s="141"/>
      <c r="KA53" s="141"/>
      <c r="KB53" s="141"/>
      <c r="KC53" s="141"/>
      <c r="KD53" s="141"/>
      <c r="KE53" s="141"/>
      <c r="KF53" s="141"/>
      <c r="KG53" s="141"/>
      <c r="KH53" s="141"/>
      <c r="KI53" s="141"/>
      <c r="KJ53" s="141"/>
      <c r="KK53" s="141"/>
      <c r="KL53" s="141"/>
      <c r="KM53" s="141"/>
      <c r="KN53" s="141"/>
    </row>
    <row r="54" spans="1:300" s="3" customFormat="1" ht="31.5" customHeight="1">
      <c r="A54" s="148"/>
      <c r="B54" s="8"/>
      <c r="C54" s="36"/>
      <c r="D54" s="36"/>
      <c r="E54" s="35"/>
      <c r="F54" s="35"/>
      <c r="G54" s="35"/>
      <c r="H54" s="151"/>
      <c r="I54" s="153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  <c r="CK54" s="141"/>
      <c r="CL54" s="141"/>
      <c r="CM54" s="141"/>
      <c r="CN54" s="141"/>
      <c r="CO54" s="141"/>
      <c r="CP54" s="141"/>
      <c r="CQ54" s="141"/>
      <c r="CR54" s="141"/>
      <c r="CS54" s="141"/>
      <c r="CT54" s="141"/>
      <c r="CU54" s="141"/>
      <c r="CV54" s="141"/>
      <c r="CW54" s="141"/>
      <c r="CX54" s="141"/>
      <c r="CY54" s="141"/>
      <c r="CZ54" s="141"/>
      <c r="DA54" s="141"/>
      <c r="DB54" s="141"/>
      <c r="DC54" s="141"/>
      <c r="DD54" s="141"/>
      <c r="DE54" s="141"/>
      <c r="DF54" s="141"/>
      <c r="DG54" s="141"/>
      <c r="DH54" s="141"/>
      <c r="DI54" s="141"/>
      <c r="DJ54" s="141"/>
      <c r="DK54" s="141"/>
      <c r="DL54" s="141"/>
      <c r="DM54" s="141"/>
      <c r="DN54" s="141"/>
      <c r="DO54" s="141"/>
      <c r="DP54" s="141"/>
      <c r="DQ54" s="141"/>
      <c r="DR54" s="141"/>
      <c r="DS54" s="141"/>
      <c r="DT54" s="141"/>
      <c r="DU54" s="141"/>
      <c r="DV54" s="141"/>
      <c r="DW54" s="141"/>
      <c r="DX54" s="141"/>
      <c r="DY54" s="141"/>
      <c r="DZ54" s="141"/>
      <c r="EA54" s="141"/>
      <c r="EB54" s="141"/>
      <c r="EC54" s="141"/>
      <c r="ED54" s="141"/>
      <c r="EE54" s="141"/>
      <c r="EF54" s="141"/>
      <c r="EG54" s="141"/>
      <c r="EH54" s="141"/>
      <c r="EI54" s="141"/>
      <c r="EJ54" s="141"/>
      <c r="EK54" s="141"/>
      <c r="EL54" s="141"/>
      <c r="EM54" s="141"/>
      <c r="EN54" s="141"/>
      <c r="EO54" s="141"/>
      <c r="EP54" s="141"/>
      <c r="EQ54" s="141"/>
      <c r="ER54" s="141"/>
      <c r="ES54" s="141"/>
      <c r="ET54" s="141"/>
      <c r="EU54" s="141"/>
      <c r="EV54" s="141"/>
      <c r="EW54" s="141"/>
      <c r="EX54" s="141"/>
      <c r="EY54" s="141"/>
      <c r="EZ54" s="141"/>
      <c r="FA54" s="141"/>
      <c r="FB54" s="141"/>
      <c r="FC54" s="141"/>
      <c r="FD54" s="141"/>
      <c r="FE54" s="141"/>
      <c r="FF54" s="141"/>
      <c r="FG54" s="141"/>
      <c r="FH54" s="141"/>
      <c r="FI54" s="141"/>
      <c r="FJ54" s="141"/>
      <c r="FK54" s="141"/>
      <c r="FL54" s="141"/>
      <c r="FM54" s="141"/>
      <c r="FN54" s="141"/>
      <c r="FO54" s="141"/>
      <c r="FP54" s="141"/>
      <c r="FQ54" s="141"/>
      <c r="FR54" s="141"/>
      <c r="FS54" s="141"/>
      <c r="FT54" s="141"/>
      <c r="FU54" s="141"/>
      <c r="FV54" s="141"/>
      <c r="FW54" s="141"/>
      <c r="FX54" s="141"/>
      <c r="FY54" s="141"/>
      <c r="FZ54" s="141"/>
      <c r="GA54" s="141"/>
      <c r="GB54" s="141"/>
      <c r="GC54" s="141"/>
      <c r="GD54" s="141"/>
      <c r="GE54" s="141"/>
      <c r="GF54" s="141"/>
      <c r="GG54" s="141"/>
      <c r="GH54" s="141"/>
      <c r="GI54" s="141"/>
      <c r="GJ54" s="141"/>
      <c r="GK54" s="141"/>
      <c r="GL54" s="141"/>
      <c r="GM54" s="141"/>
      <c r="GN54" s="141"/>
      <c r="GO54" s="141"/>
      <c r="GP54" s="141"/>
      <c r="GQ54" s="141"/>
      <c r="GR54" s="141"/>
      <c r="GS54" s="141"/>
      <c r="GT54" s="141"/>
      <c r="GU54" s="141"/>
      <c r="GV54" s="141"/>
      <c r="GW54" s="141"/>
      <c r="GX54" s="141"/>
      <c r="GY54" s="141"/>
      <c r="GZ54" s="141"/>
      <c r="HA54" s="141"/>
      <c r="HB54" s="141"/>
      <c r="HC54" s="141"/>
      <c r="HD54" s="141"/>
      <c r="HE54" s="141"/>
      <c r="HF54" s="141"/>
      <c r="HG54" s="141"/>
      <c r="HH54" s="141"/>
      <c r="HI54" s="141"/>
      <c r="HJ54" s="141"/>
      <c r="HK54" s="141"/>
      <c r="HL54" s="141"/>
      <c r="HM54" s="141"/>
      <c r="HN54" s="141"/>
      <c r="HO54" s="141"/>
      <c r="HP54" s="141"/>
      <c r="HQ54" s="141"/>
      <c r="HR54" s="141"/>
      <c r="HS54" s="141"/>
      <c r="HT54" s="141"/>
      <c r="HU54" s="141"/>
      <c r="HV54" s="141"/>
      <c r="HW54" s="141"/>
      <c r="HX54" s="141"/>
      <c r="HY54" s="141"/>
      <c r="HZ54" s="141"/>
      <c r="IA54" s="141"/>
      <c r="IB54" s="141"/>
      <c r="IC54" s="141"/>
      <c r="ID54" s="141"/>
      <c r="IE54" s="141"/>
      <c r="IF54" s="141"/>
      <c r="IG54" s="141"/>
      <c r="IH54" s="141"/>
      <c r="II54" s="141"/>
      <c r="IJ54" s="141"/>
      <c r="IK54" s="141"/>
      <c r="IL54" s="141"/>
      <c r="IM54" s="141"/>
      <c r="IN54" s="141"/>
      <c r="IO54" s="141"/>
      <c r="IP54" s="141"/>
      <c r="IQ54" s="141"/>
      <c r="IR54" s="141"/>
      <c r="IS54" s="141"/>
      <c r="IT54" s="141"/>
      <c r="IU54" s="141"/>
      <c r="IV54" s="141"/>
      <c r="IW54" s="141"/>
      <c r="IX54" s="141"/>
      <c r="IY54" s="141"/>
      <c r="IZ54" s="141"/>
      <c r="JA54" s="141"/>
      <c r="JB54" s="141"/>
      <c r="JC54" s="141"/>
      <c r="JD54" s="141"/>
      <c r="JE54" s="141"/>
      <c r="JF54" s="141"/>
      <c r="JG54" s="141"/>
      <c r="JH54" s="141"/>
      <c r="JI54" s="141"/>
      <c r="JJ54" s="141"/>
      <c r="JK54" s="141"/>
      <c r="JL54" s="141"/>
      <c r="JM54" s="141"/>
      <c r="JN54" s="141"/>
      <c r="JO54" s="141"/>
      <c r="JP54" s="141"/>
      <c r="JQ54" s="141"/>
      <c r="JR54" s="141"/>
      <c r="JS54" s="141"/>
      <c r="JT54" s="141"/>
      <c r="JU54" s="141"/>
      <c r="JV54" s="141"/>
      <c r="JW54" s="141"/>
      <c r="JX54" s="141"/>
      <c r="JY54" s="141"/>
      <c r="JZ54" s="141"/>
      <c r="KA54" s="141"/>
      <c r="KB54" s="141"/>
      <c r="KC54" s="141"/>
      <c r="KD54" s="141"/>
      <c r="KE54" s="141"/>
      <c r="KF54" s="141"/>
      <c r="KG54" s="141"/>
      <c r="KH54" s="141"/>
      <c r="KI54" s="141"/>
      <c r="KJ54" s="141"/>
      <c r="KK54" s="141"/>
      <c r="KL54" s="141"/>
      <c r="KM54" s="141"/>
      <c r="KN54" s="141"/>
    </row>
    <row r="55" spans="1:300" s="3" customFormat="1" ht="31.5" customHeight="1">
      <c r="A55" s="148"/>
      <c r="B55" s="8"/>
      <c r="C55" s="36"/>
      <c r="D55" s="36"/>
      <c r="E55" s="35"/>
      <c r="F55" s="35"/>
      <c r="G55" s="35"/>
      <c r="H55" s="151"/>
      <c r="I55" s="153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  <c r="CK55" s="141"/>
      <c r="CL55" s="141"/>
      <c r="CM55" s="141"/>
      <c r="CN55" s="141"/>
      <c r="CO55" s="141"/>
      <c r="CP55" s="141"/>
      <c r="CQ55" s="141"/>
      <c r="CR55" s="141"/>
      <c r="CS55" s="141"/>
      <c r="CT55" s="141"/>
      <c r="CU55" s="141"/>
      <c r="CV55" s="141"/>
      <c r="CW55" s="141"/>
      <c r="CX55" s="141"/>
      <c r="CY55" s="141"/>
      <c r="CZ55" s="141"/>
      <c r="DA55" s="141"/>
      <c r="DB55" s="141"/>
      <c r="DC55" s="141"/>
      <c r="DD55" s="141"/>
      <c r="DE55" s="141"/>
      <c r="DF55" s="141"/>
      <c r="DG55" s="141"/>
      <c r="DH55" s="141"/>
      <c r="DI55" s="141"/>
      <c r="DJ55" s="141"/>
      <c r="DK55" s="141"/>
      <c r="DL55" s="141"/>
      <c r="DM55" s="141"/>
      <c r="DN55" s="141"/>
      <c r="DO55" s="141"/>
      <c r="DP55" s="141"/>
      <c r="DQ55" s="141"/>
      <c r="DR55" s="141"/>
      <c r="DS55" s="141"/>
      <c r="DT55" s="141"/>
      <c r="DU55" s="141"/>
      <c r="DV55" s="141"/>
      <c r="DW55" s="141"/>
      <c r="DX55" s="141"/>
      <c r="DY55" s="141"/>
      <c r="DZ55" s="141"/>
      <c r="EA55" s="141"/>
      <c r="EB55" s="141"/>
      <c r="EC55" s="141"/>
      <c r="ED55" s="141"/>
      <c r="EE55" s="141"/>
      <c r="EF55" s="141"/>
      <c r="EG55" s="141"/>
      <c r="EH55" s="141"/>
      <c r="EI55" s="141"/>
      <c r="EJ55" s="141"/>
      <c r="EK55" s="141"/>
      <c r="EL55" s="141"/>
      <c r="EM55" s="141"/>
      <c r="EN55" s="141"/>
      <c r="EO55" s="141"/>
      <c r="EP55" s="141"/>
      <c r="EQ55" s="141"/>
      <c r="ER55" s="141"/>
      <c r="ES55" s="141"/>
      <c r="ET55" s="141"/>
      <c r="EU55" s="141"/>
      <c r="EV55" s="141"/>
      <c r="EW55" s="141"/>
      <c r="EX55" s="141"/>
      <c r="EY55" s="141"/>
      <c r="EZ55" s="141"/>
      <c r="FA55" s="141"/>
      <c r="FB55" s="141"/>
      <c r="FC55" s="141"/>
      <c r="FD55" s="141"/>
      <c r="FE55" s="141"/>
      <c r="FF55" s="141"/>
      <c r="FG55" s="141"/>
      <c r="FH55" s="141"/>
      <c r="FI55" s="141"/>
      <c r="FJ55" s="141"/>
      <c r="FK55" s="141"/>
      <c r="FL55" s="141"/>
      <c r="FM55" s="141"/>
      <c r="FN55" s="141"/>
      <c r="FO55" s="141"/>
      <c r="FP55" s="141"/>
      <c r="FQ55" s="141"/>
      <c r="FR55" s="141"/>
      <c r="FS55" s="141"/>
      <c r="FT55" s="141"/>
      <c r="FU55" s="141"/>
      <c r="FV55" s="141"/>
      <c r="FW55" s="141"/>
      <c r="FX55" s="141"/>
      <c r="FY55" s="141"/>
      <c r="FZ55" s="141"/>
      <c r="GA55" s="141"/>
      <c r="GB55" s="141"/>
      <c r="GC55" s="141"/>
      <c r="GD55" s="141"/>
      <c r="GE55" s="141"/>
      <c r="GF55" s="141"/>
      <c r="GG55" s="141"/>
      <c r="GH55" s="141"/>
      <c r="GI55" s="141"/>
      <c r="GJ55" s="141"/>
      <c r="GK55" s="141"/>
      <c r="GL55" s="141"/>
      <c r="GM55" s="141"/>
      <c r="GN55" s="141"/>
      <c r="GO55" s="141"/>
      <c r="GP55" s="141"/>
      <c r="GQ55" s="141"/>
      <c r="GR55" s="141"/>
      <c r="GS55" s="141"/>
      <c r="GT55" s="141"/>
      <c r="GU55" s="141"/>
      <c r="GV55" s="141"/>
      <c r="GW55" s="141"/>
      <c r="GX55" s="141"/>
      <c r="GY55" s="141"/>
      <c r="GZ55" s="141"/>
      <c r="HA55" s="141"/>
      <c r="HB55" s="141"/>
      <c r="HC55" s="141"/>
      <c r="HD55" s="141"/>
      <c r="HE55" s="141"/>
      <c r="HF55" s="141"/>
      <c r="HG55" s="141"/>
      <c r="HH55" s="141"/>
      <c r="HI55" s="141"/>
      <c r="HJ55" s="141"/>
      <c r="HK55" s="141"/>
      <c r="HL55" s="141"/>
      <c r="HM55" s="141"/>
      <c r="HN55" s="141"/>
      <c r="HO55" s="141"/>
      <c r="HP55" s="141"/>
      <c r="HQ55" s="141"/>
      <c r="HR55" s="141"/>
      <c r="HS55" s="141"/>
      <c r="HT55" s="141"/>
      <c r="HU55" s="141"/>
      <c r="HV55" s="141"/>
      <c r="HW55" s="141"/>
      <c r="HX55" s="141"/>
      <c r="HY55" s="141"/>
      <c r="HZ55" s="141"/>
      <c r="IA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R55" s="141"/>
      <c r="IS55" s="141"/>
      <c r="IT55" s="141"/>
      <c r="IU55" s="141"/>
      <c r="IV55" s="141"/>
      <c r="IW55" s="141"/>
      <c r="IX55" s="141"/>
      <c r="IY55" s="141"/>
      <c r="IZ55" s="141"/>
      <c r="JA55" s="141"/>
      <c r="JB55" s="141"/>
      <c r="JC55" s="141"/>
      <c r="JD55" s="141"/>
      <c r="JE55" s="141"/>
      <c r="JF55" s="141"/>
      <c r="JG55" s="141"/>
      <c r="JH55" s="141"/>
      <c r="JI55" s="141"/>
      <c r="JJ55" s="141"/>
      <c r="JK55" s="141"/>
      <c r="JL55" s="141"/>
      <c r="JM55" s="141"/>
      <c r="JN55" s="141"/>
      <c r="JO55" s="141"/>
      <c r="JP55" s="141"/>
      <c r="JQ55" s="141"/>
      <c r="JR55" s="141"/>
      <c r="JS55" s="141"/>
      <c r="JT55" s="141"/>
      <c r="JU55" s="141"/>
      <c r="JV55" s="141"/>
      <c r="JW55" s="141"/>
      <c r="JX55" s="141"/>
      <c r="JY55" s="141"/>
      <c r="JZ55" s="141"/>
      <c r="KA55" s="141"/>
      <c r="KB55" s="141"/>
      <c r="KC55" s="141"/>
      <c r="KD55" s="141"/>
      <c r="KE55" s="141"/>
      <c r="KF55" s="141"/>
      <c r="KG55" s="141"/>
      <c r="KH55" s="141"/>
      <c r="KI55" s="141"/>
      <c r="KJ55" s="141"/>
      <c r="KK55" s="141"/>
      <c r="KL55" s="141"/>
      <c r="KM55" s="141"/>
      <c r="KN55" s="141"/>
    </row>
    <row r="56" spans="1:300" s="3" customFormat="1" ht="31.5" customHeight="1">
      <c r="A56" s="148"/>
      <c r="B56" s="8"/>
      <c r="C56" s="36"/>
      <c r="D56" s="36"/>
      <c r="E56" s="35"/>
      <c r="F56" s="35"/>
      <c r="G56" s="35"/>
      <c r="H56" s="151"/>
      <c r="I56" s="153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  <c r="CK56" s="141"/>
      <c r="CL56" s="141"/>
      <c r="CM56" s="141"/>
      <c r="CN56" s="141"/>
      <c r="CO56" s="141"/>
      <c r="CP56" s="141"/>
      <c r="CQ56" s="141"/>
      <c r="CR56" s="141"/>
      <c r="CS56" s="141"/>
      <c r="CT56" s="141"/>
      <c r="CU56" s="141"/>
      <c r="CV56" s="141"/>
      <c r="CW56" s="141"/>
      <c r="CX56" s="141"/>
      <c r="CY56" s="141"/>
      <c r="CZ56" s="141"/>
      <c r="DA56" s="141"/>
      <c r="DB56" s="141"/>
      <c r="DC56" s="141"/>
      <c r="DD56" s="141"/>
      <c r="DE56" s="141"/>
      <c r="DF56" s="141"/>
      <c r="DG56" s="141"/>
      <c r="DH56" s="141"/>
      <c r="DI56" s="141"/>
      <c r="DJ56" s="141"/>
      <c r="DK56" s="141"/>
      <c r="DL56" s="141"/>
      <c r="DM56" s="141"/>
      <c r="DN56" s="141"/>
      <c r="DO56" s="141"/>
      <c r="DP56" s="141"/>
      <c r="DQ56" s="141"/>
      <c r="DR56" s="141"/>
      <c r="DS56" s="141"/>
      <c r="DT56" s="141"/>
      <c r="DU56" s="141"/>
      <c r="DV56" s="141"/>
      <c r="DW56" s="141"/>
      <c r="DX56" s="141"/>
      <c r="DY56" s="141"/>
      <c r="DZ56" s="141"/>
      <c r="EA56" s="141"/>
      <c r="EB56" s="141"/>
      <c r="EC56" s="141"/>
      <c r="ED56" s="141"/>
      <c r="EE56" s="141"/>
      <c r="EF56" s="141"/>
      <c r="EG56" s="141"/>
      <c r="EH56" s="141"/>
      <c r="EI56" s="141"/>
      <c r="EJ56" s="141"/>
      <c r="EK56" s="141"/>
      <c r="EL56" s="141"/>
      <c r="EM56" s="141"/>
      <c r="EN56" s="141"/>
      <c r="EO56" s="141"/>
      <c r="EP56" s="141"/>
      <c r="EQ56" s="141"/>
      <c r="ER56" s="141"/>
      <c r="ES56" s="141"/>
      <c r="ET56" s="141"/>
      <c r="EU56" s="141"/>
      <c r="EV56" s="141"/>
      <c r="EW56" s="141"/>
      <c r="EX56" s="141"/>
      <c r="EY56" s="141"/>
      <c r="EZ56" s="141"/>
      <c r="FA56" s="141"/>
      <c r="FB56" s="141"/>
      <c r="FC56" s="141"/>
      <c r="FD56" s="141"/>
      <c r="FE56" s="141"/>
      <c r="FF56" s="141"/>
      <c r="FG56" s="141"/>
      <c r="FH56" s="141"/>
      <c r="FI56" s="141"/>
      <c r="FJ56" s="141"/>
      <c r="FK56" s="141"/>
      <c r="FL56" s="141"/>
      <c r="FM56" s="141"/>
      <c r="FN56" s="141"/>
      <c r="FO56" s="141"/>
      <c r="FP56" s="141"/>
      <c r="FQ56" s="141"/>
      <c r="FR56" s="141"/>
      <c r="FS56" s="141"/>
      <c r="FT56" s="141"/>
      <c r="FU56" s="141"/>
      <c r="FV56" s="141"/>
      <c r="FW56" s="141"/>
      <c r="FX56" s="141"/>
      <c r="FY56" s="141"/>
      <c r="FZ56" s="141"/>
      <c r="GA56" s="141"/>
      <c r="GB56" s="141"/>
      <c r="GC56" s="141"/>
      <c r="GD56" s="141"/>
      <c r="GE56" s="141"/>
      <c r="GF56" s="141"/>
      <c r="GG56" s="141"/>
      <c r="GH56" s="141"/>
      <c r="GI56" s="141"/>
      <c r="GJ56" s="141"/>
      <c r="GK56" s="141"/>
      <c r="GL56" s="141"/>
      <c r="GM56" s="141"/>
      <c r="GN56" s="141"/>
      <c r="GO56" s="141"/>
      <c r="GP56" s="141"/>
      <c r="GQ56" s="141"/>
      <c r="GR56" s="141"/>
      <c r="GS56" s="141"/>
      <c r="GT56" s="141"/>
      <c r="GU56" s="141"/>
      <c r="GV56" s="141"/>
      <c r="GW56" s="141"/>
      <c r="GX56" s="141"/>
      <c r="GY56" s="141"/>
      <c r="GZ56" s="141"/>
      <c r="HA56" s="141"/>
      <c r="HB56" s="141"/>
      <c r="HC56" s="141"/>
      <c r="HD56" s="141"/>
      <c r="HE56" s="141"/>
      <c r="HF56" s="141"/>
      <c r="HG56" s="141"/>
      <c r="HH56" s="141"/>
      <c r="HI56" s="141"/>
      <c r="HJ56" s="141"/>
      <c r="HK56" s="141"/>
      <c r="HL56" s="141"/>
      <c r="HM56" s="141"/>
      <c r="HN56" s="141"/>
      <c r="HO56" s="141"/>
      <c r="HP56" s="141"/>
      <c r="HQ56" s="141"/>
      <c r="HR56" s="141"/>
      <c r="HS56" s="141"/>
      <c r="HT56" s="141"/>
      <c r="HU56" s="141"/>
      <c r="HV56" s="141"/>
      <c r="HW56" s="141"/>
      <c r="HX56" s="141"/>
      <c r="HY56" s="141"/>
      <c r="HZ56" s="141"/>
      <c r="IA56" s="141"/>
      <c r="IB56" s="141"/>
      <c r="IC56" s="141"/>
      <c r="ID56" s="141"/>
      <c r="IE56" s="141"/>
      <c r="IF56" s="141"/>
      <c r="IG56" s="141"/>
      <c r="IH56" s="141"/>
      <c r="II56" s="141"/>
      <c r="IJ56" s="141"/>
      <c r="IK56" s="141"/>
      <c r="IL56" s="141"/>
      <c r="IM56" s="141"/>
      <c r="IN56" s="141"/>
      <c r="IO56" s="141"/>
      <c r="IP56" s="141"/>
      <c r="IQ56" s="141"/>
      <c r="IR56" s="141"/>
      <c r="IS56" s="141"/>
      <c r="IT56" s="141"/>
      <c r="IU56" s="141"/>
      <c r="IV56" s="141"/>
      <c r="IW56" s="141"/>
      <c r="IX56" s="141"/>
      <c r="IY56" s="141"/>
      <c r="IZ56" s="141"/>
      <c r="JA56" s="141"/>
      <c r="JB56" s="141"/>
      <c r="JC56" s="141"/>
      <c r="JD56" s="141"/>
      <c r="JE56" s="141"/>
      <c r="JF56" s="141"/>
      <c r="JG56" s="141"/>
      <c r="JH56" s="141"/>
      <c r="JI56" s="141"/>
      <c r="JJ56" s="141"/>
      <c r="JK56" s="141"/>
      <c r="JL56" s="141"/>
      <c r="JM56" s="141"/>
      <c r="JN56" s="141"/>
      <c r="JO56" s="141"/>
      <c r="JP56" s="141"/>
      <c r="JQ56" s="141"/>
      <c r="JR56" s="141"/>
      <c r="JS56" s="141"/>
      <c r="JT56" s="141"/>
      <c r="JU56" s="141"/>
      <c r="JV56" s="141"/>
      <c r="JW56" s="141"/>
      <c r="JX56" s="141"/>
      <c r="JY56" s="141"/>
      <c r="JZ56" s="141"/>
      <c r="KA56" s="141"/>
      <c r="KB56" s="141"/>
      <c r="KC56" s="141"/>
      <c r="KD56" s="141"/>
      <c r="KE56" s="141"/>
      <c r="KF56" s="141"/>
      <c r="KG56" s="141"/>
      <c r="KH56" s="141"/>
      <c r="KI56" s="141"/>
      <c r="KJ56" s="141"/>
      <c r="KK56" s="141"/>
      <c r="KL56" s="141"/>
      <c r="KM56" s="141"/>
      <c r="KN56" s="141"/>
    </row>
    <row r="57" spans="1:300" s="3" customFormat="1" ht="31.5" customHeight="1">
      <c r="A57" s="148"/>
      <c r="B57" s="8"/>
      <c r="C57" s="36"/>
      <c r="D57" s="36"/>
      <c r="E57" s="35"/>
      <c r="F57" s="35"/>
      <c r="G57" s="35"/>
      <c r="H57" s="151"/>
      <c r="I57" s="153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  <c r="CK57" s="141"/>
      <c r="CL57" s="141"/>
      <c r="CM57" s="141"/>
      <c r="CN57" s="141"/>
      <c r="CO57" s="141"/>
      <c r="CP57" s="141"/>
      <c r="CQ57" s="141"/>
      <c r="CR57" s="141"/>
      <c r="CS57" s="141"/>
      <c r="CT57" s="141"/>
      <c r="CU57" s="141"/>
      <c r="CV57" s="141"/>
      <c r="CW57" s="141"/>
      <c r="CX57" s="141"/>
      <c r="CY57" s="141"/>
      <c r="CZ57" s="141"/>
      <c r="DA57" s="141"/>
      <c r="DB57" s="141"/>
      <c r="DC57" s="141"/>
      <c r="DD57" s="141"/>
      <c r="DE57" s="141"/>
      <c r="DF57" s="141"/>
      <c r="DG57" s="141"/>
      <c r="DH57" s="141"/>
      <c r="DI57" s="141"/>
      <c r="DJ57" s="141"/>
      <c r="DK57" s="141"/>
      <c r="DL57" s="141"/>
      <c r="DM57" s="141"/>
      <c r="DN57" s="141"/>
      <c r="DO57" s="141"/>
      <c r="DP57" s="141"/>
      <c r="DQ57" s="141"/>
      <c r="DR57" s="141"/>
      <c r="DS57" s="141"/>
      <c r="DT57" s="141"/>
      <c r="DU57" s="141"/>
      <c r="DV57" s="141"/>
      <c r="DW57" s="141"/>
      <c r="DX57" s="141"/>
      <c r="DY57" s="141"/>
      <c r="DZ57" s="141"/>
      <c r="EA57" s="141"/>
      <c r="EB57" s="141"/>
      <c r="EC57" s="141"/>
      <c r="ED57" s="141"/>
      <c r="EE57" s="141"/>
      <c r="EF57" s="141"/>
      <c r="EG57" s="141"/>
      <c r="EH57" s="141"/>
      <c r="EI57" s="141"/>
      <c r="EJ57" s="141"/>
      <c r="EK57" s="141"/>
      <c r="EL57" s="141"/>
      <c r="EM57" s="141"/>
      <c r="EN57" s="141"/>
      <c r="EO57" s="141"/>
      <c r="EP57" s="141"/>
      <c r="EQ57" s="141"/>
      <c r="ER57" s="141"/>
      <c r="ES57" s="141"/>
      <c r="ET57" s="141"/>
      <c r="EU57" s="141"/>
      <c r="EV57" s="141"/>
      <c r="EW57" s="141"/>
      <c r="EX57" s="141"/>
      <c r="EY57" s="141"/>
      <c r="EZ57" s="141"/>
      <c r="FA57" s="141"/>
      <c r="FB57" s="141"/>
      <c r="FC57" s="141"/>
      <c r="FD57" s="141"/>
      <c r="FE57" s="141"/>
      <c r="FF57" s="141"/>
      <c r="FG57" s="141"/>
      <c r="FH57" s="141"/>
      <c r="FI57" s="141"/>
      <c r="FJ57" s="141"/>
      <c r="FK57" s="141"/>
      <c r="FL57" s="141"/>
      <c r="FM57" s="141"/>
      <c r="FN57" s="141"/>
      <c r="FO57" s="141"/>
      <c r="FP57" s="141"/>
      <c r="FQ57" s="141"/>
      <c r="FR57" s="141"/>
      <c r="FS57" s="141"/>
      <c r="FT57" s="141"/>
      <c r="FU57" s="141"/>
      <c r="FV57" s="141"/>
      <c r="FW57" s="141"/>
      <c r="FX57" s="141"/>
      <c r="FY57" s="141"/>
      <c r="FZ57" s="141"/>
      <c r="GA57" s="141"/>
      <c r="GB57" s="141"/>
      <c r="GC57" s="141"/>
      <c r="GD57" s="141"/>
      <c r="GE57" s="141"/>
      <c r="GF57" s="141"/>
      <c r="GG57" s="141"/>
      <c r="GH57" s="141"/>
      <c r="GI57" s="141"/>
      <c r="GJ57" s="141"/>
      <c r="GK57" s="141"/>
      <c r="GL57" s="141"/>
      <c r="GM57" s="141"/>
      <c r="GN57" s="141"/>
      <c r="GO57" s="141"/>
      <c r="GP57" s="141"/>
      <c r="GQ57" s="141"/>
      <c r="GR57" s="141"/>
      <c r="GS57" s="141"/>
      <c r="GT57" s="141"/>
      <c r="GU57" s="141"/>
      <c r="GV57" s="141"/>
      <c r="GW57" s="141"/>
      <c r="GX57" s="141"/>
      <c r="GY57" s="141"/>
      <c r="GZ57" s="141"/>
      <c r="HA57" s="141"/>
      <c r="HB57" s="141"/>
      <c r="HC57" s="141"/>
      <c r="HD57" s="141"/>
      <c r="HE57" s="141"/>
      <c r="HF57" s="141"/>
      <c r="HG57" s="141"/>
      <c r="HH57" s="141"/>
      <c r="HI57" s="141"/>
      <c r="HJ57" s="141"/>
      <c r="HK57" s="141"/>
      <c r="HL57" s="141"/>
      <c r="HM57" s="141"/>
      <c r="HN57" s="141"/>
      <c r="HO57" s="141"/>
      <c r="HP57" s="141"/>
      <c r="HQ57" s="141"/>
      <c r="HR57" s="141"/>
      <c r="HS57" s="141"/>
      <c r="HT57" s="141"/>
      <c r="HU57" s="141"/>
      <c r="HV57" s="141"/>
      <c r="HW57" s="141"/>
      <c r="HX57" s="141"/>
      <c r="HY57" s="141"/>
      <c r="HZ57" s="141"/>
      <c r="IA57" s="141"/>
      <c r="IB57" s="141"/>
      <c r="IC57" s="141"/>
      <c r="ID57" s="141"/>
      <c r="IE57" s="141"/>
      <c r="IF57" s="141"/>
      <c r="IG57" s="141"/>
      <c r="IH57" s="141"/>
      <c r="II57" s="141"/>
      <c r="IJ57" s="141"/>
      <c r="IK57" s="141"/>
      <c r="IL57" s="141"/>
      <c r="IM57" s="141"/>
      <c r="IN57" s="141"/>
      <c r="IO57" s="141"/>
      <c r="IP57" s="141"/>
      <c r="IQ57" s="141"/>
      <c r="IR57" s="141"/>
      <c r="IS57" s="141"/>
      <c r="IT57" s="141"/>
      <c r="IU57" s="141"/>
      <c r="IV57" s="141"/>
      <c r="IW57" s="141"/>
      <c r="IX57" s="141"/>
      <c r="IY57" s="141"/>
      <c r="IZ57" s="141"/>
      <c r="JA57" s="141"/>
      <c r="JB57" s="141"/>
      <c r="JC57" s="141"/>
      <c r="JD57" s="141"/>
      <c r="JE57" s="141"/>
      <c r="JF57" s="141"/>
      <c r="JG57" s="141"/>
      <c r="JH57" s="141"/>
      <c r="JI57" s="141"/>
      <c r="JJ57" s="141"/>
      <c r="JK57" s="141"/>
      <c r="JL57" s="141"/>
      <c r="JM57" s="141"/>
      <c r="JN57" s="141"/>
      <c r="JO57" s="141"/>
      <c r="JP57" s="141"/>
      <c r="JQ57" s="141"/>
      <c r="JR57" s="141"/>
      <c r="JS57" s="141"/>
      <c r="JT57" s="141"/>
      <c r="JU57" s="141"/>
      <c r="JV57" s="141"/>
      <c r="JW57" s="141"/>
      <c r="JX57" s="141"/>
      <c r="JY57" s="141"/>
      <c r="JZ57" s="141"/>
      <c r="KA57" s="141"/>
      <c r="KB57" s="141"/>
      <c r="KC57" s="141"/>
      <c r="KD57" s="141"/>
      <c r="KE57" s="141"/>
      <c r="KF57" s="141"/>
      <c r="KG57" s="141"/>
      <c r="KH57" s="141"/>
      <c r="KI57" s="141"/>
      <c r="KJ57" s="141"/>
      <c r="KK57" s="141"/>
      <c r="KL57" s="141"/>
      <c r="KM57" s="141"/>
      <c r="KN57" s="141"/>
    </row>
    <row r="58" spans="1:300" s="3" customFormat="1" ht="31.5" customHeight="1">
      <c r="A58" s="148"/>
      <c r="B58" s="8"/>
      <c r="C58" s="36"/>
      <c r="D58" s="36"/>
      <c r="E58" s="35"/>
      <c r="F58" s="35"/>
      <c r="G58" s="35"/>
      <c r="H58" s="151"/>
      <c r="I58" s="153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  <c r="GQ58" s="141"/>
      <c r="GR58" s="141"/>
      <c r="GS58" s="141"/>
      <c r="GT58" s="141"/>
      <c r="GU58" s="141"/>
      <c r="GV58" s="141"/>
      <c r="GW58" s="141"/>
      <c r="GX58" s="141"/>
      <c r="GY58" s="141"/>
      <c r="GZ58" s="141"/>
      <c r="HA58" s="141"/>
      <c r="HB58" s="141"/>
      <c r="HC58" s="141"/>
      <c r="HD58" s="141"/>
      <c r="HE58" s="141"/>
      <c r="HF58" s="141"/>
      <c r="HG58" s="141"/>
      <c r="HH58" s="141"/>
      <c r="HI58" s="141"/>
      <c r="HJ58" s="141"/>
      <c r="HK58" s="141"/>
      <c r="HL58" s="141"/>
      <c r="HM58" s="141"/>
      <c r="HN58" s="141"/>
      <c r="HO58" s="141"/>
      <c r="HP58" s="141"/>
      <c r="HQ58" s="141"/>
      <c r="HR58" s="141"/>
      <c r="HS58" s="141"/>
      <c r="HT58" s="141"/>
      <c r="HU58" s="141"/>
      <c r="HV58" s="141"/>
      <c r="HW58" s="141"/>
      <c r="HX58" s="141"/>
      <c r="HY58" s="141"/>
      <c r="HZ58" s="141"/>
      <c r="IA58" s="141"/>
      <c r="IB58" s="141"/>
      <c r="IC58" s="141"/>
      <c r="ID58" s="141"/>
      <c r="IE58" s="141"/>
      <c r="IF58" s="141"/>
      <c r="IG58" s="141"/>
      <c r="IH58" s="141"/>
      <c r="II58" s="141"/>
      <c r="IJ58" s="141"/>
      <c r="IK58" s="141"/>
      <c r="IL58" s="141"/>
      <c r="IM58" s="141"/>
      <c r="IN58" s="141"/>
      <c r="IO58" s="141"/>
      <c r="IP58" s="141"/>
      <c r="IQ58" s="141"/>
      <c r="IR58" s="141"/>
      <c r="IS58" s="141"/>
      <c r="IT58" s="141"/>
      <c r="IU58" s="141"/>
      <c r="IV58" s="141"/>
      <c r="IW58" s="141"/>
      <c r="IX58" s="141"/>
      <c r="IY58" s="141"/>
      <c r="IZ58" s="141"/>
      <c r="JA58" s="141"/>
      <c r="JB58" s="141"/>
      <c r="JC58" s="141"/>
      <c r="JD58" s="141"/>
      <c r="JE58" s="141"/>
      <c r="JF58" s="141"/>
      <c r="JG58" s="141"/>
      <c r="JH58" s="141"/>
      <c r="JI58" s="141"/>
      <c r="JJ58" s="141"/>
      <c r="JK58" s="141"/>
      <c r="JL58" s="141"/>
      <c r="JM58" s="141"/>
      <c r="JN58" s="141"/>
      <c r="JO58" s="141"/>
      <c r="JP58" s="141"/>
      <c r="JQ58" s="141"/>
      <c r="JR58" s="141"/>
      <c r="JS58" s="141"/>
      <c r="JT58" s="141"/>
      <c r="JU58" s="141"/>
      <c r="JV58" s="141"/>
      <c r="JW58" s="141"/>
      <c r="JX58" s="141"/>
      <c r="JY58" s="141"/>
      <c r="JZ58" s="141"/>
      <c r="KA58" s="141"/>
      <c r="KB58" s="141"/>
      <c r="KC58" s="141"/>
      <c r="KD58" s="141"/>
      <c r="KE58" s="141"/>
      <c r="KF58" s="141"/>
      <c r="KG58" s="141"/>
      <c r="KH58" s="141"/>
      <c r="KI58" s="141"/>
      <c r="KJ58" s="141"/>
      <c r="KK58" s="141"/>
      <c r="KL58" s="141"/>
      <c r="KM58" s="141"/>
      <c r="KN58" s="141"/>
    </row>
    <row r="59" spans="1:300" s="3" customFormat="1" ht="31.5" customHeight="1">
      <c r="A59" s="148"/>
      <c r="B59" s="8"/>
      <c r="C59" s="36"/>
      <c r="D59" s="36"/>
      <c r="E59" s="35"/>
      <c r="F59" s="35"/>
      <c r="G59" s="35"/>
      <c r="H59" s="151"/>
      <c r="I59" s="153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  <c r="GQ59" s="141"/>
      <c r="GR59" s="141"/>
      <c r="GS59" s="141"/>
      <c r="GT59" s="141"/>
      <c r="GU59" s="141"/>
      <c r="GV59" s="141"/>
      <c r="GW59" s="141"/>
      <c r="GX59" s="141"/>
      <c r="GY59" s="141"/>
      <c r="GZ59" s="141"/>
      <c r="HA59" s="141"/>
      <c r="HB59" s="141"/>
      <c r="HC59" s="141"/>
      <c r="HD59" s="141"/>
      <c r="HE59" s="141"/>
      <c r="HF59" s="141"/>
      <c r="HG59" s="141"/>
      <c r="HH59" s="141"/>
      <c r="HI59" s="141"/>
      <c r="HJ59" s="141"/>
      <c r="HK59" s="141"/>
      <c r="HL59" s="141"/>
      <c r="HM59" s="141"/>
      <c r="HN59" s="141"/>
      <c r="HO59" s="141"/>
      <c r="HP59" s="141"/>
      <c r="HQ59" s="141"/>
      <c r="HR59" s="141"/>
      <c r="HS59" s="141"/>
      <c r="HT59" s="141"/>
      <c r="HU59" s="141"/>
      <c r="HV59" s="141"/>
      <c r="HW59" s="141"/>
      <c r="HX59" s="141"/>
      <c r="HY59" s="141"/>
      <c r="HZ59" s="141"/>
      <c r="IA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R59" s="141"/>
      <c r="IS59" s="141"/>
      <c r="IT59" s="141"/>
      <c r="IU59" s="141"/>
      <c r="IV59" s="141"/>
      <c r="IW59" s="141"/>
      <c r="IX59" s="141"/>
      <c r="IY59" s="141"/>
      <c r="IZ59" s="141"/>
      <c r="JA59" s="141"/>
      <c r="JB59" s="141"/>
      <c r="JC59" s="141"/>
      <c r="JD59" s="141"/>
      <c r="JE59" s="141"/>
      <c r="JF59" s="141"/>
      <c r="JG59" s="141"/>
      <c r="JH59" s="141"/>
      <c r="JI59" s="141"/>
      <c r="JJ59" s="141"/>
      <c r="JK59" s="141"/>
      <c r="JL59" s="141"/>
      <c r="JM59" s="141"/>
      <c r="JN59" s="141"/>
      <c r="JO59" s="141"/>
      <c r="JP59" s="141"/>
      <c r="JQ59" s="141"/>
      <c r="JR59" s="141"/>
      <c r="JS59" s="141"/>
      <c r="JT59" s="141"/>
      <c r="JU59" s="141"/>
      <c r="JV59" s="141"/>
      <c r="JW59" s="141"/>
      <c r="JX59" s="141"/>
      <c r="JY59" s="141"/>
      <c r="JZ59" s="141"/>
      <c r="KA59" s="141"/>
      <c r="KB59" s="141"/>
      <c r="KC59" s="141"/>
      <c r="KD59" s="141"/>
      <c r="KE59" s="141"/>
      <c r="KF59" s="141"/>
      <c r="KG59" s="141"/>
      <c r="KH59" s="141"/>
      <c r="KI59" s="141"/>
      <c r="KJ59" s="141"/>
      <c r="KK59" s="141"/>
      <c r="KL59" s="141"/>
      <c r="KM59" s="141"/>
      <c r="KN59" s="141"/>
    </row>
    <row r="60" spans="1:300" s="3" customFormat="1" ht="31.5" customHeight="1">
      <c r="A60" s="148"/>
      <c r="B60" s="8"/>
      <c r="C60" s="36"/>
      <c r="D60" s="36"/>
      <c r="E60" s="35"/>
      <c r="F60" s="35"/>
      <c r="G60" s="35"/>
      <c r="H60" s="151"/>
      <c r="I60" s="153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  <c r="GQ60" s="141"/>
      <c r="GR60" s="141"/>
      <c r="GS60" s="141"/>
      <c r="GT60" s="141"/>
      <c r="GU60" s="141"/>
      <c r="GV60" s="141"/>
      <c r="GW60" s="141"/>
      <c r="GX60" s="141"/>
      <c r="GY60" s="141"/>
      <c r="GZ60" s="141"/>
      <c r="HA60" s="141"/>
      <c r="HB60" s="141"/>
      <c r="HC60" s="141"/>
      <c r="HD60" s="141"/>
      <c r="HE60" s="141"/>
      <c r="HF60" s="141"/>
      <c r="HG60" s="141"/>
      <c r="HH60" s="141"/>
      <c r="HI60" s="141"/>
      <c r="HJ60" s="141"/>
      <c r="HK60" s="141"/>
      <c r="HL60" s="141"/>
      <c r="HM60" s="141"/>
      <c r="HN60" s="141"/>
      <c r="HO60" s="141"/>
      <c r="HP60" s="141"/>
      <c r="HQ60" s="141"/>
      <c r="HR60" s="141"/>
      <c r="HS60" s="141"/>
      <c r="HT60" s="141"/>
      <c r="HU60" s="141"/>
      <c r="HV60" s="141"/>
      <c r="HW60" s="141"/>
      <c r="HX60" s="141"/>
      <c r="HY60" s="141"/>
      <c r="HZ60" s="141"/>
      <c r="IA60" s="141"/>
      <c r="IB60" s="141"/>
      <c r="IC60" s="141"/>
      <c r="ID60" s="141"/>
      <c r="IE60" s="141"/>
      <c r="IF60" s="141"/>
      <c r="IG60" s="141"/>
      <c r="IH60" s="141"/>
      <c r="II60" s="141"/>
      <c r="IJ60" s="141"/>
      <c r="IK60" s="141"/>
      <c r="IL60" s="141"/>
      <c r="IM60" s="141"/>
      <c r="IN60" s="141"/>
      <c r="IO60" s="141"/>
      <c r="IP60" s="141"/>
      <c r="IQ60" s="141"/>
      <c r="IR60" s="141"/>
      <c r="IS60" s="141"/>
      <c r="IT60" s="141"/>
      <c r="IU60" s="141"/>
      <c r="IV60" s="141"/>
      <c r="IW60" s="141"/>
      <c r="IX60" s="141"/>
      <c r="IY60" s="141"/>
      <c r="IZ60" s="141"/>
      <c r="JA60" s="141"/>
      <c r="JB60" s="141"/>
      <c r="JC60" s="141"/>
      <c r="JD60" s="141"/>
      <c r="JE60" s="141"/>
      <c r="JF60" s="141"/>
      <c r="JG60" s="141"/>
      <c r="JH60" s="141"/>
      <c r="JI60" s="141"/>
      <c r="JJ60" s="141"/>
      <c r="JK60" s="141"/>
      <c r="JL60" s="141"/>
      <c r="JM60" s="141"/>
      <c r="JN60" s="141"/>
      <c r="JO60" s="141"/>
      <c r="JP60" s="141"/>
      <c r="JQ60" s="141"/>
      <c r="JR60" s="141"/>
      <c r="JS60" s="141"/>
      <c r="JT60" s="141"/>
      <c r="JU60" s="141"/>
      <c r="JV60" s="141"/>
      <c r="JW60" s="141"/>
      <c r="JX60" s="141"/>
      <c r="JY60" s="141"/>
      <c r="JZ60" s="141"/>
      <c r="KA60" s="141"/>
      <c r="KB60" s="141"/>
      <c r="KC60" s="141"/>
      <c r="KD60" s="141"/>
      <c r="KE60" s="141"/>
      <c r="KF60" s="141"/>
      <c r="KG60" s="141"/>
      <c r="KH60" s="141"/>
      <c r="KI60" s="141"/>
      <c r="KJ60" s="141"/>
      <c r="KK60" s="141"/>
      <c r="KL60" s="141"/>
      <c r="KM60" s="141"/>
      <c r="KN60" s="141"/>
    </row>
    <row r="61" spans="1:300" s="3" customFormat="1" ht="31.5" customHeight="1">
      <c r="A61" s="148"/>
      <c r="B61" s="8"/>
      <c r="C61" s="36"/>
      <c r="D61" s="36"/>
      <c r="E61" s="35"/>
      <c r="F61" s="35"/>
      <c r="G61" s="35"/>
      <c r="H61" s="151"/>
      <c r="I61" s="153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  <c r="GQ61" s="141"/>
      <c r="GR61" s="141"/>
      <c r="GS61" s="141"/>
      <c r="GT61" s="141"/>
      <c r="GU61" s="141"/>
      <c r="GV61" s="141"/>
      <c r="GW61" s="141"/>
      <c r="GX61" s="141"/>
      <c r="GY61" s="141"/>
      <c r="GZ61" s="141"/>
      <c r="HA61" s="141"/>
      <c r="HB61" s="141"/>
      <c r="HC61" s="141"/>
      <c r="HD61" s="141"/>
      <c r="HE61" s="141"/>
      <c r="HF61" s="141"/>
      <c r="HG61" s="141"/>
      <c r="HH61" s="141"/>
      <c r="HI61" s="141"/>
      <c r="HJ61" s="141"/>
      <c r="HK61" s="141"/>
      <c r="HL61" s="141"/>
      <c r="HM61" s="141"/>
      <c r="HN61" s="141"/>
      <c r="HO61" s="141"/>
      <c r="HP61" s="141"/>
      <c r="HQ61" s="141"/>
      <c r="HR61" s="141"/>
      <c r="HS61" s="141"/>
      <c r="HT61" s="141"/>
      <c r="HU61" s="141"/>
      <c r="HV61" s="141"/>
      <c r="HW61" s="141"/>
      <c r="HX61" s="141"/>
      <c r="HY61" s="141"/>
      <c r="HZ61" s="141"/>
      <c r="IA61" s="141"/>
      <c r="IB61" s="141"/>
      <c r="IC61" s="141"/>
      <c r="ID61" s="141"/>
      <c r="IE61" s="141"/>
      <c r="IF61" s="141"/>
      <c r="IG61" s="141"/>
      <c r="IH61" s="141"/>
      <c r="II61" s="141"/>
      <c r="IJ61" s="141"/>
      <c r="IK61" s="141"/>
      <c r="IL61" s="141"/>
      <c r="IM61" s="141"/>
      <c r="IN61" s="141"/>
      <c r="IO61" s="141"/>
      <c r="IP61" s="141"/>
      <c r="IQ61" s="141"/>
      <c r="IR61" s="141"/>
      <c r="IS61" s="141"/>
      <c r="IT61" s="141"/>
      <c r="IU61" s="141"/>
      <c r="IV61" s="141"/>
      <c r="IW61" s="141"/>
      <c r="IX61" s="141"/>
      <c r="IY61" s="141"/>
      <c r="IZ61" s="141"/>
      <c r="JA61" s="141"/>
      <c r="JB61" s="141"/>
      <c r="JC61" s="141"/>
      <c r="JD61" s="141"/>
      <c r="JE61" s="141"/>
      <c r="JF61" s="141"/>
      <c r="JG61" s="141"/>
      <c r="JH61" s="141"/>
      <c r="JI61" s="141"/>
      <c r="JJ61" s="141"/>
      <c r="JK61" s="141"/>
      <c r="JL61" s="141"/>
      <c r="JM61" s="141"/>
      <c r="JN61" s="141"/>
      <c r="JO61" s="141"/>
      <c r="JP61" s="141"/>
      <c r="JQ61" s="141"/>
      <c r="JR61" s="141"/>
      <c r="JS61" s="141"/>
      <c r="JT61" s="141"/>
      <c r="JU61" s="141"/>
      <c r="JV61" s="141"/>
      <c r="JW61" s="141"/>
      <c r="JX61" s="141"/>
      <c r="JY61" s="141"/>
      <c r="JZ61" s="141"/>
      <c r="KA61" s="141"/>
      <c r="KB61" s="141"/>
      <c r="KC61" s="141"/>
      <c r="KD61" s="141"/>
      <c r="KE61" s="141"/>
      <c r="KF61" s="141"/>
      <c r="KG61" s="141"/>
      <c r="KH61" s="141"/>
      <c r="KI61" s="141"/>
      <c r="KJ61" s="141"/>
      <c r="KK61" s="141"/>
      <c r="KL61" s="141"/>
      <c r="KM61" s="141"/>
      <c r="KN61" s="141"/>
    </row>
    <row r="62" spans="1:300" s="3" customFormat="1" ht="31.5" customHeight="1">
      <c r="A62" s="148"/>
      <c r="B62" s="8"/>
      <c r="C62" s="36"/>
      <c r="D62" s="36"/>
      <c r="E62" s="35"/>
      <c r="F62" s="35"/>
      <c r="G62" s="35"/>
      <c r="H62" s="151"/>
      <c r="I62" s="153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 s="141"/>
      <c r="CA62" s="141"/>
      <c r="CB62" s="141"/>
      <c r="CC62" s="141"/>
      <c r="CD62" s="141"/>
      <c r="CE62" s="141"/>
      <c r="CF62" s="141"/>
      <c r="CG62" s="141"/>
      <c r="CH62" s="141"/>
      <c r="CI62" s="141"/>
      <c r="CJ62" s="141"/>
      <c r="CK62" s="141"/>
      <c r="CL62" s="141"/>
      <c r="CM62" s="141"/>
      <c r="CN62" s="141"/>
      <c r="CO62" s="141"/>
      <c r="CP62" s="141"/>
      <c r="CQ62" s="141"/>
      <c r="CR62" s="141"/>
      <c r="CS62" s="141"/>
      <c r="CT62" s="141"/>
      <c r="CU62" s="141"/>
      <c r="CV62" s="141"/>
      <c r="CW62" s="141"/>
      <c r="CX62" s="141"/>
      <c r="CY62" s="141"/>
      <c r="CZ62" s="141"/>
      <c r="DA62" s="141"/>
      <c r="DB62" s="141"/>
      <c r="DC62" s="141"/>
      <c r="DD62" s="141"/>
      <c r="DE62" s="141"/>
      <c r="DF62" s="141"/>
      <c r="DG62" s="141"/>
      <c r="DH62" s="141"/>
      <c r="DI62" s="141"/>
      <c r="DJ62" s="141"/>
      <c r="DK62" s="141"/>
      <c r="DL62" s="141"/>
      <c r="DM62" s="141"/>
      <c r="DN62" s="141"/>
      <c r="DO62" s="141"/>
      <c r="DP62" s="141"/>
      <c r="DQ62" s="141"/>
      <c r="DR62" s="141"/>
      <c r="DS62" s="141"/>
      <c r="DT62" s="141"/>
      <c r="DU62" s="141"/>
      <c r="DV62" s="141"/>
      <c r="DW62" s="141"/>
      <c r="DX62" s="141"/>
      <c r="DY62" s="141"/>
      <c r="DZ62" s="141"/>
      <c r="EA62" s="141"/>
      <c r="EB62" s="141"/>
      <c r="EC62" s="141"/>
      <c r="ED62" s="141"/>
      <c r="EE62" s="141"/>
      <c r="EF62" s="141"/>
      <c r="EG62" s="141"/>
      <c r="EH62" s="141"/>
      <c r="EI62" s="141"/>
      <c r="EJ62" s="141"/>
      <c r="EK62" s="141"/>
      <c r="EL62" s="141"/>
      <c r="EM62" s="141"/>
      <c r="EN62" s="141"/>
      <c r="EO62" s="141"/>
      <c r="EP62" s="141"/>
      <c r="EQ62" s="141"/>
      <c r="ER62" s="141"/>
      <c r="ES62" s="141"/>
      <c r="ET62" s="141"/>
      <c r="EU62" s="141"/>
      <c r="EV62" s="141"/>
      <c r="EW62" s="141"/>
      <c r="EX62" s="141"/>
      <c r="EY62" s="141"/>
      <c r="EZ62" s="141"/>
      <c r="FA62" s="141"/>
      <c r="FB62" s="141"/>
      <c r="FC62" s="141"/>
      <c r="FD62" s="141"/>
      <c r="FE62" s="141"/>
      <c r="FF62" s="141"/>
      <c r="FG62" s="141"/>
      <c r="FH62" s="141"/>
      <c r="FI62" s="141"/>
      <c r="FJ62" s="141"/>
      <c r="FK62" s="141"/>
      <c r="FL62" s="141"/>
      <c r="FM62" s="141"/>
      <c r="FN62" s="141"/>
      <c r="FO62" s="141"/>
      <c r="FP62" s="141"/>
      <c r="FQ62" s="141"/>
      <c r="FR62" s="141"/>
      <c r="FS62" s="141"/>
      <c r="FT62" s="141"/>
      <c r="FU62" s="141"/>
      <c r="FV62" s="141"/>
      <c r="FW62" s="141"/>
      <c r="FX62" s="141"/>
      <c r="FY62" s="141"/>
      <c r="FZ62" s="141"/>
      <c r="GA62" s="141"/>
      <c r="GB62" s="141"/>
      <c r="GC62" s="141"/>
      <c r="GD62" s="141"/>
      <c r="GE62" s="141"/>
      <c r="GF62" s="141"/>
      <c r="GG62" s="141"/>
      <c r="GH62" s="141"/>
      <c r="GI62" s="141"/>
      <c r="GJ62" s="141"/>
      <c r="GK62" s="141"/>
      <c r="GL62" s="141"/>
      <c r="GM62" s="141"/>
      <c r="GN62" s="141"/>
      <c r="GO62" s="141"/>
      <c r="GP62" s="141"/>
      <c r="GQ62" s="141"/>
      <c r="GR62" s="141"/>
      <c r="GS62" s="141"/>
      <c r="GT62" s="141"/>
      <c r="GU62" s="141"/>
      <c r="GV62" s="141"/>
      <c r="GW62" s="141"/>
      <c r="GX62" s="141"/>
      <c r="GY62" s="141"/>
      <c r="GZ62" s="141"/>
      <c r="HA62" s="141"/>
      <c r="HB62" s="141"/>
      <c r="HC62" s="141"/>
      <c r="HD62" s="141"/>
      <c r="HE62" s="141"/>
      <c r="HF62" s="141"/>
      <c r="HG62" s="141"/>
      <c r="HH62" s="141"/>
      <c r="HI62" s="141"/>
      <c r="HJ62" s="141"/>
      <c r="HK62" s="141"/>
      <c r="HL62" s="141"/>
      <c r="HM62" s="141"/>
      <c r="HN62" s="141"/>
      <c r="HO62" s="141"/>
      <c r="HP62" s="141"/>
      <c r="HQ62" s="141"/>
      <c r="HR62" s="141"/>
      <c r="HS62" s="141"/>
      <c r="HT62" s="141"/>
      <c r="HU62" s="141"/>
      <c r="HV62" s="141"/>
      <c r="HW62" s="141"/>
      <c r="HX62" s="141"/>
      <c r="HY62" s="141"/>
      <c r="HZ62" s="141"/>
      <c r="IA62" s="141"/>
      <c r="IB62" s="141"/>
      <c r="IC62" s="141"/>
      <c r="ID62" s="141"/>
      <c r="IE62" s="141"/>
      <c r="IF62" s="141"/>
      <c r="IG62" s="141"/>
      <c r="IH62" s="141"/>
      <c r="II62" s="141"/>
      <c r="IJ62" s="141"/>
      <c r="IK62" s="141"/>
      <c r="IL62" s="141"/>
      <c r="IM62" s="141"/>
      <c r="IN62" s="141"/>
      <c r="IO62" s="141"/>
      <c r="IP62" s="141"/>
      <c r="IQ62" s="141"/>
      <c r="IR62" s="141"/>
      <c r="IS62" s="141"/>
      <c r="IT62" s="141"/>
      <c r="IU62" s="141"/>
      <c r="IV62" s="141"/>
      <c r="IW62" s="141"/>
      <c r="IX62" s="141"/>
      <c r="IY62" s="141"/>
      <c r="IZ62" s="141"/>
      <c r="JA62" s="141"/>
      <c r="JB62" s="141"/>
      <c r="JC62" s="141"/>
      <c r="JD62" s="141"/>
      <c r="JE62" s="141"/>
      <c r="JF62" s="141"/>
      <c r="JG62" s="141"/>
      <c r="JH62" s="141"/>
      <c r="JI62" s="141"/>
      <c r="JJ62" s="141"/>
      <c r="JK62" s="141"/>
      <c r="JL62" s="141"/>
      <c r="JM62" s="141"/>
      <c r="JN62" s="141"/>
      <c r="JO62" s="141"/>
      <c r="JP62" s="141"/>
      <c r="JQ62" s="141"/>
      <c r="JR62" s="141"/>
      <c r="JS62" s="141"/>
      <c r="JT62" s="141"/>
      <c r="JU62" s="141"/>
      <c r="JV62" s="141"/>
      <c r="JW62" s="141"/>
      <c r="JX62" s="141"/>
      <c r="JY62" s="141"/>
      <c r="JZ62" s="141"/>
      <c r="KA62" s="141"/>
      <c r="KB62" s="141"/>
      <c r="KC62" s="141"/>
      <c r="KD62" s="141"/>
      <c r="KE62" s="141"/>
      <c r="KF62" s="141"/>
      <c r="KG62" s="141"/>
      <c r="KH62" s="141"/>
      <c r="KI62" s="141"/>
      <c r="KJ62" s="141"/>
      <c r="KK62" s="141"/>
      <c r="KL62" s="141"/>
      <c r="KM62" s="141"/>
      <c r="KN62" s="141"/>
    </row>
    <row r="63" spans="1:300" s="3" customFormat="1" ht="31.5" customHeight="1">
      <c r="A63" s="148"/>
      <c r="B63" s="8"/>
      <c r="C63" s="36"/>
      <c r="D63" s="36"/>
      <c r="E63" s="35"/>
      <c r="F63" s="35"/>
      <c r="G63" s="35"/>
      <c r="H63" s="151"/>
      <c r="I63" s="153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41"/>
      <c r="CA63" s="141"/>
      <c r="CB63" s="141"/>
      <c r="CC63" s="141"/>
      <c r="CD63" s="141"/>
      <c r="CE63" s="141"/>
      <c r="CF63" s="141"/>
      <c r="CG63" s="141"/>
      <c r="CH63" s="141"/>
      <c r="CI63" s="141"/>
      <c r="CJ63" s="141"/>
      <c r="CK63" s="141"/>
      <c r="CL63" s="141"/>
      <c r="CM63" s="141"/>
      <c r="CN63" s="141"/>
      <c r="CO63" s="141"/>
      <c r="CP63" s="141"/>
      <c r="CQ63" s="141"/>
      <c r="CR63" s="141"/>
      <c r="CS63" s="141"/>
      <c r="CT63" s="141"/>
      <c r="CU63" s="141"/>
      <c r="CV63" s="141"/>
      <c r="CW63" s="141"/>
      <c r="CX63" s="141"/>
      <c r="CY63" s="141"/>
      <c r="CZ63" s="141"/>
      <c r="DA63" s="141"/>
      <c r="DB63" s="141"/>
      <c r="DC63" s="141"/>
      <c r="DD63" s="141"/>
      <c r="DE63" s="141"/>
      <c r="DF63" s="141"/>
      <c r="DG63" s="141"/>
      <c r="DH63" s="141"/>
      <c r="DI63" s="141"/>
      <c r="DJ63" s="141"/>
      <c r="DK63" s="141"/>
      <c r="DL63" s="141"/>
      <c r="DM63" s="141"/>
      <c r="DN63" s="141"/>
      <c r="DO63" s="141"/>
      <c r="DP63" s="141"/>
      <c r="DQ63" s="141"/>
      <c r="DR63" s="141"/>
      <c r="DS63" s="141"/>
      <c r="DT63" s="141"/>
      <c r="DU63" s="141"/>
      <c r="DV63" s="141"/>
      <c r="DW63" s="141"/>
      <c r="DX63" s="141"/>
      <c r="DY63" s="141"/>
      <c r="DZ63" s="141"/>
      <c r="EA63" s="141"/>
      <c r="EB63" s="141"/>
      <c r="EC63" s="141"/>
      <c r="ED63" s="141"/>
      <c r="EE63" s="141"/>
      <c r="EF63" s="141"/>
      <c r="EG63" s="141"/>
      <c r="EH63" s="141"/>
      <c r="EI63" s="141"/>
      <c r="EJ63" s="141"/>
      <c r="EK63" s="141"/>
      <c r="EL63" s="141"/>
      <c r="EM63" s="141"/>
      <c r="EN63" s="141"/>
      <c r="EO63" s="141"/>
      <c r="EP63" s="141"/>
      <c r="EQ63" s="141"/>
      <c r="ER63" s="141"/>
      <c r="ES63" s="141"/>
      <c r="ET63" s="141"/>
      <c r="EU63" s="141"/>
      <c r="EV63" s="141"/>
      <c r="EW63" s="141"/>
      <c r="EX63" s="141"/>
      <c r="EY63" s="141"/>
      <c r="EZ63" s="141"/>
      <c r="FA63" s="141"/>
      <c r="FB63" s="141"/>
      <c r="FC63" s="141"/>
      <c r="FD63" s="141"/>
      <c r="FE63" s="141"/>
      <c r="FF63" s="141"/>
      <c r="FG63" s="141"/>
      <c r="FH63" s="141"/>
      <c r="FI63" s="141"/>
      <c r="FJ63" s="141"/>
      <c r="FK63" s="141"/>
      <c r="FL63" s="141"/>
      <c r="FM63" s="141"/>
      <c r="FN63" s="141"/>
      <c r="FO63" s="141"/>
      <c r="FP63" s="141"/>
      <c r="FQ63" s="141"/>
      <c r="FR63" s="141"/>
      <c r="FS63" s="141"/>
      <c r="FT63" s="141"/>
      <c r="FU63" s="141"/>
      <c r="FV63" s="141"/>
      <c r="FW63" s="141"/>
      <c r="FX63" s="141"/>
      <c r="FY63" s="141"/>
      <c r="FZ63" s="141"/>
      <c r="GA63" s="141"/>
      <c r="GB63" s="141"/>
      <c r="GC63" s="141"/>
      <c r="GD63" s="141"/>
      <c r="GE63" s="141"/>
      <c r="GF63" s="141"/>
      <c r="GG63" s="141"/>
      <c r="GH63" s="141"/>
      <c r="GI63" s="141"/>
      <c r="GJ63" s="141"/>
      <c r="GK63" s="141"/>
      <c r="GL63" s="141"/>
      <c r="GM63" s="141"/>
      <c r="GN63" s="141"/>
      <c r="GO63" s="141"/>
      <c r="GP63" s="141"/>
      <c r="GQ63" s="141"/>
      <c r="GR63" s="141"/>
      <c r="GS63" s="141"/>
      <c r="GT63" s="141"/>
      <c r="GU63" s="141"/>
      <c r="GV63" s="141"/>
      <c r="GW63" s="141"/>
      <c r="GX63" s="141"/>
      <c r="GY63" s="141"/>
      <c r="GZ63" s="141"/>
      <c r="HA63" s="141"/>
      <c r="HB63" s="141"/>
      <c r="HC63" s="141"/>
      <c r="HD63" s="141"/>
      <c r="HE63" s="141"/>
      <c r="HF63" s="141"/>
      <c r="HG63" s="141"/>
      <c r="HH63" s="141"/>
      <c r="HI63" s="141"/>
      <c r="HJ63" s="141"/>
      <c r="HK63" s="141"/>
      <c r="HL63" s="141"/>
      <c r="HM63" s="141"/>
      <c r="HN63" s="141"/>
      <c r="HO63" s="141"/>
      <c r="HP63" s="141"/>
      <c r="HQ63" s="141"/>
      <c r="HR63" s="141"/>
      <c r="HS63" s="141"/>
      <c r="HT63" s="141"/>
      <c r="HU63" s="141"/>
      <c r="HV63" s="141"/>
      <c r="HW63" s="141"/>
      <c r="HX63" s="141"/>
      <c r="HY63" s="141"/>
      <c r="HZ63" s="141"/>
      <c r="IA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R63" s="141"/>
      <c r="IS63" s="141"/>
      <c r="IT63" s="141"/>
      <c r="IU63" s="141"/>
      <c r="IV63" s="141"/>
      <c r="IW63" s="141"/>
      <c r="IX63" s="141"/>
      <c r="IY63" s="141"/>
      <c r="IZ63" s="141"/>
      <c r="JA63" s="141"/>
      <c r="JB63" s="141"/>
      <c r="JC63" s="141"/>
      <c r="JD63" s="141"/>
      <c r="JE63" s="141"/>
      <c r="JF63" s="141"/>
      <c r="JG63" s="141"/>
      <c r="JH63" s="141"/>
      <c r="JI63" s="141"/>
      <c r="JJ63" s="141"/>
      <c r="JK63" s="141"/>
      <c r="JL63" s="141"/>
      <c r="JM63" s="141"/>
      <c r="JN63" s="141"/>
      <c r="JO63" s="141"/>
      <c r="JP63" s="141"/>
      <c r="JQ63" s="141"/>
      <c r="JR63" s="141"/>
      <c r="JS63" s="141"/>
      <c r="JT63" s="141"/>
      <c r="JU63" s="141"/>
      <c r="JV63" s="141"/>
      <c r="JW63" s="141"/>
      <c r="JX63" s="141"/>
      <c r="JY63" s="141"/>
      <c r="JZ63" s="141"/>
      <c r="KA63" s="141"/>
      <c r="KB63" s="141"/>
      <c r="KC63" s="141"/>
      <c r="KD63" s="141"/>
      <c r="KE63" s="141"/>
      <c r="KF63" s="141"/>
      <c r="KG63" s="141"/>
      <c r="KH63" s="141"/>
      <c r="KI63" s="141"/>
      <c r="KJ63" s="141"/>
      <c r="KK63" s="141"/>
      <c r="KL63" s="141"/>
      <c r="KM63" s="141"/>
      <c r="KN63" s="141"/>
    </row>
    <row r="64" spans="1:300" s="3" customFormat="1" ht="31.5" customHeight="1">
      <c r="A64" s="148"/>
      <c r="B64" s="8"/>
      <c r="C64" s="36"/>
      <c r="D64" s="36"/>
      <c r="E64" s="35"/>
      <c r="F64" s="35"/>
      <c r="G64" s="35"/>
      <c r="H64" s="151"/>
      <c r="I64" s="153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41"/>
      <c r="CA64" s="141"/>
      <c r="CB64" s="141"/>
      <c r="CC64" s="141"/>
      <c r="CD64" s="141"/>
      <c r="CE64" s="141"/>
      <c r="CF64" s="141"/>
      <c r="CG64" s="141"/>
      <c r="CH64" s="141"/>
      <c r="CI64" s="141"/>
      <c r="CJ64" s="141"/>
      <c r="CK64" s="141"/>
      <c r="CL64" s="141"/>
      <c r="CM64" s="141"/>
      <c r="CN64" s="141"/>
      <c r="CO64" s="141"/>
      <c r="CP64" s="141"/>
      <c r="CQ64" s="141"/>
      <c r="CR64" s="141"/>
      <c r="CS64" s="141"/>
      <c r="CT64" s="141"/>
      <c r="CU64" s="141"/>
      <c r="CV64" s="141"/>
      <c r="CW64" s="141"/>
      <c r="CX64" s="141"/>
      <c r="CY64" s="141"/>
      <c r="CZ64" s="141"/>
      <c r="DA64" s="141"/>
      <c r="DB64" s="141"/>
      <c r="DC64" s="141"/>
      <c r="DD64" s="141"/>
      <c r="DE64" s="141"/>
      <c r="DF64" s="141"/>
      <c r="DG64" s="141"/>
      <c r="DH64" s="141"/>
      <c r="DI64" s="141"/>
      <c r="DJ64" s="141"/>
      <c r="DK64" s="141"/>
      <c r="DL64" s="141"/>
      <c r="DM64" s="141"/>
      <c r="DN64" s="141"/>
      <c r="DO64" s="141"/>
      <c r="DP64" s="141"/>
      <c r="DQ64" s="141"/>
      <c r="DR64" s="141"/>
      <c r="DS64" s="141"/>
      <c r="DT64" s="141"/>
      <c r="DU64" s="141"/>
      <c r="DV64" s="141"/>
      <c r="DW64" s="141"/>
      <c r="DX64" s="141"/>
      <c r="DY64" s="141"/>
      <c r="DZ64" s="141"/>
      <c r="EA64" s="141"/>
      <c r="EB64" s="141"/>
      <c r="EC64" s="141"/>
      <c r="ED64" s="141"/>
      <c r="EE64" s="141"/>
      <c r="EF64" s="141"/>
      <c r="EG64" s="141"/>
      <c r="EH64" s="141"/>
      <c r="EI64" s="141"/>
      <c r="EJ64" s="141"/>
      <c r="EK64" s="141"/>
      <c r="EL64" s="141"/>
      <c r="EM64" s="141"/>
      <c r="EN64" s="141"/>
      <c r="EO64" s="141"/>
      <c r="EP64" s="141"/>
      <c r="EQ64" s="141"/>
      <c r="ER64" s="141"/>
      <c r="ES64" s="141"/>
      <c r="ET64" s="141"/>
      <c r="EU64" s="141"/>
      <c r="EV64" s="141"/>
      <c r="EW64" s="141"/>
      <c r="EX64" s="141"/>
      <c r="EY64" s="141"/>
      <c r="EZ64" s="141"/>
      <c r="FA64" s="141"/>
      <c r="FB64" s="141"/>
      <c r="FC64" s="141"/>
      <c r="FD64" s="141"/>
      <c r="FE64" s="141"/>
      <c r="FF64" s="141"/>
      <c r="FG64" s="141"/>
      <c r="FH64" s="141"/>
      <c r="FI64" s="141"/>
      <c r="FJ64" s="141"/>
      <c r="FK64" s="141"/>
      <c r="FL64" s="141"/>
      <c r="FM64" s="141"/>
      <c r="FN64" s="141"/>
      <c r="FO64" s="141"/>
      <c r="FP64" s="141"/>
      <c r="FQ64" s="141"/>
      <c r="FR64" s="141"/>
      <c r="FS64" s="141"/>
      <c r="FT64" s="141"/>
      <c r="FU64" s="141"/>
      <c r="FV64" s="141"/>
      <c r="FW64" s="141"/>
      <c r="FX64" s="141"/>
      <c r="FY64" s="141"/>
      <c r="FZ64" s="141"/>
      <c r="GA64" s="141"/>
      <c r="GB64" s="141"/>
      <c r="GC64" s="141"/>
      <c r="GD64" s="141"/>
      <c r="GE64" s="141"/>
      <c r="GF64" s="141"/>
      <c r="GG64" s="141"/>
      <c r="GH64" s="141"/>
      <c r="GI64" s="141"/>
      <c r="GJ64" s="141"/>
      <c r="GK64" s="141"/>
      <c r="GL64" s="141"/>
      <c r="GM64" s="141"/>
      <c r="GN64" s="141"/>
      <c r="GO64" s="141"/>
      <c r="GP64" s="141"/>
      <c r="GQ64" s="141"/>
      <c r="GR64" s="141"/>
      <c r="GS64" s="141"/>
      <c r="GT64" s="141"/>
      <c r="GU64" s="141"/>
      <c r="GV64" s="141"/>
      <c r="GW64" s="141"/>
      <c r="GX64" s="141"/>
      <c r="GY64" s="141"/>
      <c r="GZ64" s="141"/>
      <c r="HA64" s="141"/>
      <c r="HB64" s="141"/>
      <c r="HC64" s="141"/>
      <c r="HD64" s="141"/>
      <c r="HE64" s="141"/>
      <c r="HF64" s="141"/>
      <c r="HG64" s="141"/>
      <c r="HH64" s="141"/>
      <c r="HI64" s="141"/>
      <c r="HJ64" s="141"/>
      <c r="HK64" s="141"/>
      <c r="HL64" s="141"/>
      <c r="HM64" s="141"/>
      <c r="HN64" s="141"/>
      <c r="HO64" s="141"/>
      <c r="HP64" s="141"/>
      <c r="HQ64" s="141"/>
      <c r="HR64" s="141"/>
      <c r="HS64" s="141"/>
      <c r="HT64" s="141"/>
      <c r="HU64" s="141"/>
      <c r="HV64" s="141"/>
      <c r="HW64" s="141"/>
      <c r="HX64" s="141"/>
      <c r="HY64" s="141"/>
      <c r="HZ64" s="141"/>
      <c r="IA64" s="141"/>
      <c r="IB64" s="141"/>
      <c r="IC64" s="141"/>
      <c r="ID64" s="141"/>
      <c r="IE64" s="141"/>
      <c r="IF64" s="141"/>
      <c r="IG64" s="141"/>
      <c r="IH64" s="141"/>
      <c r="II64" s="141"/>
      <c r="IJ64" s="141"/>
      <c r="IK64" s="141"/>
      <c r="IL64" s="141"/>
      <c r="IM64" s="141"/>
      <c r="IN64" s="141"/>
      <c r="IO64" s="141"/>
      <c r="IP64" s="141"/>
      <c r="IQ64" s="141"/>
      <c r="IR64" s="141"/>
      <c r="IS64" s="141"/>
      <c r="IT64" s="141"/>
      <c r="IU64" s="141"/>
      <c r="IV64" s="141"/>
      <c r="IW64" s="141"/>
      <c r="IX64" s="141"/>
      <c r="IY64" s="141"/>
      <c r="IZ64" s="141"/>
      <c r="JA64" s="141"/>
      <c r="JB64" s="141"/>
      <c r="JC64" s="141"/>
      <c r="JD64" s="141"/>
      <c r="JE64" s="141"/>
      <c r="JF64" s="141"/>
      <c r="JG64" s="141"/>
      <c r="JH64" s="141"/>
      <c r="JI64" s="141"/>
      <c r="JJ64" s="141"/>
      <c r="JK64" s="141"/>
      <c r="JL64" s="141"/>
      <c r="JM64" s="141"/>
      <c r="JN64" s="141"/>
      <c r="JO64" s="141"/>
      <c r="JP64" s="141"/>
      <c r="JQ64" s="141"/>
      <c r="JR64" s="141"/>
      <c r="JS64" s="141"/>
      <c r="JT64" s="141"/>
      <c r="JU64" s="141"/>
      <c r="JV64" s="141"/>
      <c r="JW64" s="141"/>
      <c r="JX64" s="141"/>
      <c r="JY64" s="141"/>
      <c r="JZ64" s="141"/>
      <c r="KA64" s="141"/>
      <c r="KB64" s="141"/>
      <c r="KC64" s="141"/>
      <c r="KD64" s="141"/>
      <c r="KE64" s="141"/>
      <c r="KF64" s="141"/>
      <c r="KG64" s="141"/>
      <c r="KH64" s="141"/>
      <c r="KI64" s="141"/>
      <c r="KJ64" s="141"/>
      <c r="KK64" s="141"/>
      <c r="KL64" s="141"/>
      <c r="KM64" s="141"/>
      <c r="KN64" s="141"/>
    </row>
    <row r="65" spans="1:300" s="3" customFormat="1" ht="31.5" customHeight="1">
      <c r="A65" s="148"/>
      <c r="B65" s="8"/>
      <c r="C65" s="36"/>
      <c r="D65" s="36"/>
      <c r="E65" s="35"/>
      <c r="F65" s="35"/>
      <c r="G65" s="35"/>
      <c r="H65" s="151"/>
      <c r="I65" s="153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41"/>
      <c r="CA65" s="141"/>
      <c r="CB65" s="141"/>
      <c r="CC65" s="141"/>
      <c r="CD65" s="141"/>
      <c r="CE65" s="141"/>
      <c r="CF65" s="141"/>
      <c r="CG65" s="141"/>
      <c r="CH65" s="141"/>
      <c r="CI65" s="141"/>
      <c r="CJ65" s="141"/>
      <c r="CK65" s="141"/>
      <c r="CL65" s="141"/>
      <c r="CM65" s="141"/>
      <c r="CN65" s="141"/>
      <c r="CO65" s="141"/>
      <c r="CP65" s="141"/>
      <c r="CQ65" s="141"/>
      <c r="CR65" s="141"/>
      <c r="CS65" s="141"/>
      <c r="CT65" s="141"/>
      <c r="CU65" s="141"/>
      <c r="CV65" s="141"/>
      <c r="CW65" s="141"/>
      <c r="CX65" s="141"/>
      <c r="CY65" s="141"/>
      <c r="CZ65" s="141"/>
      <c r="DA65" s="141"/>
      <c r="DB65" s="141"/>
      <c r="DC65" s="141"/>
      <c r="DD65" s="141"/>
      <c r="DE65" s="141"/>
      <c r="DF65" s="141"/>
      <c r="DG65" s="141"/>
      <c r="DH65" s="141"/>
      <c r="DI65" s="141"/>
      <c r="DJ65" s="141"/>
      <c r="DK65" s="141"/>
      <c r="DL65" s="141"/>
      <c r="DM65" s="141"/>
      <c r="DN65" s="141"/>
      <c r="DO65" s="141"/>
      <c r="DP65" s="141"/>
      <c r="DQ65" s="141"/>
      <c r="DR65" s="141"/>
      <c r="DS65" s="141"/>
      <c r="DT65" s="141"/>
      <c r="DU65" s="141"/>
      <c r="DV65" s="141"/>
      <c r="DW65" s="141"/>
      <c r="DX65" s="141"/>
      <c r="DY65" s="141"/>
      <c r="DZ65" s="141"/>
      <c r="EA65" s="141"/>
      <c r="EB65" s="141"/>
      <c r="EC65" s="141"/>
      <c r="ED65" s="141"/>
      <c r="EE65" s="141"/>
      <c r="EF65" s="141"/>
      <c r="EG65" s="141"/>
      <c r="EH65" s="141"/>
      <c r="EI65" s="141"/>
      <c r="EJ65" s="141"/>
      <c r="EK65" s="141"/>
      <c r="EL65" s="141"/>
      <c r="EM65" s="141"/>
      <c r="EN65" s="141"/>
      <c r="EO65" s="141"/>
      <c r="EP65" s="141"/>
      <c r="EQ65" s="141"/>
      <c r="ER65" s="141"/>
      <c r="ES65" s="141"/>
      <c r="ET65" s="141"/>
      <c r="EU65" s="141"/>
      <c r="EV65" s="141"/>
      <c r="EW65" s="141"/>
      <c r="EX65" s="141"/>
      <c r="EY65" s="141"/>
      <c r="EZ65" s="141"/>
      <c r="FA65" s="141"/>
      <c r="FB65" s="141"/>
      <c r="FC65" s="141"/>
      <c r="FD65" s="141"/>
      <c r="FE65" s="141"/>
      <c r="FF65" s="141"/>
      <c r="FG65" s="141"/>
      <c r="FH65" s="141"/>
      <c r="FI65" s="141"/>
      <c r="FJ65" s="141"/>
      <c r="FK65" s="141"/>
      <c r="FL65" s="141"/>
      <c r="FM65" s="141"/>
      <c r="FN65" s="141"/>
      <c r="FO65" s="141"/>
      <c r="FP65" s="141"/>
      <c r="FQ65" s="141"/>
      <c r="FR65" s="141"/>
      <c r="FS65" s="141"/>
      <c r="FT65" s="141"/>
      <c r="FU65" s="141"/>
      <c r="FV65" s="141"/>
      <c r="FW65" s="141"/>
      <c r="FX65" s="141"/>
      <c r="FY65" s="141"/>
      <c r="FZ65" s="141"/>
      <c r="GA65" s="141"/>
      <c r="GB65" s="141"/>
      <c r="GC65" s="141"/>
      <c r="GD65" s="141"/>
      <c r="GE65" s="141"/>
      <c r="GF65" s="141"/>
      <c r="GG65" s="141"/>
      <c r="GH65" s="141"/>
      <c r="GI65" s="141"/>
      <c r="GJ65" s="141"/>
      <c r="GK65" s="141"/>
      <c r="GL65" s="141"/>
      <c r="GM65" s="141"/>
      <c r="GN65" s="141"/>
      <c r="GO65" s="141"/>
      <c r="GP65" s="141"/>
      <c r="GQ65" s="141"/>
      <c r="GR65" s="141"/>
      <c r="GS65" s="141"/>
      <c r="GT65" s="141"/>
      <c r="GU65" s="141"/>
      <c r="GV65" s="141"/>
      <c r="GW65" s="141"/>
      <c r="GX65" s="141"/>
      <c r="GY65" s="141"/>
      <c r="GZ65" s="141"/>
      <c r="HA65" s="141"/>
      <c r="HB65" s="141"/>
      <c r="HC65" s="141"/>
      <c r="HD65" s="141"/>
      <c r="HE65" s="141"/>
      <c r="HF65" s="141"/>
      <c r="HG65" s="141"/>
      <c r="HH65" s="141"/>
      <c r="HI65" s="141"/>
      <c r="HJ65" s="141"/>
      <c r="HK65" s="141"/>
      <c r="HL65" s="141"/>
      <c r="HM65" s="141"/>
      <c r="HN65" s="141"/>
      <c r="HO65" s="141"/>
      <c r="HP65" s="141"/>
      <c r="HQ65" s="141"/>
      <c r="HR65" s="141"/>
      <c r="HS65" s="141"/>
      <c r="HT65" s="141"/>
      <c r="HU65" s="141"/>
      <c r="HV65" s="141"/>
      <c r="HW65" s="141"/>
      <c r="HX65" s="141"/>
      <c r="HY65" s="141"/>
      <c r="HZ65" s="141"/>
      <c r="IA65" s="141"/>
      <c r="IB65" s="141"/>
      <c r="IC65" s="141"/>
      <c r="ID65" s="141"/>
      <c r="IE65" s="141"/>
      <c r="IF65" s="141"/>
      <c r="IG65" s="141"/>
      <c r="IH65" s="141"/>
      <c r="II65" s="141"/>
      <c r="IJ65" s="141"/>
      <c r="IK65" s="141"/>
      <c r="IL65" s="141"/>
      <c r="IM65" s="141"/>
      <c r="IN65" s="141"/>
      <c r="IO65" s="141"/>
      <c r="IP65" s="141"/>
      <c r="IQ65" s="141"/>
      <c r="IR65" s="141"/>
      <c r="IS65" s="141"/>
      <c r="IT65" s="141"/>
      <c r="IU65" s="141"/>
      <c r="IV65" s="141"/>
      <c r="IW65" s="141"/>
      <c r="IX65" s="141"/>
      <c r="IY65" s="141"/>
      <c r="IZ65" s="141"/>
      <c r="JA65" s="141"/>
      <c r="JB65" s="141"/>
      <c r="JC65" s="141"/>
      <c r="JD65" s="141"/>
      <c r="JE65" s="141"/>
      <c r="JF65" s="141"/>
      <c r="JG65" s="141"/>
      <c r="JH65" s="141"/>
      <c r="JI65" s="141"/>
      <c r="JJ65" s="141"/>
      <c r="JK65" s="141"/>
      <c r="JL65" s="141"/>
      <c r="JM65" s="141"/>
      <c r="JN65" s="141"/>
      <c r="JO65" s="141"/>
      <c r="JP65" s="141"/>
      <c r="JQ65" s="141"/>
      <c r="JR65" s="141"/>
      <c r="JS65" s="141"/>
      <c r="JT65" s="141"/>
      <c r="JU65" s="141"/>
      <c r="JV65" s="141"/>
      <c r="JW65" s="141"/>
      <c r="JX65" s="141"/>
      <c r="JY65" s="141"/>
      <c r="JZ65" s="141"/>
      <c r="KA65" s="141"/>
      <c r="KB65" s="141"/>
      <c r="KC65" s="141"/>
      <c r="KD65" s="141"/>
      <c r="KE65" s="141"/>
      <c r="KF65" s="141"/>
      <c r="KG65" s="141"/>
      <c r="KH65" s="141"/>
      <c r="KI65" s="141"/>
      <c r="KJ65" s="141"/>
      <c r="KK65" s="141"/>
      <c r="KL65" s="141"/>
      <c r="KM65" s="141"/>
      <c r="KN65" s="141"/>
    </row>
    <row r="66" spans="1:300" s="3" customFormat="1" ht="31.5" customHeight="1">
      <c r="A66" s="148"/>
      <c r="B66" s="8"/>
      <c r="C66" s="36"/>
      <c r="D66" s="36"/>
      <c r="E66" s="35"/>
      <c r="F66" s="35"/>
      <c r="G66" s="35"/>
      <c r="H66" s="151"/>
      <c r="I66" s="153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41"/>
      <c r="CA66" s="141"/>
      <c r="CB66" s="141"/>
      <c r="CC66" s="141"/>
      <c r="CD66" s="141"/>
      <c r="CE66" s="141"/>
      <c r="CF66" s="141"/>
      <c r="CG66" s="141"/>
      <c r="CH66" s="141"/>
      <c r="CI66" s="141"/>
      <c r="CJ66" s="141"/>
      <c r="CK66" s="141"/>
      <c r="CL66" s="141"/>
      <c r="CM66" s="141"/>
      <c r="CN66" s="141"/>
      <c r="CO66" s="141"/>
      <c r="CP66" s="141"/>
      <c r="CQ66" s="141"/>
      <c r="CR66" s="141"/>
      <c r="CS66" s="141"/>
      <c r="CT66" s="141"/>
      <c r="CU66" s="141"/>
      <c r="CV66" s="141"/>
      <c r="CW66" s="141"/>
      <c r="CX66" s="141"/>
      <c r="CY66" s="141"/>
      <c r="CZ66" s="141"/>
      <c r="DA66" s="141"/>
      <c r="DB66" s="141"/>
      <c r="DC66" s="141"/>
      <c r="DD66" s="141"/>
      <c r="DE66" s="141"/>
      <c r="DF66" s="141"/>
      <c r="DG66" s="141"/>
      <c r="DH66" s="141"/>
      <c r="DI66" s="141"/>
      <c r="DJ66" s="141"/>
      <c r="DK66" s="141"/>
      <c r="DL66" s="141"/>
      <c r="DM66" s="141"/>
      <c r="DN66" s="141"/>
      <c r="DO66" s="141"/>
      <c r="DP66" s="141"/>
      <c r="DQ66" s="141"/>
      <c r="DR66" s="141"/>
      <c r="DS66" s="141"/>
      <c r="DT66" s="141"/>
      <c r="DU66" s="141"/>
      <c r="DV66" s="141"/>
      <c r="DW66" s="141"/>
      <c r="DX66" s="141"/>
      <c r="DY66" s="141"/>
      <c r="DZ66" s="141"/>
      <c r="EA66" s="141"/>
      <c r="EB66" s="141"/>
      <c r="EC66" s="141"/>
      <c r="ED66" s="141"/>
      <c r="EE66" s="141"/>
      <c r="EF66" s="141"/>
      <c r="EG66" s="141"/>
      <c r="EH66" s="141"/>
      <c r="EI66" s="141"/>
      <c r="EJ66" s="141"/>
      <c r="EK66" s="141"/>
      <c r="EL66" s="141"/>
      <c r="EM66" s="141"/>
      <c r="EN66" s="141"/>
      <c r="EO66" s="141"/>
      <c r="EP66" s="141"/>
      <c r="EQ66" s="141"/>
      <c r="ER66" s="141"/>
      <c r="ES66" s="141"/>
      <c r="ET66" s="141"/>
      <c r="EU66" s="141"/>
      <c r="EV66" s="141"/>
      <c r="EW66" s="141"/>
      <c r="EX66" s="141"/>
      <c r="EY66" s="141"/>
      <c r="EZ66" s="141"/>
      <c r="FA66" s="141"/>
      <c r="FB66" s="141"/>
      <c r="FC66" s="141"/>
      <c r="FD66" s="141"/>
      <c r="FE66" s="141"/>
      <c r="FF66" s="141"/>
      <c r="FG66" s="141"/>
      <c r="FH66" s="141"/>
      <c r="FI66" s="141"/>
      <c r="FJ66" s="141"/>
      <c r="FK66" s="141"/>
      <c r="FL66" s="141"/>
      <c r="FM66" s="141"/>
      <c r="FN66" s="141"/>
      <c r="FO66" s="141"/>
      <c r="FP66" s="141"/>
      <c r="FQ66" s="141"/>
      <c r="FR66" s="141"/>
      <c r="FS66" s="141"/>
      <c r="FT66" s="141"/>
      <c r="FU66" s="141"/>
      <c r="FV66" s="141"/>
      <c r="FW66" s="141"/>
      <c r="FX66" s="141"/>
      <c r="FY66" s="141"/>
      <c r="FZ66" s="141"/>
      <c r="GA66" s="141"/>
      <c r="GB66" s="141"/>
      <c r="GC66" s="141"/>
      <c r="GD66" s="141"/>
      <c r="GE66" s="141"/>
      <c r="GF66" s="141"/>
      <c r="GG66" s="141"/>
      <c r="GH66" s="141"/>
      <c r="GI66" s="141"/>
      <c r="GJ66" s="141"/>
      <c r="GK66" s="141"/>
      <c r="GL66" s="141"/>
      <c r="GM66" s="141"/>
      <c r="GN66" s="141"/>
      <c r="GO66" s="141"/>
      <c r="GP66" s="141"/>
      <c r="GQ66" s="141"/>
      <c r="GR66" s="141"/>
      <c r="GS66" s="141"/>
      <c r="GT66" s="141"/>
      <c r="GU66" s="141"/>
      <c r="GV66" s="141"/>
      <c r="GW66" s="141"/>
      <c r="GX66" s="141"/>
      <c r="GY66" s="141"/>
      <c r="GZ66" s="141"/>
      <c r="HA66" s="141"/>
      <c r="HB66" s="141"/>
      <c r="HC66" s="141"/>
      <c r="HD66" s="141"/>
      <c r="HE66" s="141"/>
      <c r="HF66" s="141"/>
      <c r="HG66" s="141"/>
      <c r="HH66" s="141"/>
      <c r="HI66" s="141"/>
      <c r="HJ66" s="141"/>
      <c r="HK66" s="141"/>
      <c r="HL66" s="141"/>
      <c r="HM66" s="141"/>
      <c r="HN66" s="141"/>
      <c r="HO66" s="141"/>
      <c r="HP66" s="141"/>
      <c r="HQ66" s="141"/>
      <c r="HR66" s="141"/>
      <c r="HS66" s="141"/>
      <c r="HT66" s="141"/>
      <c r="HU66" s="141"/>
      <c r="HV66" s="141"/>
      <c r="HW66" s="141"/>
      <c r="HX66" s="141"/>
      <c r="HY66" s="141"/>
      <c r="HZ66" s="141"/>
      <c r="IA66" s="141"/>
      <c r="IB66" s="141"/>
      <c r="IC66" s="141"/>
      <c r="ID66" s="141"/>
      <c r="IE66" s="141"/>
      <c r="IF66" s="141"/>
      <c r="IG66" s="141"/>
      <c r="IH66" s="141"/>
      <c r="II66" s="141"/>
      <c r="IJ66" s="141"/>
      <c r="IK66" s="141"/>
      <c r="IL66" s="141"/>
      <c r="IM66" s="141"/>
      <c r="IN66" s="141"/>
      <c r="IO66" s="141"/>
      <c r="IP66" s="141"/>
      <c r="IQ66" s="141"/>
      <c r="IR66" s="141"/>
      <c r="IS66" s="141"/>
      <c r="IT66" s="141"/>
      <c r="IU66" s="141"/>
      <c r="IV66" s="141"/>
      <c r="IW66" s="141"/>
      <c r="IX66" s="141"/>
      <c r="IY66" s="141"/>
      <c r="IZ66" s="141"/>
      <c r="JA66" s="141"/>
      <c r="JB66" s="141"/>
      <c r="JC66" s="141"/>
      <c r="JD66" s="141"/>
      <c r="JE66" s="141"/>
      <c r="JF66" s="141"/>
      <c r="JG66" s="141"/>
      <c r="JH66" s="141"/>
      <c r="JI66" s="141"/>
      <c r="JJ66" s="141"/>
      <c r="JK66" s="141"/>
      <c r="JL66" s="141"/>
      <c r="JM66" s="141"/>
      <c r="JN66" s="141"/>
      <c r="JO66" s="141"/>
      <c r="JP66" s="141"/>
      <c r="JQ66" s="141"/>
      <c r="JR66" s="141"/>
      <c r="JS66" s="141"/>
      <c r="JT66" s="141"/>
      <c r="JU66" s="141"/>
      <c r="JV66" s="141"/>
      <c r="JW66" s="141"/>
      <c r="JX66" s="141"/>
      <c r="JY66" s="141"/>
      <c r="JZ66" s="141"/>
      <c r="KA66" s="141"/>
      <c r="KB66" s="141"/>
      <c r="KC66" s="141"/>
      <c r="KD66" s="141"/>
      <c r="KE66" s="141"/>
      <c r="KF66" s="141"/>
      <c r="KG66" s="141"/>
      <c r="KH66" s="141"/>
      <c r="KI66" s="141"/>
      <c r="KJ66" s="141"/>
      <c r="KK66" s="141"/>
      <c r="KL66" s="141"/>
      <c r="KM66" s="141"/>
      <c r="KN66" s="141"/>
    </row>
    <row r="67" spans="1:300" s="3" customFormat="1" ht="31.5" customHeight="1">
      <c r="A67" s="148"/>
      <c r="B67" s="8"/>
      <c r="C67" s="36"/>
      <c r="D67" s="36"/>
      <c r="E67" s="35"/>
      <c r="F67" s="35"/>
      <c r="G67" s="35"/>
      <c r="H67" s="151"/>
      <c r="I67" s="153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41"/>
      <c r="CA67" s="141"/>
      <c r="CB67" s="141"/>
      <c r="CC67" s="141"/>
      <c r="CD67" s="141"/>
      <c r="CE67" s="141"/>
      <c r="CF67" s="141"/>
      <c r="CG67" s="141"/>
      <c r="CH67" s="141"/>
      <c r="CI67" s="141"/>
      <c r="CJ67" s="141"/>
      <c r="CK67" s="141"/>
      <c r="CL67" s="141"/>
      <c r="CM67" s="141"/>
      <c r="CN67" s="141"/>
      <c r="CO67" s="141"/>
      <c r="CP67" s="141"/>
      <c r="CQ67" s="141"/>
      <c r="CR67" s="141"/>
      <c r="CS67" s="141"/>
      <c r="CT67" s="141"/>
      <c r="CU67" s="141"/>
      <c r="CV67" s="141"/>
      <c r="CW67" s="141"/>
      <c r="CX67" s="141"/>
      <c r="CY67" s="141"/>
      <c r="CZ67" s="141"/>
      <c r="DA67" s="141"/>
      <c r="DB67" s="141"/>
      <c r="DC67" s="141"/>
      <c r="DD67" s="141"/>
      <c r="DE67" s="141"/>
      <c r="DF67" s="141"/>
      <c r="DG67" s="141"/>
      <c r="DH67" s="141"/>
      <c r="DI67" s="141"/>
      <c r="DJ67" s="141"/>
      <c r="DK67" s="141"/>
      <c r="DL67" s="141"/>
      <c r="DM67" s="141"/>
      <c r="DN67" s="141"/>
      <c r="DO67" s="141"/>
      <c r="DP67" s="141"/>
      <c r="DQ67" s="141"/>
      <c r="DR67" s="141"/>
      <c r="DS67" s="141"/>
      <c r="DT67" s="141"/>
      <c r="DU67" s="141"/>
      <c r="DV67" s="141"/>
      <c r="DW67" s="141"/>
      <c r="DX67" s="141"/>
      <c r="DY67" s="141"/>
      <c r="DZ67" s="141"/>
      <c r="EA67" s="141"/>
      <c r="EB67" s="141"/>
      <c r="EC67" s="141"/>
      <c r="ED67" s="141"/>
      <c r="EE67" s="141"/>
      <c r="EF67" s="141"/>
      <c r="EG67" s="141"/>
      <c r="EH67" s="141"/>
      <c r="EI67" s="141"/>
      <c r="EJ67" s="141"/>
      <c r="EK67" s="141"/>
      <c r="EL67" s="141"/>
      <c r="EM67" s="141"/>
      <c r="EN67" s="141"/>
      <c r="EO67" s="141"/>
      <c r="EP67" s="141"/>
      <c r="EQ67" s="141"/>
      <c r="ER67" s="141"/>
      <c r="ES67" s="141"/>
      <c r="ET67" s="141"/>
      <c r="EU67" s="141"/>
      <c r="EV67" s="141"/>
      <c r="EW67" s="141"/>
      <c r="EX67" s="141"/>
      <c r="EY67" s="141"/>
      <c r="EZ67" s="141"/>
      <c r="FA67" s="141"/>
      <c r="FB67" s="141"/>
      <c r="FC67" s="141"/>
      <c r="FD67" s="141"/>
      <c r="FE67" s="141"/>
      <c r="FF67" s="141"/>
      <c r="FG67" s="141"/>
      <c r="FH67" s="141"/>
      <c r="FI67" s="141"/>
      <c r="FJ67" s="141"/>
      <c r="FK67" s="141"/>
      <c r="FL67" s="141"/>
      <c r="FM67" s="141"/>
      <c r="FN67" s="141"/>
      <c r="FO67" s="141"/>
      <c r="FP67" s="141"/>
      <c r="FQ67" s="141"/>
      <c r="FR67" s="141"/>
      <c r="FS67" s="141"/>
      <c r="FT67" s="141"/>
      <c r="FU67" s="141"/>
      <c r="FV67" s="141"/>
      <c r="FW67" s="141"/>
      <c r="FX67" s="141"/>
      <c r="FY67" s="141"/>
      <c r="FZ67" s="141"/>
      <c r="GA67" s="141"/>
      <c r="GB67" s="141"/>
      <c r="GC67" s="141"/>
      <c r="GD67" s="141"/>
      <c r="GE67" s="141"/>
      <c r="GF67" s="141"/>
      <c r="GG67" s="141"/>
      <c r="GH67" s="141"/>
      <c r="GI67" s="141"/>
      <c r="GJ67" s="141"/>
      <c r="GK67" s="141"/>
      <c r="GL67" s="141"/>
      <c r="GM67" s="141"/>
      <c r="GN67" s="141"/>
      <c r="GO67" s="141"/>
      <c r="GP67" s="141"/>
      <c r="GQ67" s="141"/>
      <c r="GR67" s="141"/>
      <c r="GS67" s="141"/>
      <c r="GT67" s="141"/>
      <c r="GU67" s="141"/>
      <c r="GV67" s="141"/>
      <c r="GW67" s="141"/>
      <c r="GX67" s="141"/>
      <c r="GY67" s="141"/>
      <c r="GZ67" s="141"/>
      <c r="HA67" s="141"/>
      <c r="HB67" s="141"/>
      <c r="HC67" s="141"/>
      <c r="HD67" s="141"/>
      <c r="HE67" s="141"/>
      <c r="HF67" s="141"/>
      <c r="HG67" s="141"/>
      <c r="HH67" s="141"/>
      <c r="HI67" s="141"/>
      <c r="HJ67" s="141"/>
      <c r="HK67" s="141"/>
      <c r="HL67" s="141"/>
      <c r="HM67" s="141"/>
      <c r="HN67" s="141"/>
      <c r="HO67" s="141"/>
      <c r="HP67" s="141"/>
      <c r="HQ67" s="141"/>
      <c r="HR67" s="141"/>
      <c r="HS67" s="141"/>
      <c r="HT67" s="141"/>
      <c r="HU67" s="141"/>
      <c r="HV67" s="141"/>
      <c r="HW67" s="141"/>
      <c r="HX67" s="141"/>
      <c r="HY67" s="141"/>
      <c r="HZ67" s="141"/>
      <c r="IA67" s="141"/>
      <c r="IB67" s="141"/>
      <c r="IC67" s="141"/>
      <c r="ID67" s="141"/>
      <c r="IE67" s="141"/>
      <c r="IF67" s="141"/>
      <c r="IG67" s="141"/>
      <c r="IH67" s="141"/>
      <c r="II67" s="141"/>
      <c r="IJ67" s="141"/>
      <c r="IK67" s="141"/>
      <c r="IL67" s="141"/>
      <c r="IM67" s="141"/>
      <c r="IN67" s="141"/>
      <c r="IO67" s="141"/>
      <c r="IP67" s="141"/>
      <c r="IQ67" s="141"/>
      <c r="IR67" s="141"/>
      <c r="IS67" s="141"/>
      <c r="IT67" s="141"/>
      <c r="IU67" s="141"/>
      <c r="IV67" s="141"/>
      <c r="IW67" s="141"/>
      <c r="IX67" s="141"/>
      <c r="IY67" s="141"/>
      <c r="IZ67" s="141"/>
      <c r="JA67" s="141"/>
      <c r="JB67" s="141"/>
      <c r="JC67" s="141"/>
      <c r="JD67" s="141"/>
      <c r="JE67" s="141"/>
      <c r="JF67" s="141"/>
      <c r="JG67" s="141"/>
      <c r="JH67" s="141"/>
      <c r="JI67" s="141"/>
      <c r="JJ67" s="141"/>
      <c r="JK67" s="141"/>
      <c r="JL67" s="141"/>
      <c r="JM67" s="141"/>
      <c r="JN67" s="141"/>
      <c r="JO67" s="141"/>
      <c r="JP67" s="141"/>
      <c r="JQ67" s="141"/>
      <c r="JR67" s="141"/>
      <c r="JS67" s="141"/>
      <c r="JT67" s="141"/>
      <c r="JU67" s="141"/>
      <c r="JV67" s="141"/>
      <c r="JW67" s="141"/>
      <c r="JX67" s="141"/>
      <c r="JY67" s="141"/>
      <c r="JZ67" s="141"/>
      <c r="KA67" s="141"/>
      <c r="KB67" s="141"/>
      <c r="KC67" s="141"/>
      <c r="KD67" s="141"/>
      <c r="KE67" s="141"/>
      <c r="KF67" s="141"/>
      <c r="KG67" s="141"/>
      <c r="KH67" s="141"/>
      <c r="KI67" s="141"/>
      <c r="KJ67" s="141"/>
      <c r="KK67" s="141"/>
      <c r="KL67" s="141"/>
      <c r="KM67" s="141"/>
      <c r="KN67" s="141"/>
    </row>
    <row r="68" spans="1:300" s="3" customFormat="1" ht="31.5" customHeight="1">
      <c r="A68" s="148"/>
      <c r="B68" s="8"/>
      <c r="C68" s="36"/>
      <c r="D68" s="36"/>
      <c r="E68" s="35"/>
      <c r="F68" s="35"/>
      <c r="G68" s="35"/>
      <c r="H68" s="151"/>
      <c r="I68" s="153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41"/>
      <c r="CA68" s="141"/>
      <c r="CB68" s="141"/>
      <c r="CC68" s="141"/>
      <c r="CD68" s="141"/>
      <c r="CE68" s="141"/>
      <c r="CF68" s="141"/>
      <c r="CG68" s="141"/>
      <c r="CH68" s="141"/>
      <c r="CI68" s="141"/>
      <c r="CJ68" s="141"/>
      <c r="CK68" s="141"/>
      <c r="CL68" s="141"/>
      <c r="CM68" s="141"/>
      <c r="CN68" s="141"/>
      <c r="CO68" s="141"/>
      <c r="CP68" s="141"/>
      <c r="CQ68" s="141"/>
      <c r="CR68" s="141"/>
      <c r="CS68" s="141"/>
      <c r="CT68" s="141"/>
      <c r="CU68" s="141"/>
      <c r="CV68" s="141"/>
      <c r="CW68" s="141"/>
      <c r="CX68" s="141"/>
      <c r="CY68" s="141"/>
      <c r="CZ68" s="141"/>
      <c r="DA68" s="141"/>
      <c r="DB68" s="141"/>
      <c r="DC68" s="141"/>
      <c r="DD68" s="141"/>
      <c r="DE68" s="141"/>
      <c r="DF68" s="141"/>
      <c r="DG68" s="141"/>
      <c r="DH68" s="141"/>
      <c r="DI68" s="141"/>
      <c r="DJ68" s="141"/>
      <c r="DK68" s="141"/>
      <c r="DL68" s="141"/>
      <c r="DM68" s="141"/>
      <c r="DN68" s="141"/>
      <c r="DO68" s="141"/>
      <c r="DP68" s="141"/>
      <c r="DQ68" s="141"/>
      <c r="DR68" s="141"/>
      <c r="DS68" s="141"/>
      <c r="DT68" s="141"/>
      <c r="DU68" s="141"/>
      <c r="DV68" s="141"/>
      <c r="DW68" s="141"/>
      <c r="DX68" s="141"/>
      <c r="DY68" s="141"/>
      <c r="DZ68" s="141"/>
      <c r="EA68" s="141"/>
      <c r="EB68" s="141"/>
      <c r="EC68" s="141"/>
      <c r="ED68" s="141"/>
      <c r="EE68" s="141"/>
      <c r="EF68" s="141"/>
      <c r="EG68" s="141"/>
      <c r="EH68" s="141"/>
      <c r="EI68" s="141"/>
      <c r="EJ68" s="141"/>
      <c r="EK68" s="141"/>
      <c r="EL68" s="141"/>
      <c r="EM68" s="141"/>
      <c r="EN68" s="141"/>
      <c r="EO68" s="141"/>
      <c r="EP68" s="141"/>
      <c r="EQ68" s="141"/>
      <c r="ER68" s="141"/>
      <c r="ES68" s="141"/>
      <c r="ET68" s="141"/>
      <c r="EU68" s="141"/>
      <c r="EV68" s="141"/>
      <c r="EW68" s="141"/>
      <c r="EX68" s="141"/>
      <c r="EY68" s="141"/>
      <c r="EZ68" s="141"/>
      <c r="FA68" s="141"/>
      <c r="FB68" s="141"/>
      <c r="FC68" s="141"/>
      <c r="FD68" s="141"/>
      <c r="FE68" s="141"/>
      <c r="FF68" s="141"/>
      <c r="FG68" s="141"/>
      <c r="FH68" s="141"/>
      <c r="FI68" s="141"/>
      <c r="FJ68" s="141"/>
      <c r="FK68" s="141"/>
      <c r="FL68" s="141"/>
      <c r="FM68" s="141"/>
      <c r="FN68" s="141"/>
      <c r="FO68" s="141"/>
      <c r="FP68" s="141"/>
      <c r="FQ68" s="141"/>
      <c r="FR68" s="141"/>
      <c r="FS68" s="141"/>
      <c r="FT68" s="141"/>
      <c r="FU68" s="141"/>
      <c r="FV68" s="141"/>
      <c r="FW68" s="141"/>
      <c r="FX68" s="141"/>
      <c r="FY68" s="141"/>
      <c r="FZ68" s="141"/>
      <c r="GA68" s="141"/>
      <c r="GB68" s="141"/>
      <c r="GC68" s="141"/>
      <c r="GD68" s="141"/>
      <c r="GE68" s="141"/>
      <c r="GF68" s="141"/>
      <c r="GG68" s="141"/>
      <c r="GH68" s="141"/>
      <c r="GI68" s="141"/>
      <c r="GJ68" s="141"/>
      <c r="GK68" s="141"/>
      <c r="GL68" s="141"/>
      <c r="GM68" s="141"/>
      <c r="GN68" s="141"/>
      <c r="GO68" s="141"/>
      <c r="GP68" s="141"/>
      <c r="GQ68" s="141"/>
      <c r="GR68" s="141"/>
      <c r="GS68" s="141"/>
      <c r="GT68" s="141"/>
      <c r="GU68" s="141"/>
      <c r="GV68" s="141"/>
      <c r="GW68" s="141"/>
      <c r="GX68" s="141"/>
      <c r="GY68" s="141"/>
      <c r="GZ68" s="141"/>
      <c r="HA68" s="141"/>
      <c r="HB68" s="141"/>
      <c r="HC68" s="141"/>
      <c r="HD68" s="141"/>
      <c r="HE68" s="141"/>
      <c r="HF68" s="141"/>
      <c r="HG68" s="141"/>
      <c r="HH68" s="141"/>
      <c r="HI68" s="141"/>
      <c r="HJ68" s="141"/>
      <c r="HK68" s="141"/>
      <c r="HL68" s="141"/>
      <c r="HM68" s="141"/>
      <c r="HN68" s="141"/>
      <c r="HO68" s="141"/>
      <c r="HP68" s="141"/>
      <c r="HQ68" s="141"/>
      <c r="HR68" s="141"/>
      <c r="HS68" s="141"/>
      <c r="HT68" s="141"/>
      <c r="HU68" s="141"/>
      <c r="HV68" s="141"/>
      <c r="HW68" s="141"/>
      <c r="HX68" s="141"/>
      <c r="HY68" s="141"/>
      <c r="HZ68" s="141"/>
      <c r="IA68" s="141"/>
      <c r="IB68" s="141"/>
      <c r="IC68" s="141"/>
      <c r="ID68" s="141"/>
      <c r="IE68" s="141"/>
      <c r="IF68" s="141"/>
      <c r="IG68" s="141"/>
      <c r="IH68" s="141"/>
      <c r="II68" s="141"/>
      <c r="IJ68" s="141"/>
      <c r="IK68" s="141"/>
      <c r="IL68" s="141"/>
      <c r="IM68" s="141"/>
      <c r="IN68" s="141"/>
      <c r="IO68" s="141"/>
      <c r="IP68" s="141"/>
      <c r="IQ68" s="141"/>
      <c r="IR68" s="141"/>
      <c r="IS68" s="141"/>
      <c r="IT68" s="141"/>
      <c r="IU68" s="141"/>
      <c r="IV68" s="141"/>
      <c r="IW68" s="141"/>
      <c r="IX68" s="141"/>
      <c r="IY68" s="141"/>
      <c r="IZ68" s="141"/>
      <c r="JA68" s="141"/>
      <c r="JB68" s="141"/>
      <c r="JC68" s="141"/>
      <c r="JD68" s="141"/>
      <c r="JE68" s="141"/>
      <c r="JF68" s="141"/>
      <c r="JG68" s="141"/>
      <c r="JH68" s="141"/>
      <c r="JI68" s="141"/>
      <c r="JJ68" s="141"/>
      <c r="JK68" s="141"/>
      <c r="JL68" s="141"/>
      <c r="JM68" s="141"/>
      <c r="JN68" s="141"/>
      <c r="JO68" s="141"/>
      <c r="JP68" s="141"/>
      <c r="JQ68" s="141"/>
      <c r="JR68" s="141"/>
      <c r="JS68" s="141"/>
      <c r="JT68" s="141"/>
      <c r="JU68" s="141"/>
      <c r="JV68" s="141"/>
      <c r="JW68" s="141"/>
      <c r="JX68" s="141"/>
      <c r="JY68" s="141"/>
      <c r="JZ68" s="141"/>
      <c r="KA68" s="141"/>
      <c r="KB68" s="141"/>
      <c r="KC68" s="141"/>
      <c r="KD68" s="141"/>
      <c r="KE68" s="141"/>
      <c r="KF68" s="141"/>
      <c r="KG68" s="141"/>
      <c r="KH68" s="141"/>
      <c r="KI68" s="141"/>
      <c r="KJ68" s="141"/>
      <c r="KK68" s="141"/>
      <c r="KL68" s="141"/>
      <c r="KM68" s="141"/>
      <c r="KN68" s="141"/>
    </row>
    <row r="69" spans="1:300" s="3" customFormat="1" ht="31.5" customHeight="1">
      <c r="A69" s="148"/>
      <c r="B69" s="8"/>
      <c r="C69" s="36"/>
      <c r="D69" s="36"/>
      <c r="E69" s="35"/>
      <c r="F69" s="35"/>
      <c r="G69" s="35"/>
      <c r="H69" s="151"/>
      <c r="I69" s="153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41"/>
      <c r="CA69" s="141"/>
      <c r="CB69" s="141"/>
      <c r="CC69" s="141"/>
      <c r="CD69" s="141"/>
      <c r="CE69" s="141"/>
      <c r="CF69" s="141"/>
      <c r="CG69" s="141"/>
      <c r="CH69" s="141"/>
      <c r="CI69" s="141"/>
      <c r="CJ69" s="141"/>
      <c r="CK69" s="141"/>
      <c r="CL69" s="141"/>
      <c r="CM69" s="141"/>
      <c r="CN69" s="141"/>
      <c r="CO69" s="141"/>
      <c r="CP69" s="141"/>
      <c r="CQ69" s="141"/>
      <c r="CR69" s="141"/>
      <c r="CS69" s="141"/>
      <c r="CT69" s="141"/>
      <c r="CU69" s="141"/>
      <c r="CV69" s="141"/>
      <c r="CW69" s="141"/>
      <c r="CX69" s="141"/>
      <c r="CY69" s="141"/>
      <c r="CZ69" s="141"/>
      <c r="DA69" s="141"/>
      <c r="DB69" s="141"/>
      <c r="DC69" s="141"/>
      <c r="DD69" s="141"/>
      <c r="DE69" s="141"/>
      <c r="DF69" s="141"/>
      <c r="DG69" s="141"/>
      <c r="DH69" s="141"/>
      <c r="DI69" s="141"/>
      <c r="DJ69" s="141"/>
      <c r="DK69" s="141"/>
      <c r="DL69" s="141"/>
      <c r="DM69" s="141"/>
      <c r="DN69" s="141"/>
      <c r="DO69" s="141"/>
      <c r="DP69" s="141"/>
      <c r="DQ69" s="141"/>
      <c r="DR69" s="141"/>
      <c r="DS69" s="141"/>
      <c r="DT69" s="141"/>
      <c r="DU69" s="141"/>
      <c r="DV69" s="141"/>
      <c r="DW69" s="141"/>
      <c r="DX69" s="141"/>
      <c r="DY69" s="141"/>
      <c r="DZ69" s="141"/>
      <c r="EA69" s="141"/>
      <c r="EB69" s="141"/>
      <c r="EC69" s="141"/>
      <c r="ED69" s="141"/>
      <c r="EE69" s="141"/>
      <c r="EF69" s="141"/>
      <c r="EG69" s="141"/>
      <c r="EH69" s="141"/>
      <c r="EI69" s="141"/>
      <c r="EJ69" s="141"/>
      <c r="EK69" s="141"/>
      <c r="EL69" s="141"/>
      <c r="EM69" s="141"/>
      <c r="EN69" s="141"/>
      <c r="EO69" s="141"/>
      <c r="EP69" s="141"/>
      <c r="EQ69" s="141"/>
      <c r="ER69" s="141"/>
      <c r="ES69" s="141"/>
      <c r="ET69" s="141"/>
      <c r="EU69" s="141"/>
      <c r="EV69" s="141"/>
      <c r="EW69" s="141"/>
      <c r="EX69" s="141"/>
      <c r="EY69" s="141"/>
      <c r="EZ69" s="141"/>
      <c r="FA69" s="141"/>
      <c r="FB69" s="141"/>
      <c r="FC69" s="141"/>
      <c r="FD69" s="141"/>
      <c r="FE69" s="141"/>
      <c r="FF69" s="141"/>
      <c r="FG69" s="141"/>
      <c r="FH69" s="141"/>
      <c r="FI69" s="141"/>
      <c r="FJ69" s="141"/>
      <c r="FK69" s="141"/>
      <c r="FL69" s="141"/>
      <c r="FM69" s="141"/>
      <c r="FN69" s="141"/>
      <c r="FO69" s="141"/>
      <c r="FP69" s="141"/>
      <c r="FQ69" s="141"/>
      <c r="FR69" s="141"/>
      <c r="FS69" s="141"/>
      <c r="FT69" s="141"/>
      <c r="FU69" s="141"/>
      <c r="FV69" s="141"/>
      <c r="FW69" s="141"/>
      <c r="FX69" s="141"/>
      <c r="FY69" s="141"/>
      <c r="FZ69" s="141"/>
      <c r="GA69" s="141"/>
      <c r="GB69" s="141"/>
      <c r="GC69" s="141"/>
      <c r="GD69" s="141"/>
      <c r="GE69" s="141"/>
      <c r="GF69" s="141"/>
      <c r="GG69" s="141"/>
      <c r="GH69" s="141"/>
      <c r="GI69" s="141"/>
      <c r="GJ69" s="141"/>
      <c r="GK69" s="141"/>
      <c r="GL69" s="141"/>
      <c r="GM69" s="141"/>
      <c r="GN69" s="141"/>
      <c r="GO69" s="141"/>
      <c r="GP69" s="141"/>
      <c r="GQ69" s="141"/>
      <c r="GR69" s="141"/>
      <c r="GS69" s="141"/>
      <c r="GT69" s="141"/>
      <c r="GU69" s="141"/>
      <c r="GV69" s="141"/>
      <c r="GW69" s="141"/>
      <c r="GX69" s="141"/>
      <c r="GY69" s="141"/>
      <c r="GZ69" s="141"/>
      <c r="HA69" s="141"/>
      <c r="HB69" s="141"/>
      <c r="HC69" s="141"/>
      <c r="HD69" s="141"/>
      <c r="HE69" s="141"/>
      <c r="HF69" s="141"/>
      <c r="HG69" s="141"/>
      <c r="HH69" s="141"/>
      <c r="HI69" s="141"/>
      <c r="HJ69" s="141"/>
      <c r="HK69" s="141"/>
      <c r="HL69" s="141"/>
      <c r="HM69" s="141"/>
      <c r="HN69" s="141"/>
      <c r="HO69" s="141"/>
      <c r="HP69" s="141"/>
      <c r="HQ69" s="141"/>
      <c r="HR69" s="141"/>
      <c r="HS69" s="141"/>
      <c r="HT69" s="141"/>
      <c r="HU69" s="141"/>
      <c r="HV69" s="141"/>
      <c r="HW69" s="141"/>
      <c r="HX69" s="141"/>
      <c r="HY69" s="141"/>
      <c r="HZ69" s="141"/>
      <c r="IA69" s="141"/>
      <c r="IB69" s="141"/>
      <c r="IC69" s="141"/>
      <c r="ID69" s="141"/>
      <c r="IE69" s="141"/>
      <c r="IF69" s="141"/>
      <c r="IG69" s="141"/>
      <c r="IH69" s="141"/>
      <c r="II69" s="141"/>
      <c r="IJ69" s="141"/>
      <c r="IK69" s="141"/>
      <c r="IL69" s="141"/>
      <c r="IM69" s="141"/>
      <c r="IN69" s="141"/>
      <c r="IO69" s="141"/>
      <c r="IP69" s="141"/>
      <c r="IQ69" s="141"/>
      <c r="IR69" s="141"/>
      <c r="IS69" s="141"/>
      <c r="IT69" s="141"/>
      <c r="IU69" s="141"/>
      <c r="IV69" s="141"/>
      <c r="IW69" s="141"/>
      <c r="IX69" s="141"/>
      <c r="IY69" s="141"/>
      <c r="IZ69" s="141"/>
      <c r="JA69" s="141"/>
      <c r="JB69" s="141"/>
      <c r="JC69" s="141"/>
      <c r="JD69" s="141"/>
      <c r="JE69" s="141"/>
      <c r="JF69" s="141"/>
      <c r="JG69" s="141"/>
      <c r="JH69" s="141"/>
      <c r="JI69" s="141"/>
      <c r="JJ69" s="141"/>
      <c r="JK69" s="141"/>
      <c r="JL69" s="141"/>
      <c r="JM69" s="141"/>
      <c r="JN69" s="141"/>
      <c r="JO69" s="141"/>
      <c r="JP69" s="141"/>
      <c r="JQ69" s="141"/>
      <c r="JR69" s="141"/>
      <c r="JS69" s="141"/>
      <c r="JT69" s="141"/>
      <c r="JU69" s="141"/>
      <c r="JV69" s="141"/>
      <c r="JW69" s="141"/>
      <c r="JX69" s="141"/>
      <c r="JY69" s="141"/>
      <c r="JZ69" s="141"/>
      <c r="KA69" s="141"/>
      <c r="KB69" s="141"/>
      <c r="KC69" s="141"/>
      <c r="KD69" s="141"/>
      <c r="KE69" s="141"/>
      <c r="KF69" s="141"/>
      <c r="KG69" s="141"/>
      <c r="KH69" s="141"/>
      <c r="KI69" s="141"/>
      <c r="KJ69" s="141"/>
      <c r="KK69" s="141"/>
      <c r="KL69" s="141"/>
      <c r="KM69" s="141"/>
      <c r="KN69" s="141"/>
    </row>
    <row r="70" spans="1:300" s="3" customFormat="1" ht="31.5" customHeight="1">
      <c r="A70" s="148"/>
      <c r="B70" s="8"/>
      <c r="C70" s="36"/>
      <c r="D70" s="36"/>
      <c r="E70" s="35"/>
      <c r="F70" s="35"/>
      <c r="G70" s="35"/>
      <c r="H70" s="151"/>
      <c r="I70" s="153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41"/>
      <c r="CA70" s="141"/>
      <c r="CB70" s="141"/>
      <c r="CC70" s="141"/>
      <c r="CD70" s="141"/>
      <c r="CE70" s="141"/>
      <c r="CF70" s="141"/>
      <c r="CG70" s="141"/>
      <c r="CH70" s="141"/>
      <c r="CI70" s="141"/>
      <c r="CJ70" s="141"/>
      <c r="CK70" s="141"/>
      <c r="CL70" s="141"/>
      <c r="CM70" s="141"/>
      <c r="CN70" s="141"/>
      <c r="CO70" s="141"/>
      <c r="CP70" s="141"/>
      <c r="CQ70" s="141"/>
      <c r="CR70" s="141"/>
      <c r="CS70" s="141"/>
      <c r="CT70" s="141"/>
      <c r="CU70" s="141"/>
      <c r="CV70" s="141"/>
      <c r="CW70" s="141"/>
      <c r="CX70" s="141"/>
      <c r="CY70" s="141"/>
      <c r="CZ70" s="141"/>
      <c r="DA70" s="141"/>
      <c r="DB70" s="141"/>
      <c r="DC70" s="141"/>
      <c r="DD70" s="141"/>
      <c r="DE70" s="141"/>
      <c r="DF70" s="141"/>
      <c r="DG70" s="141"/>
      <c r="DH70" s="141"/>
      <c r="DI70" s="141"/>
      <c r="DJ70" s="141"/>
      <c r="DK70" s="141"/>
      <c r="DL70" s="141"/>
      <c r="DM70" s="141"/>
      <c r="DN70" s="141"/>
      <c r="DO70" s="141"/>
      <c r="DP70" s="141"/>
      <c r="DQ70" s="141"/>
      <c r="DR70" s="141"/>
      <c r="DS70" s="141"/>
      <c r="DT70" s="141"/>
      <c r="DU70" s="141"/>
      <c r="DV70" s="141"/>
      <c r="DW70" s="141"/>
      <c r="DX70" s="141"/>
      <c r="DY70" s="141"/>
      <c r="DZ70" s="141"/>
      <c r="EA70" s="141"/>
      <c r="EB70" s="141"/>
      <c r="EC70" s="141"/>
      <c r="ED70" s="141"/>
      <c r="EE70" s="141"/>
      <c r="EF70" s="141"/>
      <c r="EG70" s="141"/>
      <c r="EH70" s="141"/>
      <c r="EI70" s="141"/>
      <c r="EJ70" s="141"/>
      <c r="EK70" s="141"/>
      <c r="EL70" s="141"/>
      <c r="EM70" s="141"/>
      <c r="EN70" s="141"/>
      <c r="EO70" s="141"/>
      <c r="EP70" s="141"/>
      <c r="EQ70" s="141"/>
      <c r="ER70" s="141"/>
      <c r="ES70" s="141"/>
      <c r="ET70" s="141"/>
      <c r="EU70" s="141"/>
      <c r="EV70" s="141"/>
      <c r="EW70" s="141"/>
      <c r="EX70" s="141"/>
      <c r="EY70" s="141"/>
      <c r="EZ70" s="141"/>
      <c r="FA70" s="141"/>
      <c r="FB70" s="141"/>
      <c r="FC70" s="141"/>
      <c r="FD70" s="141"/>
      <c r="FE70" s="141"/>
      <c r="FF70" s="141"/>
      <c r="FG70" s="141"/>
      <c r="FH70" s="141"/>
      <c r="FI70" s="141"/>
      <c r="FJ70" s="141"/>
      <c r="FK70" s="141"/>
      <c r="FL70" s="141"/>
      <c r="FM70" s="141"/>
      <c r="FN70" s="141"/>
      <c r="FO70" s="141"/>
      <c r="FP70" s="141"/>
      <c r="FQ70" s="141"/>
      <c r="FR70" s="141"/>
      <c r="FS70" s="141"/>
      <c r="FT70" s="141"/>
      <c r="FU70" s="141"/>
      <c r="FV70" s="141"/>
      <c r="FW70" s="141"/>
      <c r="FX70" s="141"/>
      <c r="FY70" s="141"/>
      <c r="FZ70" s="141"/>
      <c r="GA70" s="141"/>
      <c r="GB70" s="141"/>
      <c r="GC70" s="141"/>
      <c r="GD70" s="141"/>
      <c r="GE70" s="141"/>
      <c r="GF70" s="141"/>
      <c r="GG70" s="141"/>
      <c r="GH70" s="141"/>
      <c r="GI70" s="141"/>
      <c r="GJ70" s="141"/>
      <c r="GK70" s="141"/>
      <c r="GL70" s="141"/>
      <c r="GM70" s="141"/>
      <c r="GN70" s="141"/>
      <c r="GO70" s="141"/>
      <c r="GP70" s="141"/>
      <c r="GQ70" s="141"/>
      <c r="GR70" s="141"/>
      <c r="GS70" s="141"/>
      <c r="GT70" s="141"/>
      <c r="GU70" s="141"/>
      <c r="GV70" s="141"/>
      <c r="GW70" s="141"/>
      <c r="GX70" s="141"/>
      <c r="GY70" s="141"/>
      <c r="GZ70" s="141"/>
      <c r="HA70" s="141"/>
      <c r="HB70" s="141"/>
      <c r="HC70" s="141"/>
      <c r="HD70" s="141"/>
      <c r="HE70" s="141"/>
      <c r="HF70" s="141"/>
      <c r="HG70" s="141"/>
      <c r="HH70" s="141"/>
      <c r="HI70" s="141"/>
      <c r="HJ70" s="141"/>
      <c r="HK70" s="141"/>
      <c r="HL70" s="141"/>
      <c r="HM70" s="141"/>
      <c r="HN70" s="141"/>
      <c r="HO70" s="141"/>
      <c r="HP70" s="141"/>
      <c r="HQ70" s="141"/>
      <c r="HR70" s="141"/>
      <c r="HS70" s="141"/>
      <c r="HT70" s="141"/>
      <c r="HU70" s="141"/>
      <c r="HV70" s="141"/>
      <c r="HW70" s="141"/>
      <c r="HX70" s="141"/>
      <c r="HY70" s="141"/>
      <c r="HZ70" s="141"/>
      <c r="IA70" s="141"/>
      <c r="IB70" s="141"/>
      <c r="IC70" s="141"/>
      <c r="ID70" s="141"/>
      <c r="IE70" s="141"/>
      <c r="IF70" s="141"/>
      <c r="IG70" s="141"/>
      <c r="IH70" s="141"/>
      <c r="II70" s="141"/>
      <c r="IJ70" s="141"/>
      <c r="IK70" s="141"/>
      <c r="IL70" s="141"/>
      <c r="IM70" s="141"/>
      <c r="IN70" s="141"/>
      <c r="IO70" s="141"/>
      <c r="IP70" s="141"/>
      <c r="IQ70" s="141"/>
      <c r="IR70" s="141"/>
      <c r="IS70" s="141"/>
      <c r="IT70" s="141"/>
      <c r="IU70" s="141"/>
      <c r="IV70" s="141"/>
      <c r="IW70" s="141"/>
      <c r="IX70" s="141"/>
      <c r="IY70" s="141"/>
      <c r="IZ70" s="141"/>
      <c r="JA70" s="141"/>
      <c r="JB70" s="141"/>
      <c r="JC70" s="141"/>
      <c r="JD70" s="141"/>
      <c r="JE70" s="141"/>
      <c r="JF70" s="141"/>
      <c r="JG70" s="141"/>
      <c r="JH70" s="141"/>
      <c r="JI70" s="141"/>
      <c r="JJ70" s="141"/>
      <c r="JK70" s="141"/>
      <c r="JL70" s="141"/>
      <c r="JM70" s="141"/>
      <c r="JN70" s="141"/>
      <c r="JO70" s="141"/>
      <c r="JP70" s="141"/>
      <c r="JQ70" s="141"/>
      <c r="JR70" s="141"/>
      <c r="JS70" s="141"/>
      <c r="JT70" s="141"/>
      <c r="JU70" s="141"/>
      <c r="JV70" s="141"/>
      <c r="JW70" s="141"/>
      <c r="JX70" s="141"/>
      <c r="JY70" s="141"/>
      <c r="JZ70" s="141"/>
      <c r="KA70" s="141"/>
      <c r="KB70" s="141"/>
      <c r="KC70" s="141"/>
      <c r="KD70" s="141"/>
      <c r="KE70" s="141"/>
      <c r="KF70" s="141"/>
      <c r="KG70" s="141"/>
      <c r="KH70" s="141"/>
      <c r="KI70" s="141"/>
      <c r="KJ70" s="141"/>
      <c r="KK70" s="141"/>
      <c r="KL70" s="141"/>
      <c r="KM70" s="141"/>
      <c r="KN70" s="141"/>
    </row>
    <row r="71" spans="1:300" s="3" customFormat="1" ht="31.5" customHeight="1">
      <c r="A71" s="148"/>
      <c r="B71" s="8"/>
      <c r="C71" s="36"/>
      <c r="D71" s="36"/>
      <c r="E71" s="35"/>
      <c r="F71" s="35"/>
      <c r="G71" s="35"/>
      <c r="H71" s="151"/>
      <c r="I71" s="153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CA71" s="141"/>
      <c r="CB71" s="141"/>
      <c r="CC71" s="141"/>
      <c r="CD71" s="141"/>
      <c r="CE71" s="141"/>
      <c r="CF71" s="141"/>
      <c r="CG71" s="141"/>
      <c r="CH71" s="141"/>
      <c r="CI71" s="141"/>
      <c r="CJ71" s="141"/>
      <c r="CK71" s="141"/>
      <c r="CL71" s="141"/>
      <c r="CM71" s="141"/>
      <c r="CN71" s="141"/>
      <c r="CO71" s="141"/>
      <c r="CP71" s="141"/>
      <c r="CQ71" s="141"/>
      <c r="CR71" s="141"/>
      <c r="CS71" s="141"/>
      <c r="CT71" s="141"/>
      <c r="CU71" s="141"/>
      <c r="CV71" s="141"/>
      <c r="CW71" s="141"/>
      <c r="CX71" s="141"/>
      <c r="CY71" s="141"/>
      <c r="CZ71" s="141"/>
      <c r="DA71" s="141"/>
      <c r="DB71" s="141"/>
      <c r="DC71" s="141"/>
      <c r="DD71" s="141"/>
      <c r="DE71" s="141"/>
      <c r="DF71" s="141"/>
      <c r="DG71" s="141"/>
      <c r="DH71" s="141"/>
      <c r="DI71" s="141"/>
      <c r="DJ71" s="141"/>
      <c r="DK71" s="141"/>
      <c r="DL71" s="141"/>
      <c r="DM71" s="141"/>
      <c r="DN71" s="141"/>
      <c r="DO71" s="141"/>
      <c r="DP71" s="141"/>
      <c r="DQ71" s="141"/>
      <c r="DR71" s="141"/>
      <c r="DS71" s="141"/>
      <c r="DT71" s="141"/>
      <c r="DU71" s="141"/>
      <c r="DV71" s="141"/>
      <c r="DW71" s="141"/>
      <c r="DX71" s="141"/>
      <c r="DY71" s="141"/>
      <c r="DZ71" s="141"/>
      <c r="EA71" s="141"/>
      <c r="EB71" s="141"/>
      <c r="EC71" s="141"/>
      <c r="ED71" s="141"/>
      <c r="EE71" s="141"/>
      <c r="EF71" s="141"/>
      <c r="EG71" s="141"/>
      <c r="EH71" s="141"/>
      <c r="EI71" s="141"/>
      <c r="EJ71" s="141"/>
      <c r="EK71" s="141"/>
      <c r="EL71" s="141"/>
      <c r="EM71" s="141"/>
      <c r="EN71" s="141"/>
      <c r="EO71" s="141"/>
      <c r="EP71" s="141"/>
      <c r="EQ71" s="141"/>
      <c r="ER71" s="141"/>
      <c r="ES71" s="141"/>
      <c r="ET71" s="141"/>
      <c r="EU71" s="141"/>
      <c r="EV71" s="141"/>
      <c r="EW71" s="141"/>
      <c r="EX71" s="141"/>
      <c r="EY71" s="141"/>
      <c r="EZ71" s="141"/>
      <c r="FA71" s="141"/>
      <c r="FB71" s="141"/>
      <c r="FC71" s="141"/>
      <c r="FD71" s="141"/>
      <c r="FE71" s="141"/>
      <c r="FF71" s="141"/>
      <c r="FG71" s="141"/>
      <c r="FH71" s="141"/>
      <c r="FI71" s="141"/>
      <c r="FJ71" s="141"/>
      <c r="FK71" s="141"/>
      <c r="FL71" s="141"/>
      <c r="FM71" s="141"/>
      <c r="FN71" s="141"/>
      <c r="FO71" s="141"/>
      <c r="FP71" s="141"/>
      <c r="FQ71" s="141"/>
      <c r="FR71" s="141"/>
      <c r="FS71" s="141"/>
      <c r="FT71" s="141"/>
      <c r="FU71" s="141"/>
      <c r="FV71" s="141"/>
      <c r="FW71" s="141"/>
      <c r="FX71" s="141"/>
      <c r="FY71" s="141"/>
      <c r="FZ71" s="141"/>
      <c r="GA71" s="141"/>
      <c r="GB71" s="141"/>
      <c r="GC71" s="141"/>
      <c r="GD71" s="141"/>
      <c r="GE71" s="141"/>
      <c r="GF71" s="141"/>
      <c r="GG71" s="141"/>
      <c r="GH71" s="141"/>
      <c r="GI71" s="141"/>
      <c r="GJ71" s="141"/>
      <c r="GK71" s="141"/>
      <c r="GL71" s="141"/>
      <c r="GM71" s="141"/>
      <c r="GN71" s="141"/>
      <c r="GO71" s="141"/>
      <c r="GP71" s="141"/>
      <c r="GQ71" s="141"/>
      <c r="GR71" s="141"/>
      <c r="GS71" s="141"/>
      <c r="GT71" s="141"/>
      <c r="GU71" s="141"/>
      <c r="GV71" s="141"/>
      <c r="GW71" s="141"/>
      <c r="GX71" s="141"/>
      <c r="GY71" s="141"/>
      <c r="GZ71" s="141"/>
      <c r="HA71" s="141"/>
      <c r="HB71" s="141"/>
      <c r="HC71" s="141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HT71" s="141"/>
      <c r="HU71" s="141"/>
      <c r="HV71" s="141"/>
      <c r="HW71" s="141"/>
      <c r="HX71" s="141"/>
      <c r="HY71" s="141"/>
      <c r="HZ71" s="141"/>
      <c r="IA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R71" s="141"/>
      <c r="IS71" s="141"/>
      <c r="IT71" s="141"/>
      <c r="IU71" s="141"/>
      <c r="IV71" s="141"/>
      <c r="IW71" s="141"/>
      <c r="IX71" s="141"/>
      <c r="IY71" s="141"/>
      <c r="IZ71" s="141"/>
      <c r="JA71" s="141"/>
      <c r="JB71" s="141"/>
      <c r="JC71" s="141"/>
      <c r="JD71" s="141"/>
      <c r="JE71" s="141"/>
      <c r="JF71" s="141"/>
      <c r="JG71" s="141"/>
      <c r="JH71" s="141"/>
      <c r="JI71" s="141"/>
      <c r="JJ71" s="141"/>
      <c r="JK71" s="141"/>
      <c r="JL71" s="141"/>
      <c r="JM71" s="141"/>
      <c r="JN71" s="141"/>
      <c r="JO71" s="141"/>
      <c r="JP71" s="141"/>
      <c r="JQ71" s="141"/>
      <c r="JR71" s="141"/>
      <c r="JS71" s="141"/>
      <c r="JT71" s="141"/>
      <c r="JU71" s="141"/>
      <c r="JV71" s="141"/>
      <c r="JW71" s="141"/>
      <c r="JX71" s="141"/>
      <c r="JY71" s="141"/>
      <c r="JZ71" s="141"/>
      <c r="KA71" s="141"/>
      <c r="KB71" s="141"/>
      <c r="KC71" s="141"/>
      <c r="KD71" s="141"/>
      <c r="KE71" s="141"/>
      <c r="KF71" s="141"/>
      <c r="KG71" s="141"/>
      <c r="KH71" s="141"/>
      <c r="KI71" s="141"/>
      <c r="KJ71" s="141"/>
      <c r="KK71" s="141"/>
      <c r="KL71" s="141"/>
      <c r="KM71" s="141"/>
      <c r="KN71" s="141"/>
    </row>
    <row r="72" spans="1:300" s="3" customFormat="1" ht="31.5" customHeight="1">
      <c r="A72" s="148"/>
      <c r="B72" s="8"/>
      <c r="C72" s="36"/>
      <c r="D72" s="36"/>
      <c r="E72" s="35"/>
      <c r="F72" s="35"/>
      <c r="G72" s="35"/>
      <c r="H72" s="151"/>
      <c r="I72" s="153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CA72" s="141"/>
      <c r="CB72" s="141"/>
      <c r="CC72" s="141"/>
      <c r="CD72" s="141"/>
      <c r="CE72" s="141"/>
      <c r="CF72" s="141"/>
      <c r="CG72" s="141"/>
      <c r="CH72" s="141"/>
      <c r="CI72" s="141"/>
      <c r="CJ72" s="141"/>
      <c r="CK72" s="141"/>
      <c r="CL72" s="141"/>
      <c r="CM72" s="141"/>
      <c r="CN72" s="141"/>
      <c r="CO72" s="141"/>
      <c r="CP72" s="141"/>
      <c r="CQ72" s="141"/>
      <c r="CR72" s="141"/>
      <c r="CS72" s="141"/>
      <c r="CT72" s="141"/>
      <c r="CU72" s="141"/>
      <c r="CV72" s="141"/>
      <c r="CW72" s="141"/>
      <c r="CX72" s="141"/>
      <c r="CY72" s="141"/>
      <c r="CZ72" s="141"/>
      <c r="DA72" s="141"/>
      <c r="DB72" s="141"/>
      <c r="DC72" s="141"/>
      <c r="DD72" s="141"/>
      <c r="DE72" s="141"/>
      <c r="DF72" s="141"/>
      <c r="DG72" s="141"/>
      <c r="DH72" s="141"/>
      <c r="DI72" s="141"/>
      <c r="DJ72" s="141"/>
      <c r="DK72" s="141"/>
      <c r="DL72" s="141"/>
      <c r="DM72" s="141"/>
      <c r="DN72" s="141"/>
      <c r="DO72" s="141"/>
      <c r="DP72" s="141"/>
      <c r="DQ72" s="141"/>
      <c r="DR72" s="141"/>
      <c r="DS72" s="141"/>
      <c r="DT72" s="141"/>
      <c r="DU72" s="141"/>
      <c r="DV72" s="141"/>
      <c r="DW72" s="141"/>
      <c r="DX72" s="141"/>
      <c r="DY72" s="141"/>
      <c r="DZ72" s="141"/>
      <c r="EA72" s="141"/>
      <c r="EB72" s="141"/>
      <c r="EC72" s="141"/>
      <c r="ED72" s="141"/>
      <c r="EE72" s="141"/>
      <c r="EF72" s="141"/>
      <c r="EG72" s="141"/>
      <c r="EH72" s="141"/>
      <c r="EI72" s="141"/>
      <c r="EJ72" s="141"/>
      <c r="EK72" s="141"/>
      <c r="EL72" s="141"/>
      <c r="EM72" s="141"/>
      <c r="EN72" s="141"/>
      <c r="EO72" s="141"/>
      <c r="EP72" s="141"/>
      <c r="EQ72" s="141"/>
      <c r="ER72" s="141"/>
      <c r="ES72" s="141"/>
      <c r="ET72" s="141"/>
      <c r="EU72" s="141"/>
      <c r="EV72" s="141"/>
      <c r="EW72" s="141"/>
      <c r="EX72" s="141"/>
      <c r="EY72" s="141"/>
      <c r="EZ72" s="141"/>
      <c r="FA72" s="141"/>
      <c r="FB72" s="141"/>
      <c r="FC72" s="141"/>
      <c r="FD72" s="141"/>
      <c r="FE72" s="141"/>
      <c r="FF72" s="141"/>
      <c r="FG72" s="141"/>
      <c r="FH72" s="141"/>
      <c r="FI72" s="141"/>
      <c r="FJ72" s="141"/>
      <c r="FK72" s="141"/>
      <c r="FL72" s="141"/>
      <c r="FM72" s="141"/>
      <c r="FN72" s="141"/>
      <c r="FO72" s="141"/>
      <c r="FP72" s="141"/>
      <c r="FQ72" s="141"/>
      <c r="FR72" s="141"/>
      <c r="FS72" s="141"/>
      <c r="FT72" s="141"/>
      <c r="FU72" s="141"/>
      <c r="FV72" s="141"/>
      <c r="FW72" s="141"/>
      <c r="FX72" s="141"/>
      <c r="FY72" s="141"/>
      <c r="FZ72" s="141"/>
      <c r="GA72" s="141"/>
      <c r="GB72" s="141"/>
      <c r="GC72" s="141"/>
      <c r="GD72" s="141"/>
      <c r="GE72" s="141"/>
      <c r="GF72" s="141"/>
      <c r="GG72" s="141"/>
      <c r="GH72" s="141"/>
      <c r="GI72" s="141"/>
      <c r="GJ72" s="141"/>
      <c r="GK72" s="141"/>
      <c r="GL72" s="141"/>
      <c r="GM72" s="141"/>
      <c r="GN72" s="141"/>
      <c r="GO72" s="141"/>
      <c r="GP72" s="141"/>
      <c r="GQ72" s="141"/>
      <c r="GR72" s="141"/>
      <c r="GS72" s="141"/>
      <c r="GT72" s="141"/>
      <c r="GU72" s="141"/>
      <c r="GV72" s="141"/>
      <c r="GW72" s="141"/>
      <c r="GX72" s="141"/>
      <c r="GY72" s="141"/>
      <c r="GZ72" s="141"/>
      <c r="HA72" s="141"/>
      <c r="HB72" s="141"/>
      <c r="HC72" s="141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HT72" s="141"/>
      <c r="HU72" s="141"/>
      <c r="HV72" s="141"/>
      <c r="HW72" s="141"/>
      <c r="HX72" s="141"/>
      <c r="HY72" s="141"/>
      <c r="HZ72" s="141"/>
      <c r="IA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R72" s="141"/>
      <c r="IS72" s="141"/>
      <c r="IT72" s="141"/>
      <c r="IU72" s="141"/>
      <c r="IV72" s="141"/>
      <c r="IW72" s="141"/>
      <c r="IX72" s="141"/>
      <c r="IY72" s="141"/>
      <c r="IZ72" s="141"/>
      <c r="JA72" s="141"/>
      <c r="JB72" s="141"/>
      <c r="JC72" s="141"/>
      <c r="JD72" s="141"/>
      <c r="JE72" s="141"/>
      <c r="JF72" s="141"/>
      <c r="JG72" s="141"/>
      <c r="JH72" s="141"/>
      <c r="JI72" s="141"/>
      <c r="JJ72" s="141"/>
      <c r="JK72" s="141"/>
      <c r="JL72" s="141"/>
      <c r="JM72" s="141"/>
      <c r="JN72" s="141"/>
      <c r="JO72" s="141"/>
      <c r="JP72" s="141"/>
      <c r="JQ72" s="141"/>
      <c r="JR72" s="141"/>
      <c r="JS72" s="141"/>
      <c r="JT72" s="141"/>
      <c r="JU72" s="141"/>
      <c r="JV72" s="141"/>
      <c r="JW72" s="141"/>
      <c r="JX72" s="141"/>
      <c r="JY72" s="141"/>
      <c r="JZ72" s="141"/>
      <c r="KA72" s="141"/>
      <c r="KB72" s="141"/>
      <c r="KC72" s="141"/>
      <c r="KD72" s="141"/>
      <c r="KE72" s="141"/>
      <c r="KF72" s="141"/>
      <c r="KG72" s="141"/>
      <c r="KH72" s="141"/>
      <c r="KI72" s="141"/>
      <c r="KJ72" s="141"/>
      <c r="KK72" s="141"/>
      <c r="KL72" s="141"/>
      <c r="KM72" s="141"/>
      <c r="KN72" s="141"/>
    </row>
    <row r="73" spans="1:300" s="3" customFormat="1" ht="31.5" customHeight="1">
      <c r="A73" s="148"/>
      <c r="B73" s="8"/>
      <c r="C73" s="36"/>
      <c r="D73" s="36"/>
      <c r="E73" s="35"/>
      <c r="F73" s="35"/>
      <c r="G73" s="35"/>
      <c r="H73" s="151"/>
      <c r="I73" s="153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CA73" s="141"/>
      <c r="CB73" s="141"/>
      <c r="CC73" s="141"/>
      <c r="CD73" s="141"/>
      <c r="CE73" s="141"/>
      <c r="CF73" s="141"/>
      <c r="CG73" s="141"/>
      <c r="CH73" s="141"/>
      <c r="CI73" s="141"/>
      <c r="CJ73" s="141"/>
      <c r="CK73" s="141"/>
      <c r="CL73" s="141"/>
      <c r="CM73" s="141"/>
      <c r="CN73" s="141"/>
      <c r="CO73" s="141"/>
      <c r="CP73" s="141"/>
      <c r="CQ73" s="141"/>
      <c r="CR73" s="141"/>
      <c r="CS73" s="141"/>
      <c r="CT73" s="141"/>
      <c r="CU73" s="141"/>
      <c r="CV73" s="141"/>
      <c r="CW73" s="141"/>
      <c r="CX73" s="141"/>
      <c r="CY73" s="141"/>
      <c r="CZ73" s="141"/>
      <c r="DA73" s="141"/>
      <c r="DB73" s="141"/>
      <c r="DC73" s="141"/>
      <c r="DD73" s="141"/>
      <c r="DE73" s="141"/>
      <c r="DF73" s="141"/>
      <c r="DG73" s="141"/>
      <c r="DH73" s="141"/>
      <c r="DI73" s="141"/>
      <c r="DJ73" s="141"/>
      <c r="DK73" s="141"/>
      <c r="DL73" s="141"/>
      <c r="DM73" s="141"/>
      <c r="DN73" s="141"/>
      <c r="DO73" s="141"/>
      <c r="DP73" s="141"/>
      <c r="DQ73" s="141"/>
      <c r="DR73" s="141"/>
      <c r="DS73" s="141"/>
      <c r="DT73" s="141"/>
      <c r="DU73" s="141"/>
      <c r="DV73" s="141"/>
      <c r="DW73" s="141"/>
      <c r="DX73" s="141"/>
      <c r="DY73" s="141"/>
      <c r="DZ73" s="141"/>
      <c r="EA73" s="141"/>
      <c r="EB73" s="141"/>
      <c r="EC73" s="141"/>
      <c r="ED73" s="141"/>
      <c r="EE73" s="141"/>
      <c r="EF73" s="141"/>
      <c r="EG73" s="141"/>
      <c r="EH73" s="141"/>
      <c r="EI73" s="141"/>
      <c r="EJ73" s="141"/>
      <c r="EK73" s="141"/>
      <c r="EL73" s="141"/>
      <c r="EM73" s="141"/>
      <c r="EN73" s="141"/>
      <c r="EO73" s="141"/>
      <c r="EP73" s="141"/>
      <c r="EQ73" s="141"/>
      <c r="ER73" s="141"/>
      <c r="ES73" s="141"/>
      <c r="ET73" s="141"/>
      <c r="EU73" s="141"/>
      <c r="EV73" s="141"/>
      <c r="EW73" s="141"/>
      <c r="EX73" s="141"/>
      <c r="EY73" s="141"/>
      <c r="EZ73" s="141"/>
      <c r="FA73" s="141"/>
      <c r="FB73" s="141"/>
      <c r="FC73" s="141"/>
      <c r="FD73" s="141"/>
      <c r="FE73" s="141"/>
      <c r="FF73" s="141"/>
      <c r="FG73" s="141"/>
      <c r="FH73" s="141"/>
      <c r="FI73" s="141"/>
      <c r="FJ73" s="141"/>
      <c r="FK73" s="141"/>
      <c r="FL73" s="141"/>
      <c r="FM73" s="141"/>
      <c r="FN73" s="141"/>
      <c r="FO73" s="141"/>
      <c r="FP73" s="141"/>
      <c r="FQ73" s="141"/>
      <c r="FR73" s="141"/>
      <c r="FS73" s="141"/>
      <c r="FT73" s="141"/>
      <c r="FU73" s="141"/>
      <c r="FV73" s="141"/>
      <c r="FW73" s="141"/>
      <c r="FX73" s="141"/>
      <c r="FY73" s="141"/>
      <c r="FZ73" s="141"/>
      <c r="GA73" s="141"/>
      <c r="GB73" s="141"/>
      <c r="GC73" s="141"/>
      <c r="GD73" s="141"/>
      <c r="GE73" s="141"/>
      <c r="GF73" s="141"/>
      <c r="GG73" s="141"/>
      <c r="GH73" s="141"/>
      <c r="GI73" s="141"/>
      <c r="GJ73" s="141"/>
      <c r="GK73" s="141"/>
      <c r="GL73" s="141"/>
      <c r="GM73" s="141"/>
      <c r="GN73" s="141"/>
      <c r="GO73" s="141"/>
      <c r="GP73" s="141"/>
      <c r="GQ73" s="141"/>
      <c r="GR73" s="141"/>
      <c r="GS73" s="141"/>
      <c r="GT73" s="141"/>
      <c r="GU73" s="141"/>
      <c r="GV73" s="141"/>
      <c r="GW73" s="141"/>
      <c r="GX73" s="141"/>
      <c r="GY73" s="141"/>
      <c r="GZ73" s="141"/>
      <c r="HA73" s="141"/>
      <c r="HB73" s="141"/>
      <c r="HC73" s="141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HT73" s="141"/>
      <c r="HU73" s="141"/>
      <c r="HV73" s="141"/>
      <c r="HW73" s="141"/>
      <c r="HX73" s="141"/>
      <c r="HY73" s="141"/>
      <c r="HZ73" s="141"/>
      <c r="IA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R73" s="141"/>
      <c r="IS73" s="141"/>
      <c r="IT73" s="141"/>
      <c r="IU73" s="141"/>
      <c r="IV73" s="141"/>
      <c r="IW73" s="141"/>
      <c r="IX73" s="141"/>
      <c r="IY73" s="141"/>
      <c r="IZ73" s="141"/>
      <c r="JA73" s="141"/>
      <c r="JB73" s="141"/>
      <c r="JC73" s="141"/>
      <c r="JD73" s="141"/>
      <c r="JE73" s="141"/>
      <c r="JF73" s="141"/>
      <c r="JG73" s="141"/>
      <c r="JH73" s="141"/>
      <c r="JI73" s="141"/>
      <c r="JJ73" s="141"/>
      <c r="JK73" s="141"/>
      <c r="JL73" s="141"/>
      <c r="JM73" s="141"/>
      <c r="JN73" s="141"/>
      <c r="JO73" s="141"/>
      <c r="JP73" s="141"/>
      <c r="JQ73" s="141"/>
      <c r="JR73" s="141"/>
      <c r="JS73" s="141"/>
      <c r="JT73" s="141"/>
      <c r="JU73" s="141"/>
      <c r="JV73" s="141"/>
      <c r="JW73" s="141"/>
      <c r="JX73" s="141"/>
      <c r="JY73" s="141"/>
      <c r="JZ73" s="141"/>
      <c r="KA73" s="141"/>
      <c r="KB73" s="141"/>
      <c r="KC73" s="141"/>
      <c r="KD73" s="141"/>
      <c r="KE73" s="141"/>
      <c r="KF73" s="141"/>
      <c r="KG73" s="141"/>
      <c r="KH73" s="141"/>
      <c r="KI73" s="141"/>
      <c r="KJ73" s="141"/>
      <c r="KK73" s="141"/>
      <c r="KL73" s="141"/>
      <c r="KM73" s="141"/>
      <c r="KN73" s="141"/>
    </row>
    <row r="74" spans="1:300" s="3" customFormat="1" ht="31.5" customHeight="1">
      <c r="A74" s="148"/>
      <c r="B74" s="8"/>
      <c r="C74" s="36"/>
      <c r="D74" s="36"/>
      <c r="E74" s="35"/>
      <c r="F74" s="35"/>
      <c r="G74" s="35"/>
      <c r="H74" s="151"/>
      <c r="I74" s="153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CA74" s="141"/>
      <c r="CB74" s="141"/>
      <c r="CC74" s="141"/>
      <c r="CD74" s="141"/>
      <c r="CE74" s="141"/>
      <c r="CF74" s="141"/>
      <c r="CG74" s="141"/>
      <c r="CH74" s="141"/>
      <c r="CI74" s="141"/>
      <c r="CJ74" s="141"/>
      <c r="CK74" s="141"/>
      <c r="CL74" s="141"/>
      <c r="CM74" s="141"/>
      <c r="CN74" s="141"/>
      <c r="CO74" s="141"/>
      <c r="CP74" s="141"/>
      <c r="CQ74" s="141"/>
      <c r="CR74" s="141"/>
      <c r="CS74" s="141"/>
      <c r="CT74" s="141"/>
      <c r="CU74" s="141"/>
      <c r="CV74" s="141"/>
      <c r="CW74" s="141"/>
      <c r="CX74" s="141"/>
      <c r="CY74" s="141"/>
      <c r="CZ74" s="141"/>
      <c r="DA74" s="141"/>
      <c r="DB74" s="141"/>
      <c r="DC74" s="141"/>
      <c r="DD74" s="141"/>
      <c r="DE74" s="141"/>
      <c r="DF74" s="141"/>
      <c r="DG74" s="141"/>
      <c r="DH74" s="141"/>
      <c r="DI74" s="141"/>
      <c r="DJ74" s="141"/>
      <c r="DK74" s="141"/>
      <c r="DL74" s="141"/>
      <c r="DM74" s="141"/>
      <c r="DN74" s="141"/>
      <c r="DO74" s="141"/>
      <c r="DP74" s="141"/>
      <c r="DQ74" s="141"/>
      <c r="DR74" s="141"/>
      <c r="DS74" s="141"/>
      <c r="DT74" s="141"/>
      <c r="DU74" s="141"/>
      <c r="DV74" s="141"/>
      <c r="DW74" s="141"/>
      <c r="DX74" s="141"/>
      <c r="DY74" s="141"/>
      <c r="DZ74" s="141"/>
      <c r="EA74" s="141"/>
      <c r="EB74" s="141"/>
      <c r="EC74" s="141"/>
      <c r="ED74" s="141"/>
      <c r="EE74" s="141"/>
      <c r="EF74" s="141"/>
      <c r="EG74" s="141"/>
      <c r="EH74" s="141"/>
      <c r="EI74" s="141"/>
      <c r="EJ74" s="141"/>
      <c r="EK74" s="141"/>
      <c r="EL74" s="141"/>
      <c r="EM74" s="141"/>
      <c r="EN74" s="141"/>
      <c r="EO74" s="141"/>
      <c r="EP74" s="141"/>
      <c r="EQ74" s="141"/>
      <c r="ER74" s="141"/>
      <c r="ES74" s="141"/>
      <c r="ET74" s="141"/>
      <c r="EU74" s="141"/>
      <c r="EV74" s="141"/>
      <c r="EW74" s="141"/>
      <c r="EX74" s="141"/>
      <c r="EY74" s="141"/>
      <c r="EZ74" s="141"/>
      <c r="FA74" s="141"/>
      <c r="FB74" s="141"/>
      <c r="FC74" s="141"/>
      <c r="FD74" s="141"/>
      <c r="FE74" s="141"/>
      <c r="FF74" s="141"/>
      <c r="FG74" s="141"/>
      <c r="FH74" s="141"/>
      <c r="FI74" s="141"/>
      <c r="FJ74" s="141"/>
      <c r="FK74" s="141"/>
      <c r="FL74" s="141"/>
      <c r="FM74" s="141"/>
      <c r="FN74" s="141"/>
      <c r="FO74" s="141"/>
      <c r="FP74" s="141"/>
      <c r="FQ74" s="141"/>
      <c r="FR74" s="141"/>
      <c r="FS74" s="141"/>
      <c r="FT74" s="141"/>
      <c r="FU74" s="141"/>
      <c r="FV74" s="141"/>
      <c r="FW74" s="141"/>
      <c r="FX74" s="141"/>
      <c r="FY74" s="141"/>
      <c r="FZ74" s="141"/>
      <c r="GA74" s="141"/>
      <c r="GB74" s="141"/>
      <c r="GC74" s="141"/>
      <c r="GD74" s="141"/>
      <c r="GE74" s="141"/>
      <c r="GF74" s="141"/>
      <c r="GG74" s="141"/>
      <c r="GH74" s="141"/>
      <c r="GI74" s="141"/>
      <c r="GJ74" s="141"/>
      <c r="GK74" s="141"/>
      <c r="GL74" s="141"/>
      <c r="GM74" s="141"/>
      <c r="GN74" s="141"/>
      <c r="GO74" s="141"/>
      <c r="GP74" s="141"/>
      <c r="GQ74" s="141"/>
      <c r="GR74" s="141"/>
      <c r="GS74" s="141"/>
      <c r="GT74" s="141"/>
      <c r="GU74" s="141"/>
      <c r="GV74" s="141"/>
      <c r="GW74" s="141"/>
      <c r="GX74" s="141"/>
      <c r="GY74" s="141"/>
      <c r="GZ74" s="141"/>
      <c r="HA74" s="141"/>
      <c r="HB74" s="141"/>
      <c r="HC74" s="141"/>
      <c r="HD74" s="141"/>
      <c r="HE74" s="141"/>
      <c r="HF74" s="141"/>
      <c r="HG74" s="141"/>
      <c r="HH74" s="141"/>
      <c r="HI74" s="141"/>
      <c r="HJ74" s="141"/>
      <c r="HK74" s="141"/>
      <c r="HL74" s="141"/>
      <c r="HM74" s="141"/>
      <c r="HN74" s="141"/>
      <c r="HO74" s="141"/>
      <c r="HP74" s="141"/>
      <c r="HQ74" s="141"/>
      <c r="HR74" s="141"/>
      <c r="HS74" s="141"/>
      <c r="HT74" s="141"/>
      <c r="HU74" s="141"/>
      <c r="HV74" s="141"/>
      <c r="HW74" s="141"/>
      <c r="HX74" s="141"/>
      <c r="HY74" s="141"/>
      <c r="HZ74" s="141"/>
      <c r="IA74" s="141"/>
      <c r="IB74" s="141"/>
      <c r="IC74" s="141"/>
      <c r="ID74" s="141"/>
      <c r="IE74" s="141"/>
      <c r="IF74" s="141"/>
      <c r="IG74" s="141"/>
      <c r="IH74" s="141"/>
      <c r="II74" s="141"/>
      <c r="IJ74" s="141"/>
      <c r="IK74" s="141"/>
      <c r="IL74" s="141"/>
      <c r="IM74" s="141"/>
      <c r="IN74" s="141"/>
      <c r="IO74" s="141"/>
      <c r="IP74" s="141"/>
      <c r="IQ74" s="141"/>
      <c r="IR74" s="141"/>
      <c r="IS74" s="141"/>
      <c r="IT74" s="141"/>
      <c r="IU74" s="141"/>
      <c r="IV74" s="141"/>
      <c r="IW74" s="141"/>
      <c r="IX74" s="141"/>
      <c r="IY74" s="141"/>
      <c r="IZ74" s="141"/>
      <c r="JA74" s="141"/>
      <c r="JB74" s="141"/>
      <c r="JC74" s="141"/>
      <c r="JD74" s="141"/>
      <c r="JE74" s="141"/>
      <c r="JF74" s="141"/>
      <c r="JG74" s="141"/>
      <c r="JH74" s="141"/>
      <c r="JI74" s="141"/>
      <c r="JJ74" s="141"/>
      <c r="JK74" s="141"/>
      <c r="JL74" s="141"/>
      <c r="JM74" s="141"/>
      <c r="JN74" s="141"/>
      <c r="JO74" s="141"/>
      <c r="JP74" s="141"/>
      <c r="JQ74" s="141"/>
      <c r="JR74" s="141"/>
      <c r="JS74" s="141"/>
      <c r="JT74" s="141"/>
      <c r="JU74" s="141"/>
      <c r="JV74" s="141"/>
      <c r="JW74" s="141"/>
      <c r="JX74" s="141"/>
      <c r="JY74" s="141"/>
      <c r="JZ74" s="141"/>
      <c r="KA74" s="141"/>
      <c r="KB74" s="141"/>
      <c r="KC74" s="141"/>
      <c r="KD74" s="141"/>
      <c r="KE74" s="141"/>
      <c r="KF74" s="141"/>
      <c r="KG74" s="141"/>
      <c r="KH74" s="141"/>
      <c r="KI74" s="141"/>
      <c r="KJ74" s="141"/>
      <c r="KK74" s="141"/>
      <c r="KL74" s="141"/>
      <c r="KM74" s="141"/>
      <c r="KN74" s="141"/>
    </row>
    <row r="75" spans="1:300" s="3" customFormat="1" ht="31.5" customHeight="1">
      <c r="A75" s="148"/>
      <c r="B75" s="8"/>
      <c r="C75" s="36"/>
      <c r="D75" s="36"/>
      <c r="E75" s="35"/>
      <c r="F75" s="35"/>
      <c r="G75" s="35"/>
      <c r="H75" s="151"/>
      <c r="I75" s="153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CA75" s="141"/>
      <c r="CB75" s="141"/>
      <c r="CC75" s="141"/>
      <c r="CD75" s="141"/>
      <c r="CE75" s="141"/>
      <c r="CF75" s="141"/>
      <c r="CG75" s="141"/>
      <c r="CH75" s="141"/>
      <c r="CI75" s="141"/>
      <c r="CJ75" s="141"/>
      <c r="CK75" s="141"/>
      <c r="CL75" s="141"/>
      <c r="CM75" s="141"/>
      <c r="CN75" s="141"/>
      <c r="CO75" s="141"/>
      <c r="CP75" s="141"/>
      <c r="CQ75" s="141"/>
      <c r="CR75" s="141"/>
      <c r="CS75" s="141"/>
      <c r="CT75" s="141"/>
      <c r="CU75" s="141"/>
      <c r="CV75" s="141"/>
      <c r="CW75" s="141"/>
      <c r="CX75" s="141"/>
      <c r="CY75" s="141"/>
      <c r="CZ75" s="141"/>
      <c r="DA75" s="141"/>
      <c r="DB75" s="141"/>
      <c r="DC75" s="141"/>
      <c r="DD75" s="141"/>
      <c r="DE75" s="141"/>
      <c r="DF75" s="141"/>
      <c r="DG75" s="141"/>
      <c r="DH75" s="141"/>
      <c r="DI75" s="141"/>
      <c r="DJ75" s="141"/>
      <c r="DK75" s="141"/>
      <c r="DL75" s="141"/>
      <c r="DM75" s="141"/>
      <c r="DN75" s="141"/>
      <c r="DO75" s="141"/>
      <c r="DP75" s="141"/>
      <c r="DQ75" s="141"/>
      <c r="DR75" s="141"/>
      <c r="DS75" s="141"/>
      <c r="DT75" s="141"/>
      <c r="DU75" s="141"/>
      <c r="DV75" s="141"/>
      <c r="DW75" s="141"/>
      <c r="DX75" s="141"/>
      <c r="DY75" s="141"/>
      <c r="DZ75" s="141"/>
      <c r="EA75" s="141"/>
      <c r="EB75" s="141"/>
      <c r="EC75" s="141"/>
      <c r="ED75" s="141"/>
      <c r="EE75" s="141"/>
      <c r="EF75" s="141"/>
      <c r="EG75" s="141"/>
      <c r="EH75" s="141"/>
      <c r="EI75" s="141"/>
      <c r="EJ75" s="141"/>
      <c r="EK75" s="141"/>
      <c r="EL75" s="141"/>
      <c r="EM75" s="141"/>
      <c r="EN75" s="141"/>
      <c r="EO75" s="141"/>
      <c r="EP75" s="141"/>
      <c r="EQ75" s="141"/>
      <c r="ER75" s="141"/>
      <c r="ES75" s="141"/>
      <c r="ET75" s="141"/>
      <c r="EU75" s="141"/>
      <c r="EV75" s="141"/>
      <c r="EW75" s="141"/>
      <c r="EX75" s="141"/>
      <c r="EY75" s="141"/>
      <c r="EZ75" s="141"/>
      <c r="FA75" s="141"/>
      <c r="FB75" s="141"/>
      <c r="FC75" s="141"/>
      <c r="FD75" s="141"/>
      <c r="FE75" s="141"/>
      <c r="FF75" s="141"/>
      <c r="FG75" s="141"/>
      <c r="FH75" s="141"/>
      <c r="FI75" s="141"/>
      <c r="FJ75" s="141"/>
      <c r="FK75" s="141"/>
      <c r="FL75" s="141"/>
      <c r="FM75" s="141"/>
      <c r="FN75" s="141"/>
      <c r="FO75" s="141"/>
      <c r="FP75" s="141"/>
      <c r="FQ75" s="141"/>
      <c r="FR75" s="141"/>
      <c r="FS75" s="141"/>
      <c r="FT75" s="141"/>
      <c r="FU75" s="141"/>
      <c r="FV75" s="141"/>
      <c r="FW75" s="141"/>
      <c r="FX75" s="141"/>
      <c r="FY75" s="141"/>
      <c r="FZ75" s="141"/>
      <c r="GA75" s="141"/>
      <c r="GB75" s="141"/>
      <c r="GC75" s="141"/>
      <c r="GD75" s="141"/>
      <c r="GE75" s="141"/>
      <c r="GF75" s="141"/>
      <c r="GG75" s="141"/>
      <c r="GH75" s="141"/>
      <c r="GI75" s="141"/>
      <c r="GJ75" s="141"/>
      <c r="GK75" s="141"/>
      <c r="GL75" s="141"/>
      <c r="GM75" s="141"/>
      <c r="GN75" s="141"/>
      <c r="GO75" s="141"/>
      <c r="GP75" s="141"/>
      <c r="GQ75" s="141"/>
      <c r="GR75" s="141"/>
      <c r="GS75" s="141"/>
      <c r="GT75" s="141"/>
      <c r="GU75" s="141"/>
      <c r="GV75" s="141"/>
      <c r="GW75" s="141"/>
      <c r="GX75" s="141"/>
      <c r="GY75" s="141"/>
      <c r="GZ75" s="141"/>
      <c r="HA75" s="141"/>
      <c r="HB75" s="141"/>
      <c r="HC75" s="141"/>
      <c r="HD75" s="141"/>
      <c r="HE75" s="141"/>
      <c r="HF75" s="141"/>
      <c r="HG75" s="141"/>
      <c r="HH75" s="141"/>
      <c r="HI75" s="141"/>
      <c r="HJ75" s="141"/>
      <c r="HK75" s="141"/>
      <c r="HL75" s="141"/>
      <c r="HM75" s="141"/>
      <c r="HN75" s="141"/>
      <c r="HO75" s="141"/>
      <c r="HP75" s="141"/>
      <c r="HQ75" s="141"/>
      <c r="HR75" s="141"/>
      <c r="HS75" s="141"/>
      <c r="HT75" s="141"/>
      <c r="HU75" s="141"/>
      <c r="HV75" s="141"/>
      <c r="HW75" s="141"/>
      <c r="HX75" s="141"/>
      <c r="HY75" s="141"/>
      <c r="HZ75" s="141"/>
      <c r="IA75" s="141"/>
      <c r="IB75" s="141"/>
      <c r="IC75" s="141"/>
      <c r="ID75" s="141"/>
      <c r="IE75" s="141"/>
      <c r="IF75" s="141"/>
      <c r="IG75" s="141"/>
      <c r="IH75" s="141"/>
      <c r="II75" s="141"/>
      <c r="IJ75" s="141"/>
      <c r="IK75" s="141"/>
      <c r="IL75" s="141"/>
      <c r="IM75" s="141"/>
      <c r="IN75" s="141"/>
      <c r="IO75" s="141"/>
      <c r="IP75" s="141"/>
      <c r="IQ75" s="141"/>
      <c r="IR75" s="141"/>
      <c r="IS75" s="141"/>
      <c r="IT75" s="141"/>
      <c r="IU75" s="141"/>
      <c r="IV75" s="141"/>
      <c r="IW75" s="141"/>
      <c r="IX75" s="141"/>
      <c r="IY75" s="141"/>
      <c r="IZ75" s="141"/>
      <c r="JA75" s="141"/>
      <c r="JB75" s="141"/>
      <c r="JC75" s="141"/>
      <c r="JD75" s="141"/>
      <c r="JE75" s="141"/>
      <c r="JF75" s="141"/>
      <c r="JG75" s="141"/>
      <c r="JH75" s="141"/>
      <c r="JI75" s="141"/>
      <c r="JJ75" s="141"/>
      <c r="JK75" s="141"/>
      <c r="JL75" s="141"/>
      <c r="JM75" s="141"/>
      <c r="JN75" s="141"/>
      <c r="JO75" s="141"/>
      <c r="JP75" s="141"/>
      <c r="JQ75" s="141"/>
      <c r="JR75" s="141"/>
      <c r="JS75" s="141"/>
      <c r="JT75" s="141"/>
      <c r="JU75" s="141"/>
      <c r="JV75" s="141"/>
      <c r="JW75" s="141"/>
      <c r="JX75" s="141"/>
      <c r="JY75" s="141"/>
      <c r="JZ75" s="141"/>
      <c r="KA75" s="141"/>
      <c r="KB75" s="141"/>
      <c r="KC75" s="141"/>
      <c r="KD75" s="141"/>
      <c r="KE75" s="141"/>
      <c r="KF75" s="141"/>
      <c r="KG75" s="141"/>
      <c r="KH75" s="141"/>
      <c r="KI75" s="141"/>
      <c r="KJ75" s="141"/>
      <c r="KK75" s="141"/>
      <c r="KL75" s="141"/>
      <c r="KM75" s="141"/>
      <c r="KN75" s="141"/>
    </row>
    <row r="76" spans="1:300" s="3" customFormat="1" ht="31.5" customHeight="1">
      <c r="A76" s="148"/>
      <c r="B76" s="8"/>
      <c r="C76" s="36"/>
      <c r="D76" s="36"/>
      <c r="E76" s="35"/>
      <c r="F76" s="35"/>
      <c r="G76" s="35"/>
      <c r="H76" s="151"/>
      <c r="I76" s="153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  <c r="CA76" s="141"/>
      <c r="CB76" s="141"/>
      <c r="CC76" s="141"/>
      <c r="CD76" s="141"/>
      <c r="CE76" s="141"/>
      <c r="CF76" s="141"/>
      <c r="CG76" s="141"/>
      <c r="CH76" s="141"/>
      <c r="CI76" s="141"/>
      <c r="CJ76" s="141"/>
      <c r="CK76" s="141"/>
      <c r="CL76" s="141"/>
      <c r="CM76" s="141"/>
      <c r="CN76" s="141"/>
      <c r="CO76" s="141"/>
      <c r="CP76" s="141"/>
      <c r="CQ76" s="141"/>
      <c r="CR76" s="141"/>
      <c r="CS76" s="141"/>
      <c r="CT76" s="141"/>
      <c r="CU76" s="141"/>
      <c r="CV76" s="141"/>
      <c r="CW76" s="141"/>
      <c r="CX76" s="141"/>
      <c r="CY76" s="141"/>
      <c r="CZ76" s="141"/>
      <c r="DA76" s="141"/>
      <c r="DB76" s="141"/>
      <c r="DC76" s="141"/>
      <c r="DD76" s="141"/>
      <c r="DE76" s="141"/>
      <c r="DF76" s="141"/>
      <c r="DG76" s="141"/>
      <c r="DH76" s="141"/>
      <c r="DI76" s="141"/>
      <c r="DJ76" s="141"/>
      <c r="DK76" s="141"/>
      <c r="DL76" s="141"/>
      <c r="DM76" s="141"/>
      <c r="DN76" s="141"/>
      <c r="DO76" s="141"/>
      <c r="DP76" s="141"/>
      <c r="DQ76" s="141"/>
      <c r="DR76" s="141"/>
      <c r="DS76" s="141"/>
      <c r="DT76" s="141"/>
      <c r="DU76" s="141"/>
      <c r="DV76" s="141"/>
      <c r="DW76" s="141"/>
      <c r="DX76" s="141"/>
      <c r="DY76" s="141"/>
      <c r="DZ76" s="141"/>
      <c r="EA76" s="141"/>
      <c r="EB76" s="141"/>
      <c r="EC76" s="141"/>
      <c r="ED76" s="141"/>
      <c r="EE76" s="141"/>
      <c r="EF76" s="141"/>
      <c r="EG76" s="141"/>
      <c r="EH76" s="141"/>
      <c r="EI76" s="141"/>
      <c r="EJ76" s="141"/>
      <c r="EK76" s="141"/>
      <c r="EL76" s="141"/>
      <c r="EM76" s="141"/>
      <c r="EN76" s="141"/>
      <c r="EO76" s="141"/>
      <c r="EP76" s="141"/>
      <c r="EQ76" s="141"/>
      <c r="ER76" s="141"/>
      <c r="ES76" s="141"/>
      <c r="ET76" s="141"/>
      <c r="EU76" s="141"/>
      <c r="EV76" s="141"/>
      <c r="EW76" s="141"/>
      <c r="EX76" s="141"/>
      <c r="EY76" s="141"/>
      <c r="EZ76" s="141"/>
      <c r="FA76" s="141"/>
      <c r="FB76" s="141"/>
      <c r="FC76" s="141"/>
      <c r="FD76" s="141"/>
      <c r="FE76" s="141"/>
      <c r="FF76" s="141"/>
      <c r="FG76" s="141"/>
      <c r="FH76" s="141"/>
      <c r="FI76" s="141"/>
      <c r="FJ76" s="141"/>
      <c r="FK76" s="141"/>
      <c r="FL76" s="141"/>
      <c r="FM76" s="141"/>
      <c r="FN76" s="141"/>
      <c r="FO76" s="141"/>
      <c r="FP76" s="141"/>
      <c r="FQ76" s="141"/>
      <c r="FR76" s="141"/>
      <c r="FS76" s="141"/>
      <c r="FT76" s="141"/>
      <c r="FU76" s="141"/>
      <c r="FV76" s="141"/>
      <c r="FW76" s="141"/>
      <c r="FX76" s="141"/>
      <c r="FY76" s="141"/>
      <c r="FZ76" s="141"/>
      <c r="GA76" s="141"/>
      <c r="GB76" s="141"/>
      <c r="GC76" s="141"/>
      <c r="GD76" s="141"/>
      <c r="GE76" s="141"/>
      <c r="GF76" s="141"/>
      <c r="GG76" s="141"/>
      <c r="GH76" s="141"/>
      <c r="GI76" s="141"/>
      <c r="GJ76" s="141"/>
      <c r="GK76" s="141"/>
      <c r="GL76" s="141"/>
      <c r="GM76" s="141"/>
      <c r="GN76" s="141"/>
      <c r="GO76" s="141"/>
      <c r="GP76" s="141"/>
      <c r="GQ76" s="141"/>
      <c r="GR76" s="141"/>
      <c r="GS76" s="141"/>
      <c r="GT76" s="141"/>
      <c r="GU76" s="141"/>
      <c r="GV76" s="141"/>
      <c r="GW76" s="141"/>
      <c r="GX76" s="141"/>
      <c r="GY76" s="141"/>
      <c r="GZ76" s="141"/>
      <c r="HA76" s="141"/>
      <c r="HB76" s="141"/>
      <c r="HC76" s="141"/>
      <c r="HD76" s="141"/>
      <c r="HE76" s="141"/>
      <c r="HF76" s="141"/>
      <c r="HG76" s="141"/>
      <c r="HH76" s="141"/>
      <c r="HI76" s="141"/>
      <c r="HJ76" s="141"/>
      <c r="HK76" s="141"/>
      <c r="HL76" s="141"/>
      <c r="HM76" s="141"/>
      <c r="HN76" s="141"/>
      <c r="HO76" s="141"/>
      <c r="HP76" s="141"/>
      <c r="HQ76" s="141"/>
      <c r="HR76" s="141"/>
      <c r="HS76" s="141"/>
      <c r="HT76" s="141"/>
      <c r="HU76" s="141"/>
      <c r="HV76" s="141"/>
      <c r="HW76" s="141"/>
      <c r="HX76" s="141"/>
      <c r="HY76" s="141"/>
      <c r="HZ76" s="141"/>
      <c r="IA76" s="141"/>
      <c r="IB76" s="141"/>
      <c r="IC76" s="141"/>
      <c r="ID76" s="141"/>
      <c r="IE76" s="141"/>
      <c r="IF76" s="141"/>
      <c r="IG76" s="141"/>
      <c r="IH76" s="141"/>
      <c r="II76" s="141"/>
      <c r="IJ76" s="141"/>
      <c r="IK76" s="141"/>
      <c r="IL76" s="141"/>
      <c r="IM76" s="141"/>
      <c r="IN76" s="141"/>
      <c r="IO76" s="141"/>
      <c r="IP76" s="141"/>
      <c r="IQ76" s="141"/>
      <c r="IR76" s="141"/>
      <c r="IS76" s="141"/>
      <c r="IT76" s="141"/>
      <c r="IU76" s="141"/>
      <c r="IV76" s="141"/>
      <c r="IW76" s="141"/>
      <c r="IX76" s="141"/>
      <c r="IY76" s="141"/>
      <c r="IZ76" s="141"/>
      <c r="JA76" s="141"/>
      <c r="JB76" s="141"/>
      <c r="JC76" s="141"/>
      <c r="JD76" s="141"/>
      <c r="JE76" s="141"/>
      <c r="JF76" s="141"/>
      <c r="JG76" s="141"/>
      <c r="JH76" s="141"/>
      <c r="JI76" s="141"/>
      <c r="JJ76" s="141"/>
      <c r="JK76" s="141"/>
      <c r="JL76" s="141"/>
      <c r="JM76" s="141"/>
      <c r="JN76" s="141"/>
      <c r="JO76" s="141"/>
      <c r="JP76" s="141"/>
      <c r="JQ76" s="141"/>
      <c r="JR76" s="141"/>
      <c r="JS76" s="141"/>
      <c r="JT76" s="141"/>
      <c r="JU76" s="141"/>
      <c r="JV76" s="141"/>
      <c r="JW76" s="141"/>
      <c r="JX76" s="141"/>
      <c r="JY76" s="141"/>
      <c r="JZ76" s="141"/>
      <c r="KA76" s="141"/>
      <c r="KB76" s="141"/>
      <c r="KC76" s="141"/>
      <c r="KD76" s="141"/>
      <c r="KE76" s="141"/>
      <c r="KF76" s="141"/>
      <c r="KG76" s="141"/>
      <c r="KH76" s="141"/>
      <c r="KI76" s="141"/>
      <c r="KJ76" s="141"/>
      <c r="KK76" s="141"/>
      <c r="KL76" s="141"/>
      <c r="KM76" s="141"/>
      <c r="KN76" s="141"/>
    </row>
    <row r="77" spans="1:300" s="3" customFormat="1" ht="31.5" customHeight="1">
      <c r="A77" s="148"/>
      <c r="B77" s="8"/>
      <c r="C77" s="36"/>
      <c r="D77" s="36"/>
      <c r="E77" s="35"/>
      <c r="F77" s="35"/>
      <c r="G77" s="35"/>
      <c r="H77" s="151"/>
      <c r="I77" s="153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BZ77" s="141"/>
      <c r="CA77" s="141"/>
      <c r="CB77" s="141"/>
      <c r="CC77" s="141"/>
      <c r="CD77" s="141"/>
      <c r="CE77" s="141"/>
      <c r="CF77" s="141"/>
      <c r="CG77" s="141"/>
      <c r="CH77" s="141"/>
      <c r="CI77" s="141"/>
      <c r="CJ77" s="141"/>
      <c r="CK77" s="141"/>
      <c r="CL77" s="141"/>
      <c r="CM77" s="141"/>
      <c r="CN77" s="141"/>
      <c r="CO77" s="141"/>
      <c r="CP77" s="141"/>
      <c r="CQ77" s="141"/>
      <c r="CR77" s="141"/>
      <c r="CS77" s="141"/>
      <c r="CT77" s="141"/>
      <c r="CU77" s="141"/>
      <c r="CV77" s="141"/>
      <c r="CW77" s="141"/>
      <c r="CX77" s="141"/>
      <c r="CY77" s="141"/>
      <c r="CZ77" s="141"/>
      <c r="DA77" s="141"/>
      <c r="DB77" s="141"/>
      <c r="DC77" s="141"/>
      <c r="DD77" s="141"/>
      <c r="DE77" s="141"/>
      <c r="DF77" s="141"/>
      <c r="DG77" s="141"/>
      <c r="DH77" s="141"/>
      <c r="DI77" s="141"/>
      <c r="DJ77" s="141"/>
      <c r="DK77" s="141"/>
      <c r="DL77" s="141"/>
      <c r="DM77" s="141"/>
      <c r="DN77" s="141"/>
      <c r="DO77" s="141"/>
      <c r="DP77" s="141"/>
      <c r="DQ77" s="141"/>
      <c r="DR77" s="141"/>
      <c r="DS77" s="141"/>
      <c r="DT77" s="141"/>
      <c r="DU77" s="141"/>
      <c r="DV77" s="141"/>
      <c r="DW77" s="141"/>
      <c r="DX77" s="141"/>
      <c r="DY77" s="141"/>
      <c r="DZ77" s="141"/>
      <c r="EA77" s="141"/>
      <c r="EB77" s="141"/>
      <c r="EC77" s="141"/>
      <c r="ED77" s="141"/>
      <c r="EE77" s="141"/>
      <c r="EF77" s="141"/>
      <c r="EG77" s="141"/>
      <c r="EH77" s="141"/>
      <c r="EI77" s="141"/>
      <c r="EJ77" s="141"/>
      <c r="EK77" s="141"/>
      <c r="EL77" s="141"/>
      <c r="EM77" s="141"/>
      <c r="EN77" s="141"/>
      <c r="EO77" s="141"/>
      <c r="EP77" s="141"/>
      <c r="EQ77" s="141"/>
      <c r="ER77" s="141"/>
      <c r="ES77" s="141"/>
      <c r="ET77" s="141"/>
      <c r="EU77" s="141"/>
      <c r="EV77" s="141"/>
      <c r="EW77" s="141"/>
      <c r="EX77" s="141"/>
      <c r="EY77" s="141"/>
      <c r="EZ77" s="141"/>
      <c r="FA77" s="141"/>
      <c r="FB77" s="141"/>
      <c r="FC77" s="141"/>
      <c r="FD77" s="141"/>
      <c r="FE77" s="141"/>
      <c r="FF77" s="141"/>
      <c r="FG77" s="141"/>
      <c r="FH77" s="141"/>
      <c r="FI77" s="141"/>
      <c r="FJ77" s="141"/>
      <c r="FK77" s="141"/>
      <c r="FL77" s="141"/>
      <c r="FM77" s="141"/>
      <c r="FN77" s="141"/>
      <c r="FO77" s="141"/>
      <c r="FP77" s="141"/>
      <c r="FQ77" s="141"/>
      <c r="FR77" s="141"/>
      <c r="FS77" s="141"/>
      <c r="FT77" s="141"/>
      <c r="FU77" s="141"/>
      <c r="FV77" s="141"/>
      <c r="FW77" s="141"/>
      <c r="FX77" s="141"/>
      <c r="FY77" s="141"/>
      <c r="FZ77" s="141"/>
      <c r="GA77" s="141"/>
      <c r="GB77" s="141"/>
      <c r="GC77" s="141"/>
      <c r="GD77" s="141"/>
      <c r="GE77" s="141"/>
      <c r="GF77" s="141"/>
      <c r="GG77" s="141"/>
      <c r="GH77" s="141"/>
      <c r="GI77" s="141"/>
      <c r="GJ77" s="141"/>
      <c r="GK77" s="141"/>
      <c r="GL77" s="141"/>
      <c r="GM77" s="141"/>
      <c r="GN77" s="141"/>
      <c r="GO77" s="141"/>
      <c r="GP77" s="141"/>
      <c r="GQ77" s="141"/>
      <c r="GR77" s="141"/>
      <c r="GS77" s="141"/>
      <c r="GT77" s="141"/>
      <c r="GU77" s="141"/>
      <c r="GV77" s="141"/>
      <c r="GW77" s="141"/>
      <c r="GX77" s="141"/>
      <c r="GY77" s="141"/>
      <c r="GZ77" s="141"/>
      <c r="HA77" s="141"/>
      <c r="HB77" s="141"/>
      <c r="HC77" s="141"/>
      <c r="HD77" s="141"/>
      <c r="HE77" s="141"/>
      <c r="HF77" s="141"/>
      <c r="HG77" s="141"/>
      <c r="HH77" s="141"/>
      <c r="HI77" s="141"/>
      <c r="HJ77" s="141"/>
      <c r="HK77" s="141"/>
      <c r="HL77" s="141"/>
      <c r="HM77" s="141"/>
      <c r="HN77" s="141"/>
      <c r="HO77" s="141"/>
      <c r="HP77" s="141"/>
      <c r="HQ77" s="141"/>
      <c r="HR77" s="141"/>
      <c r="HS77" s="141"/>
      <c r="HT77" s="141"/>
      <c r="HU77" s="141"/>
      <c r="HV77" s="141"/>
      <c r="HW77" s="141"/>
      <c r="HX77" s="141"/>
      <c r="HY77" s="141"/>
      <c r="HZ77" s="141"/>
      <c r="IA77" s="141"/>
      <c r="IB77" s="141"/>
      <c r="IC77" s="141"/>
      <c r="ID77" s="141"/>
      <c r="IE77" s="141"/>
      <c r="IF77" s="141"/>
      <c r="IG77" s="141"/>
      <c r="IH77" s="141"/>
      <c r="II77" s="141"/>
      <c r="IJ77" s="141"/>
      <c r="IK77" s="141"/>
      <c r="IL77" s="141"/>
      <c r="IM77" s="141"/>
      <c r="IN77" s="141"/>
      <c r="IO77" s="141"/>
      <c r="IP77" s="141"/>
      <c r="IQ77" s="141"/>
      <c r="IR77" s="141"/>
      <c r="IS77" s="141"/>
      <c r="IT77" s="141"/>
      <c r="IU77" s="141"/>
      <c r="IV77" s="141"/>
      <c r="IW77" s="141"/>
      <c r="IX77" s="141"/>
      <c r="IY77" s="141"/>
      <c r="IZ77" s="141"/>
      <c r="JA77" s="141"/>
      <c r="JB77" s="141"/>
      <c r="JC77" s="141"/>
      <c r="JD77" s="141"/>
      <c r="JE77" s="141"/>
      <c r="JF77" s="141"/>
      <c r="JG77" s="141"/>
      <c r="JH77" s="141"/>
      <c r="JI77" s="141"/>
      <c r="JJ77" s="141"/>
      <c r="JK77" s="141"/>
      <c r="JL77" s="141"/>
      <c r="JM77" s="141"/>
      <c r="JN77" s="141"/>
      <c r="JO77" s="141"/>
      <c r="JP77" s="141"/>
      <c r="JQ77" s="141"/>
      <c r="JR77" s="141"/>
      <c r="JS77" s="141"/>
      <c r="JT77" s="141"/>
      <c r="JU77" s="141"/>
      <c r="JV77" s="141"/>
      <c r="JW77" s="141"/>
      <c r="JX77" s="141"/>
      <c r="JY77" s="141"/>
      <c r="JZ77" s="141"/>
      <c r="KA77" s="141"/>
      <c r="KB77" s="141"/>
      <c r="KC77" s="141"/>
      <c r="KD77" s="141"/>
      <c r="KE77" s="141"/>
      <c r="KF77" s="141"/>
      <c r="KG77" s="141"/>
      <c r="KH77" s="141"/>
      <c r="KI77" s="141"/>
      <c r="KJ77" s="141"/>
      <c r="KK77" s="141"/>
      <c r="KL77" s="141"/>
      <c r="KM77" s="141"/>
      <c r="KN77" s="141"/>
    </row>
    <row r="78" spans="1:300" s="3" customFormat="1" ht="31.5" customHeight="1">
      <c r="A78" s="148"/>
      <c r="B78" s="8"/>
      <c r="C78" s="36"/>
      <c r="D78" s="36"/>
      <c r="E78" s="35"/>
      <c r="F78" s="35"/>
      <c r="G78" s="35"/>
      <c r="H78" s="151"/>
      <c r="I78" s="153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  <c r="BZ78" s="141"/>
      <c r="CA78" s="141"/>
      <c r="CB78" s="141"/>
      <c r="CC78" s="141"/>
      <c r="CD78" s="141"/>
      <c r="CE78" s="141"/>
      <c r="CF78" s="141"/>
      <c r="CG78" s="141"/>
      <c r="CH78" s="141"/>
      <c r="CI78" s="141"/>
      <c r="CJ78" s="141"/>
      <c r="CK78" s="141"/>
      <c r="CL78" s="141"/>
      <c r="CM78" s="141"/>
      <c r="CN78" s="141"/>
      <c r="CO78" s="141"/>
      <c r="CP78" s="141"/>
      <c r="CQ78" s="141"/>
      <c r="CR78" s="141"/>
      <c r="CS78" s="141"/>
      <c r="CT78" s="141"/>
      <c r="CU78" s="141"/>
      <c r="CV78" s="141"/>
      <c r="CW78" s="141"/>
      <c r="CX78" s="141"/>
      <c r="CY78" s="141"/>
      <c r="CZ78" s="141"/>
      <c r="DA78" s="141"/>
      <c r="DB78" s="141"/>
      <c r="DC78" s="141"/>
      <c r="DD78" s="141"/>
      <c r="DE78" s="141"/>
      <c r="DF78" s="141"/>
      <c r="DG78" s="141"/>
      <c r="DH78" s="141"/>
      <c r="DI78" s="141"/>
      <c r="DJ78" s="141"/>
      <c r="DK78" s="141"/>
      <c r="DL78" s="141"/>
      <c r="DM78" s="141"/>
      <c r="DN78" s="141"/>
      <c r="DO78" s="141"/>
      <c r="DP78" s="141"/>
      <c r="DQ78" s="141"/>
      <c r="DR78" s="141"/>
      <c r="DS78" s="141"/>
      <c r="DT78" s="141"/>
      <c r="DU78" s="141"/>
      <c r="DV78" s="141"/>
      <c r="DW78" s="141"/>
      <c r="DX78" s="141"/>
      <c r="DY78" s="141"/>
      <c r="DZ78" s="141"/>
      <c r="EA78" s="141"/>
      <c r="EB78" s="141"/>
      <c r="EC78" s="141"/>
      <c r="ED78" s="141"/>
      <c r="EE78" s="141"/>
      <c r="EF78" s="141"/>
      <c r="EG78" s="141"/>
      <c r="EH78" s="141"/>
      <c r="EI78" s="141"/>
      <c r="EJ78" s="141"/>
      <c r="EK78" s="141"/>
      <c r="EL78" s="141"/>
      <c r="EM78" s="141"/>
      <c r="EN78" s="141"/>
      <c r="EO78" s="141"/>
      <c r="EP78" s="141"/>
      <c r="EQ78" s="141"/>
      <c r="ER78" s="141"/>
      <c r="ES78" s="141"/>
      <c r="ET78" s="141"/>
      <c r="EU78" s="141"/>
      <c r="EV78" s="141"/>
      <c r="EW78" s="141"/>
      <c r="EX78" s="141"/>
      <c r="EY78" s="141"/>
      <c r="EZ78" s="141"/>
      <c r="FA78" s="141"/>
      <c r="FB78" s="141"/>
      <c r="FC78" s="141"/>
      <c r="FD78" s="141"/>
      <c r="FE78" s="141"/>
      <c r="FF78" s="141"/>
      <c r="FG78" s="141"/>
      <c r="FH78" s="141"/>
      <c r="FI78" s="141"/>
      <c r="FJ78" s="141"/>
      <c r="FK78" s="141"/>
      <c r="FL78" s="141"/>
      <c r="FM78" s="141"/>
      <c r="FN78" s="141"/>
      <c r="FO78" s="141"/>
      <c r="FP78" s="141"/>
      <c r="FQ78" s="141"/>
      <c r="FR78" s="141"/>
      <c r="FS78" s="141"/>
      <c r="FT78" s="141"/>
      <c r="FU78" s="141"/>
      <c r="FV78" s="141"/>
      <c r="FW78" s="141"/>
      <c r="FX78" s="141"/>
      <c r="FY78" s="141"/>
      <c r="FZ78" s="141"/>
      <c r="GA78" s="141"/>
      <c r="GB78" s="141"/>
      <c r="GC78" s="141"/>
      <c r="GD78" s="141"/>
      <c r="GE78" s="141"/>
      <c r="GF78" s="141"/>
      <c r="GG78" s="141"/>
      <c r="GH78" s="141"/>
      <c r="GI78" s="141"/>
      <c r="GJ78" s="141"/>
      <c r="GK78" s="141"/>
      <c r="GL78" s="141"/>
      <c r="GM78" s="141"/>
      <c r="GN78" s="141"/>
      <c r="GO78" s="141"/>
      <c r="GP78" s="141"/>
      <c r="GQ78" s="141"/>
      <c r="GR78" s="141"/>
      <c r="GS78" s="141"/>
      <c r="GT78" s="141"/>
      <c r="GU78" s="141"/>
      <c r="GV78" s="141"/>
      <c r="GW78" s="141"/>
      <c r="GX78" s="141"/>
      <c r="GY78" s="141"/>
      <c r="GZ78" s="141"/>
      <c r="HA78" s="141"/>
      <c r="HB78" s="141"/>
      <c r="HC78" s="141"/>
      <c r="HD78" s="141"/>
      <c r="HE78" s="141"/>
      <c r="HF78" s="141"/>
      <c r="HG78" s="141"/>
      <c r="HH78" s="141"/>
      <c r="HI78" s="141"/>
      <c r="HJ78" s="141"/>
      <c r="HK78" s="141"/>
      <c r="HL78" s="141"/>
      <c r="HM78" s="141"/>
      <c r="HN78" s="141"/>
      <c r="HO78" s="141"/>
      <c r="HP78" s="141"/>
      <c r="HQ78" s="141"/>
      <c r="HR78" s="141"/>
      <c r="HS78" s="141"/>
      <c r="HT78" s="141"/>
      <c r="HU78" s="141"/>
      <c r="HV78" s="141"/>
      <c r="HW78" s="141"/>
      <c r="HX78" s="141"/>
      <c r="HY78" s="141"/>
      <c r="HZ78" s="141"/>
      <c r="IA78" s="141"/>
      <c r="IB78" s="141"/>
      <c r="IC78" s="141"/>
      <c r="ID78" s="141"/>
      <c r="IE78" s="141"/>
      <c r="IF78" s="141"/>
      <c r="IG78" s="141"/>
      <c r="IH78" s="141"/>
      <c r="II78" s="141"/>
      <c r="IJ78" s="141"/>
      <c r="IK78" s="141"/>
      <c r="IL78" s="141"/>
      <c r="IM78" s="141"/>
      <c r="IN78" s="141"/>
      <c r="IO78" s="141"/>
      <c r="IP78" s="141"/>
      <c r="IQ78" s="141"/>
      <c r="IR78" s="141"/>
      <c r="IS78" s="141"/>
      <c r="IT78" s="141"/>
      <c r="IU78" s="141"/>
      <c r="IV78" s="141"/>
      <c r="IW78" s="141"/>
      <c r="IX78" s="141"/>
      <c r="IY78" s="141"/>
      <c r="IZ78" s="141"/>
      <c r="JA78" s="141"/>
      <c r="JB78" s="141"/>
      <c r="JC78" s="141"/>
      <c r="JD78" s="141"/>
      <c r="JE78" s="141"/>
      <c r="JF78" s="141"/>
      <c r="JG78" s="141"/>
      <c r="JH78" s="141"/>
      <c r="JI78" s="141"/>
      <c r="JJ78" s="141"/>
      <c r="JK78" s="141"/>
      <c r="JL78" s="141"/>
      <c r="JM78" s="141"/>
      <c r="JN78" s="141"/>
      <c r="JO78" s="141"/>
      <c r="JP78" s="141"/>
      <c r="JQ78" s="141"/>
      <c r="JR78" s="141"/>
      <c r="JS78" s="141"/>
      <c r="JT78" s="141"/>
      <c r="JU78" s="141"/>
      <c r="JV78" s="141"/>
      <c r="JW78" s="141"/>
      <c r="JX78" s="141"/>
      <c r="JY78" s="141"/>
      <c r="JZ78" s="141"/>
      <c r="KA78" s="141"/>
      <c r="KB78" s="141"/>
      <c r="KC78" s="141"/>
      <c r="KD78" s="141"/>
      <c r="KE78" s="141"/>
      <c r="KF78" s="141"/>
      <c r="KG78" s="141"/>
      <c r="KH78" s="141"/>
      <c r="KI78" s="141"/>
      <c r="KJ78" s="141"/>
      <c r="KK78" s="141"/>
      <c r="KL78" s="141"/>
      <c r="KM78" s="141"/>
      <c r="KN78" s="141"/>
    </row>
    <row r="79" spans="1:300" s="3" customFormat="1" ht="31.5" customHeight="1">
      <c r="A79" s="148"/>
      <c r="B79" s="8"/>
      <c r="C79" s="36"/>
      <c r="D79" s="36"/>
      <c r="E79" s="35"/>
      <c r="F79" s="35"/>
      <c r="G79" s="35"/>
      <c r="H79" s="151"/>
      <c r="I79" s="153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  <c r="CA79" s="141"/>
      <c r="CB79" s="141"/>
      <c r="CC79" s="141"/>
      <c r="CD79" s="141"/>
      <c r="CE79" s="141"/>
      <c r="CF79" s="141"/>
      <c r="CG79" s="141"/>
      <c r="CH79" s="141"/>
      <c r="CI79" s="141"/>
      <c r="CJ79" s="141"/>
      <c r="CK79" s="141"/>
      <c r="CL79" s="141"/>
      <c r="CM79" s="141"/>
      <c r="CN79" s="141"/>
      <c r="CO79" s="141"/>
      <c r="CP79" s="141"/>
      <c r="CQ79" s="141"/>
      <c r="CR79" s="141"/>
      <c r="CS79" s="141"/>
      <c r="CT79" s="141"/>
      <c r="CU79" s="141"/>
      <c r="CV79" s="141"/>
      <c r="CW79" s="141"/>
      <c r="CX79" s="141"/>
      <c r="CY79" s="141"/>
      <c r="CZ79" s="141"/>
      <c r="DA79" s="141"/>
      <c r="DB79" s="141"/>
      <c r="DC79" s="141"/>
      <c r="DD79" s="141"/>
      <c r="DE79" s="141"/>
      <c r="DF79" s="141"/>
      <c r="DG79" s="141"/>
      <c r="DH79" s="141"/>
      <c r="DI79" s="141"/>
      <c r="DJ79" s="141"/>
      <c r="DK79" s="141"/>
      <c r="DL79" s="141"/>
      <c r="DM79" s="141"/>
      <c r="DN79" s="141"/>
      <c r="DO79" s="141"/>
      <c r="DP79" s="141"/>
      <c r="DQ79" s="141"/>
      <c r="DR79" s="141"/>
      <c r="DS79" s="141"/>
      <c r="DT79" s="141"/>
      <c r="DU79" s="141"/>
      <c r="DV79" s="141"/>
      <c r="DW79" s="141"/>
      <c r="DX79" s="141"/>
      <c r="DY79" s="141"/>
      <c r="DZ79" s="141"/>
      <c r="EA79" s="141"/>
      <c r="EB79" s="141"/>
      <c r="EC79" s="141"/>
      <c r="ED79" s="141"/>
      <c r="EE79" s="141"/>
      <c r="EF79" s="141"/>
      <c r="EG79" s="141"/>
      <c r="EH79" s="141"/>
      <c r="EI79" s="141"/>
      <c r="EJ79" s="141"/>
      <c r="EK79" s="141"/>
      <c r="EL79" s="141"/>
      <c r="EM79" s="141"/>
      <c r="EN79" s="141"/>
      <c r="EO79" s="141"/>
      <c r="EP79" s="141"/>
      <c r="EQ79" s="141"/>
      <c r="ER79" s="141"/>
      <c r="ES79" s="141"/>
      <c r="ET79" s="141"/>
      <c r="EU79" s="141"/>
      <c r="EV79" s="141"/>
      <c r="EW79" s="141"/>
      <c r="EX79" s="141"/>
      <c r="EY79" s="141"/>
      <c r="EZ79" s="141"/>
      <c r="FA79" s="141"/>
      <c r="FB79" s="141"/>
      <c r="FC79" s="141"/>
      <c r="FD79" s="141"/>
      <c r="FE79" s="141"/>
      <c r="FF79" s="141"/>
      <c r="FG79" s="141"/>
      <c r="FH79" s="141"/>
      <c r="FI79" s="141"/>
      <c r="FJ79" s="141"/>
      <c r="FK79" s="141"/>
      <c r="FL79" s="141"/>
      <c r="FM79" s="141"/>
      <c r="FN79" s="141"/>
      <c r="FO79" s="141"/>
      <c r="FP79" s="141"/>
      <c r="FQ79" s="141"/>
      <c r="FR79" s="141"/>
      <c r="FS79" s="141"/>
      <c r="FT79" s="141"/>
      <c r="FU79" s="141"/>
      <c r="FV79" s="141"/>
      <c r="FW79" s="141"/>
      <c r="FX79" s="141"/>
      <c r="FY79" s="141"/>
      <c r="FZ79" s="141"/>
      <c r="GA79" s="141"/>
      <c r="GB79" s="141"/>
      <c r="GC79" s="141"/>
      <c r="GD79" s="141"/>
      <c r="GE79" s="141"/>
      <c r="GF79" s="141"/>
      <c r="GG79" s="141"/>
      <c r="GH79" s="141"/>
      <c r="GI79" s="141"/>
      <c r="GJ79" s="141"/>
      <c r="GK79" s="141"/>
      <c r="GL79" s="141"/>
      <c r="GM79" s="141"/>
      <c r="GN79" s="141"/>
      <c r="GO79" s="141"/>
      <c r="GP79" s="141"/>
      <c r="GQ79" s="141"/>
      <c r="GR79" s="141"/>
      <c r="GS79" s="141"/>
      <c r="GT79" s="141"/>
      <c r="GU79" s="141"/>
      <c r="GV79" s="141"/>
      <c r="GW79" s="141"/>
      <c r="GX79" s="141"/>
      <c r="GY79" s="141"/>
      <c r="GZ79" s="141"/>
      <c r="HA79" s="141"/>
      <c r="HB79" s="141"/>
      <c r="HC79" s="141"/>
      <c r="HD79" s="141"/>
      <c r="HE79" s="141"/>
      <c r="HF79" s="141"/>
      <c r="HG79" s="141"/>
      <c r="HH79" s="141"/>
      <c r="HI79" s="141"/>
      <c r="HJ79" s="141"/>
      <c r="HK79" s="141"/>
      <c r="HL79" s="141"/>
      <c r="HM79" s="141"/>
      <c r="HN79" s="141"/>
      <c r="HO79" s="141"/>
      <c r="HP79" s="141"/>
      <c r="HQ79" s="141"/>
      <c r="HR79" s="141"/>
      <c r="HS79" s="141"/>
      <c r="HT79" s="141"/>
      <c r="HU79" s="141"/>
      <c r="HV79" s="141"/>
      <c r="HW79" s="141"/>
      <c r="HX79" s="141"/>
      <c r="HY79" s="141"/>
      <c r="HZ79" s="141"/>
      <c r="IA79" s="141"/>
      <c r="IB79" s="141"/>
      <c r="IC79" s="141"/>
      <c r="ID79" s="141"/>
      <c r="IE79" s="141"/>
      <c r="IF79" s="141"/>
      <c r="IG79" s="141"/>
      <c r="IH79" s="141"/>
      <c r="II79" s="141"/>
      <c r="IJ79" s="141"/>
      <c r="IK79" s="141"/>
      <c r="IL79" s="141"/>
      <c r="IM79" s="141"/>
      <c r="IN79" s="141"/>
      <c r="IO79" s="141"/>
      <c r="IP79" s="141"/>
      <c r="IQ79" s="141"/>
      <c r="IR79" s="141"/>
      <c r="IS79" s="141"/>
      <c r="IT79" s="141"/>
      <c r="IU79" s="141"/>
      <c r="IV79" s="141"/>
      <c r="IW79" s="141"/>
      <c r="IX79" s="141"/>
      <c r="IY79" s="141"/>
      <c r="IZ79" s="141"/>
      <c r="JA79" s="141"/>
      <c r="JB79" s="141"/>
      <c r="JC79" s="141"/>
      <c r="JD79" s="141"/>
      <c r="JE79" s="141"/>
      <c r="JF79" s="141"/>
      <c r="JG79" s="141"/>
      <c r="JH79" s="141"/>
      <c r="JI79" s="141"/>
      <c r="JJ79" s="141"/>
      <c r="JK79" s="141"/>
      <c r="JL79" s="141"/>
      <c r="JM79" s="141"/>
      <c r="JN79" s="141"/>
      <c r="JO79" s="141"/>
      <c r="JP79" s="141"/>
      <c r="JQ79" s="141"/>
      <c r="JR79" s="141"/>
      <c r="JS79" s="141"/>
      <c r="JT79" s="141"/>
      <c r="JU79" s="141"/>
      <c r="JV79" s="141"/>
      <c r="JW79" s="141"/>
      <c r="JX79" s="141"/>
      <c r="JY79" s="141"/>
      <c r="JZ79" s="141"/>
      <c r="KA79" s="141"/>
      <c r="KB79" s="141"/>
      <c r="KC79" s="141"/>
      <c r="KD79" s="141"/>
      <c r="KE79" s="141"/>
      <c r="KF79" s="141"/>
      <c r="KG79" s="141"/>
      <c r="KH79" s="141"/>
      <c r="KI79" s="141"/>
      <c r="KJ79" s="141"/>
      <c r="KK79" s="141"/>
      <c r="KL79" s="141"/>
      <c r="KM79" s="141"/>
      <c r="KN79" s="141"/>
    </row>
    <row r="80" spans="1:300" s="3" customFormat="1" ht="31.5" customHeight="1">
      <c r="A80" s="148"/>
      <c r="B80" s="8"/>
      <c r="C80" s="36"/>
      <c r="D80" s="36"/>
      <c r="E80" s="35"/>
      <c r="F80" s="35"/>
      <c r="G80" s="35"/>
      <c r="H80" s="151"/>
      <c r="I80" s="153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BZ80" s="141"/>
      <c r="CA80" s="141"/>
      <c r="CB80" s="141"/>
      <c r="CC80" s="141"/>
      <c r="CD80" s="141"/>
      <c r="CE80" s="141"/>
      <c r="CF80" s="141"/>
      <c r="CG80" s="141"/>
      <c r="CH80" s="141"/>
      <c r="CI80" s="141"/>
      <c r="CJ80" s="141"/>
      <c r="CK80" s="141"/>
      <c r="CL80" s="141"/>
      <c r="CM80" s="141"/>
      <c r="CN80" s="141"/>
      <c r="CO80" s="141"/>
      <c r="CP80" s="141"/>
      <c r="CQ80" s="141"/>
      <c r="CR80" s="141"/>
      <c r="CS80" s="141"/>
      <c r="CT80" s="141"/>
      <c r="CU80" s="141"/>
      <c r="CV80" s="141"/>
      <c r="CW80" s="141"/>
      <c r="CX80" s="141"/>
      <c r="CY80" s="141"/>
      <c r="CZ80" s="141"/>
      <c r="DA80" s="141"/>
      <c r="DB80" s="141"/>
      <c r="DC80" s="141"/>
      <c r="DD80" s="141"/>
      <c r="DE80" s="141"/>
      <c r="DF80" s="141"/>
      <c r="DG80" s="141"/>
      <c r="DH80" s="141"/>
      <c r="DI80" s="141"/>
      <c r="DJ80" s="141"/>
      <c r="DK80" s="141"/>
      <c r="DL80" s="141"/>
      <c r="DM80" s="141"/>
      <c r="DN80" s="141"/>
      <c r="DO80" s="141"/>
      <c r="DP80" s="141"/>
      <c r="DQ80" s="141"/>
      <c r="DR80" s="141"/>
      <c r="DS80" s="141"/>
      <c r="DT80" s="141"/>
      <c r="DU80" s="141"/>
      <c r="DV80" s="141"/>
      <c r="DW80" s="141"/>
      <c r="DX80" s="141"/>
      <c r="DY80" s="141"/>
      <c r="DZ80" s="141"/>
      <c r="EA80" s="141"/>
      <c r="EB80" s="141"/>
      <c r="EC80" s="141"/>
      <c r="ED80" s="141"/>
      <c r="EE80" s="141"/>
      <c r="EF80" s="141"/>
      <c r="EG80" s="141"/>
      <c r="EH80" s="141"/>
      <c r="EI80" s="141"/>
      <c r="EJ80" s="141"/>
      <c r="EK80" s="141"/>
      <c r="EL80" s="141"/>
      <c r="EM80" s="141"/>
      <c r="EN80" s="141"/>
      <c r="EO80" s="141"/>
      <c r="EP80" s="141"/>
      <c r="EQ80" s="141"/>
      <c r="ER80" s="141"/>
      <c r="ES80" s="141"/>
      <c r="ET80" s="141"/>
      <c r="EU80" s="141"/>
      <c r="EV80" s="141"/>
      <c r="EW80" s="141"/>
      <c r="EX80" s="141"/>
      <c r="EY80" s="141"/>
      <c r="EZ80" s="141"/>
      <c r="FA80" s="141"/>
      <c r="FB80" s="141"/>
      <c r="FC80" s="141"/>
      <c r="FD80" s="141"/>
      <c r="FE80" s="141"/>
      <c r="FF80" s="141"/>
      <c r="FG80" s="141"/>
      <c r="FH80" s="141"/>
      <c r="FI80" s="141"/>
      <c r="FJ80" s="141"/>
      <c r="FK80" s="141"/>
      <c r="FL80" s="141"/>
      <c r="FM80" s="141"/>
      <c r="FN80" s="141"/>
      <c r="FO80" s="141"/>
      <c r="FP80" s="141"/>
      <c r="FQ80" s="141"/>
      <c r="FR80" s="141"/>
      <c r="FS80" s="141"/>
      <c r="FT80" s="141"/>
      <c r="FU80" s="141"/>
      <c r="FV80" s="141"/>
      <c r="FW80" s="141"/>
      <c r="FX80" s="141"/>
      <c r="FY80" s="141"/>
      <c r="FZ80" s="141"/>
      <c r="GA80" s="141"/>
      <c r="GB80" s="141"/>
      <c r="GC80" s="141"/>
      <c r="GD80" s="141"/>
      <c r="GE80" s="141"/>
      <c r="GF80" s="141"/>
      <c r="GG80" s="141"/>
      <c r="GH80" s="141"/>
      <c r="GI80" s="141"/>
      <c r="GJ80" s="141"/>
      <c r="GK80" s="141"/>
      <c r="GL80" s="141"/>
      <c r="GM80" s="141"/>
      <c r="GN80" s="141"/>
      <c r="GO80" s="141"/>
      <c r="GP80" s="141"/>
      <c r="GQ80" s="141"/>
      <c r="GR80" s="141"/>
      <c r="GS80" s="141"/>
      <c r="GT80" s="141"/>
      <c r="GU80" s="141"/>
      <c r="GV80" s="141"/>
      <c r="GW80" s="141"/>
      <c r="GX80" s="141"/>
      <c r="GY80" s="141"/>
      <c r="GZ80" s="141"/>
      <c r="HA80" s="141"/>
      <c r="HB80" s="141"/>
      <c r="HC80" s="141"/>
      <c r="HD80" s="141"/>
      <c r="HE80" s="141"/>
      <c r="HF80" s="141"/>
      <c r="HG80" s="141"/>
      <c r="HH80" s="141"/>
      <c r="HI80" s="141"/>
      <c r="HJ80" s="141"/>
      <c r="HK80" s="141"/>
      <c r="HL80" s="141"/>
      <c r="HM80" s="141"/>
      <c r="HN80" s="141"/>
      <c r="HO80" s="141"/>
      <c r="HP80" s="141"/>
      <c r="HQ80" s="141"/>
      <c r="HR80" s="141"/>
      <c r="HS80" s="141"/>
      <c r="HT80" s="141"/>
      <c r="HU80" s="141"/>
      <c r="HV80" s="141"/>
      <c r="HW80" s="141"/>
      <c r="HX80" s="141"/>
      <c r="HY80" s="141"/>
      <c r="HZ80" s="141"/>
      <c r="IA80" s="141"/>
      <c r="IB80" s="141"/>
      <c r="IC80" s="141"/>
      <c r="ID80" s="141"/>
      <c r="IE80" s="141"/>
      <c r="IF80" s="141"/>
      <c r="IG80" s="141"/>
      <c r="IH80" s="141"/>
      <c r="II80" s="141"/>
      <c r="IJ80" s="141"/>
      <c r="IK80" s="141"/>
      <c r="IL80" s="141"/>
      <c r="IM80" s="141"/>
      <c r="IN80" s="141"/>
      <c r="IO80" s="141"/>
      <c r="IP80" s="141"/>
      <c r="IQ80" s="141"/>
      <c r="IR80" s="141"/>
      <c r="IS80" s="141"/>
      <c r="IT80" s="141"/>
      <c r="IU80" s="141"/>
      <c r="IV80" s="141"/>
      <c r="IW80" s="141"/>
      <c r="IX80" s="141"/>
      <c r="IY80" s="141"/>
      <c r="IZ80" s="141"/>
      <c r="JA80" s="141"/>
      <c r="JB80" s="141"/>
      <c r="JC80" s="141"/>
      <c r="JD80" s="141"/>
      <c r="JE80" s="141"/>
      <c r="JF80" s="141"/>
      <c r="JG80" s="141"/>
      <c r="JH80" s="141"/>
      <c r="JI80" s="141"/>
      <c r="JJ80" s="141"/>
      <c r="JK80" s="141"/>
      <c r="JL80" s="141"/>
      <c r="JM80" s="141"/>
      <c r="JN80" s="141"/>
      <c r="JO80" s="141"/>
      <c r="JP80" s="141"/>
      <c r="JQ80" s="141"/>
      <c r="JR80" s="141"/>
      <c r="JS80" s="141"/>
      <c r="JT80" s="141"/>
      <c r="JU80" s="141"/>
      <c r="JV80" s="141"/>
      <c r="JW80" s="141"/>
      <c r="JX80" s="141"/>
      <c r="JY80" s="141"/>
      <c r="JZ80" s="141"/>
      <c r="KA80" s="141"/>
      <c r="KB80" s="141"/>
      <c r="KC80" s="141"/>
      <c r="KD80" s="141"/>
      <c r="KE80" s="141"/>
      <c r="KF80" s="141"/>
      <c r="KG80" s="141"/>
      <c r="KH80" s="141"/>
      <c r="KI80" s="141"/>
      <c r="KJ80" s="141"/>
      <c r="KK80" s="141"/>
      <c r="KL80" s="141"/>
      <c r="KM80" s="141"/>
      <c r="KN80" s="141"/>
    </row>
    <row r="81" spans="1:300" s="3" customFormat="1" ht="31.5" customHeight="1">
      <c r="A81" s="148"/>
      <c r="B81" s="8"/>
      <c r="C81" s="36"/>
      <c r="D81" s="36"/>
      <c r="E81" s="35"/>
      <c r="F81" s="35"/>
      <c r="G81" s="35"/>
      <c r="H81" s="151"/>
      <c r="I81" s="153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BZ81" s="141"/>
      <c r="CA81" s="141"/>
      <c r="CB81" s="141"/>
      <c r="CC81" s="141"/>
      <c r="CD81" s="141"/>
      <c r="CE81" s="141"/>
      <c r="CF81" s="141"/>
      <c r="CG81" s="141"/>
      <c r="CH81" s="141"/>
      <c r="CI81" s="141"/>
      <c r="CJ81" s="141"/>
      <c r="CK81" s="141"/>
      <c r="CL81" s="141"/>
      <c r="CM81" s="141"/>
      <c r="CN81" s="141"/>
      <c r="CO81" s="141"/>
      <c r="CP81" s="141"/>
      <c r="CQ81" s="141"/>
      <c r="CR81" s="141"/>
      <c r="CS81" s="141"/>
      <c r="CT81" s="141"/>
      <c r="CU81" s="141"/>
      <c r="CV81" s="141"/>
      <c r="CW81" s="141"/>
      <c r="CX81" s="141"/>
      <c r="CY81" s="141"/>
      <c r="CZ81" s="141"/>
      <c r="DA81" s="141"/>
      <c r="DB81" s="141"/>
      <c r="DC81" s="141"/>
      <c r="DD81" s="141"/>
      <c r="DE81" s="141"/>
      <c r="DF81" s="141"/>
      <c r="DG81" s="141"/>
      <c r="DH81" s="141"/>
      <c r="DI81" s="141"/>
      <c r="DJ81" s="141"/>
      <c r="DK81" s="141"/>
      <c r="DL81" s="141"/>
      <c r="DM81" s="141"/>
      <c r="DN81" s="141"/>
      <c r="DO81" s="141"/>
      <c r="DP81" s="141"/>
      <c r="DQ81" s="141"/>
      <c r="DR81" s="141"/>
      <c r="DS81" s="141"/>
      <c r="DT81" s="141"/>
      <c r="DU81" s="141"/>
      <c r="DV81" s="141"/>
      <c r="DW81" s="141"/>
      <c r="DX81" s="141"/>
      <c r="DY81" s="141"/>
      <c r="DZ81" s="141"/>
      <c r="EA81" s="141"/>
      <c r="EB81" s="141"/>
      <c r="EC81" s="141"/>
      <c r="ED81" s="141"/>
      <c r="EE81" s="141"/>
      <c r="EF81" s="141"/>
      <c r="EG81" s="141"/>
      <c r="EH81" s="141"/>
      <c r="EI81" s="141"/>
      <c r="EJ81" s="141"/>
      <c r="EK81" s="141"/>
      <c r="EL81" s="141"/>
      <c r="EM81" s="141"/>
      <c r="EN81" s="141"/>
      <c r="EO81" s="141"/>
      <c r="EP81" s="141"/>
      <c r="EQ81" s="141"/>
      <c r="ER81" s="141"/>
      <c r="ES81" s="141"/>
      <c r="ET81" s="141"/>
      <c r="EU81" s="141"/>
      <c r="EV81" s="141"/>
      <c r="EW81" s="141"/>
      <c r="EX81" s="141"/>
      <c r="EY81" s="141"/>
      <c r="EZ81" s="141"/>
      <c r="FA81" s="141"/>
      <c r="FB81" s="141"/>
      <c r="FC81" s="141"/>
      <c r="FD81" s="141"/>
      <c r="FE81" s="141"/>
      <c r="FF81" s="141"/>
      <c r="FG81" s="141"/>
      <c r="FH81" s="141"/>
      <c r="FI81" s="141"/>
      <c r="FJ81" s="141"/>
      <c r="FK81" s="141"/>
      <c r="FL81" s="141"/>
      <c r="FM81" s="141"/>
      <c r="FN81" s="141"/>
      <c r="FO81" s="141"/>
      <c r="FP81" s="141"/>
      <c r="FQ81" s="141"/>
      <c r="FR81" s="141"/>
      <c r="FS81" s="141"/>
      <c r="FT81" s="141"/>
      <c r="FU81" s="141"/>
      <c r="FV81" s="141"/>
      <c r="FW81" s="141"/>
      <c r="FX81" s="141"/>
      <c r="FY81" s="141"/>
      <c r="FZ81" s="141"/>
      <c r="GA81" s="141"/>
      <c r="GB81" s="141"/>
      <c r="GC81" s="141"/>
      <c r="GD81" s="141"/>
      <c r="GE81" s="141"/>
      <c r="GF81" s="141"/>
      <c r="GG81" s="141"/>
      <c r="GH81" s="141"/>
      <c r="GI81" s="141"/>
      <c r="GJ81" s="141"/>
      <c r="GK81" s="141"/>
      <c r="GL81" s="141"/>
      <c r="GM81" s="141"/>
      <c r="GN81" s="141"/>
      <c r="GO81" s="141"/>
      <c r="GP81" s="141"/>
      <c r="GQ81" s="141"/>
      <c r="GR81" s="141"/>
      <c r="GS81" s="141"/>
      <c r="GT81" s="141"/>
      <c r="GU81" s="141"/>
      <c r="GV81" s="141"/>
      <c r="GW81" s="141"/>
      <c r="GX81" s="141"/>
      <c r="GY81" s="141"/>
      <c r="GZ81" s="141"/>
      <c r="HA81" s="141"/>
      <c r="HB81" s="141"/>
      <c r="HC81" s="141"/>
      <c r="HD81" s="141"/>
      <c r="HE81" s="141"/>
      <c r="HF81" s="141"/>
      <c r="HG81" s="141"/>
      <c r="HH81" s="141"/>
      <c r="HI81" s="141"/>
      <c r="HJ81" s="141"/>
      <c r="HK81" s="141"/>
      <c r="HL81" s="141"/>
      <c r="HM81" s="141"/>
      <c r="HN81" s="141"/>
      <c r="HO81" s="141"/>
      <c r="HP81" s="141"/>
      <c r="HQ81" s="141"/>
      <c r="HR81" s="141"/>
      <c r="HS81" s="141"/>
      <c r="HT81" s="141"/>
      <c r="HU81" s="141"/>
      <c r="HV81" s="141"/>
      <c r="HW81" s="141"/>
      <c r="HX81" s="141"/>
      <c r="HY81" s="141"/>
      <c r="HZ81" s="141"/>
      <c r="IA81" s="141"/>
      <c r="IB81" s="141"/>
      <c r="IC81" s="141"/>
      <c r="ID81" s="141"/>
      <c r="IE81" s="141"/>
      <c r="IF81" s="141"/>
      <c r="IG81" s="141"/>
      <c r="IH81" s="141"/>
      <c r="II81" s="141"/>
      <c r="IJ81" s="141"/>
      <c r="IK81" s="141"/>
      <c r="IL81" s="141"/>
      <c r="IM81" s="141"/>
      <c r="IN81" s="141"/>
      <c r="IO81" s="141"/>
      <c r="IP81" s="141"/>
      <c r="IQ81" s="141"/>
      <c r="IR81" s="141"/>
      <c r="IS81" s="141"/>
      <c r="IT81" s="141"/>
      <c r="IU81" s="141"/>
      <c r="IV81" s="141"/>
      <c r="IW81" s="141"/>
      <c r="IX81" s="141"/>
      <c r="IY81" s="141"/>
      <c r="IZ81" s="141"/>
      <c r="JA81" s="141"/>
      <c r="JB81" s="141"/>
      <c r="JC81" s="141"/>
      <c r="JD81" s="141"/>
      <c r="JE81" s="141"/>
      <c r="JF81" s="141"/>
      <c r="JG81" s="141"/>
      <c r="JH81" s="141"/>
      <c r="JI81" s="141"/>
      <c r="JJ81" s="141"/>
      <c r="JK81" s="141"/>
      <c r="JL81" s="141"/>
      <c r="JM81" s="141"/>
      <c r="JN81" s="141"/>
      <c r="JO81" s="141"/>
      <c r="JP81" s="141"/>
      <c r="JQ81" s="141"/>
      <c r="JR81" s="141"/>
      <c r="JS81" s="141"/>
      <c r="JT81" s="141"/>
      <c r="JU81" s="141"/>
      <c r="JV81" s="141"/>
      <c r="JW81" s="141"/>
      <c r="JX81" s="141"/>
      <c r="JY81" s="141"/>
      <c r="JZ81" s="141"/>
      <c r="KA81" s="141"/>
      <c r="KB81" s="141"/>
      <c r="KC81" s="141"/>
      <c r="KD81" s="141"/>
      <c r="KE81" s="141"/>
      <c r="KF81" s="141"/>
      <c r="KG81" s="141"/>
      <c r="KH81" s="141"/>
      <c r="KI81" s="141"/>
      <c r="KJ81" s="141"/>
      <c r="KK81" s="141"/>
      <c r="KL81" s="141"/>
      <c r="KM81" s="141"/>
      <c r="KN81" s="141"/>
    </row>
    <row r="82" spans="1:300" s="3" customFormat="1" ht="31.5" customHeight="1">
      <c r="A82" s="148"/>
      <c r="B82" s="8"/>
      <c r="C82" s="36"/>
      <c r="D82" s="36"/>
      <c r="E82" s="35"/>
      <c r="F82" s="35"/>
      <c r="G82" s="35"/>
      <c r="H82" s="151"/>
      <c r="I82" s="153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  <c r="BZ82" s="141"/>
      <c r="CA82" s="141"/>
      <c r="CB82" s="141"/>
      <c r="CC82" s="141"/>
      <c r="CD82" s="141"/>
      <c r="CE82" s="141"/>
      <c r="CF82" s="141"/>
      <c r="CG82" s="141"/>
      <c r="CH82" s="141"/>
      <c r="CI82" s="141"/>
      <c r="CJ82" s="141"/>
      <c r="CK82" s="141"/>
      <c r="CL82" s="141"/>
      <c r="CM82" s="141"/>
      <c r="CN82" s="141"/>
      <c r="CO82" s="141"/>
      <c r="CP82" s="141"/>
      <c r="CQ82" s="141"/>
      <c r="CR82" s="141"/>
      <c r="CS82" s="141"/>
      <c r="CT82" s="141"/>
      <c r="CU82" s="141"/>
      <c r="CV82" s="141"/>
      <c r="CW82" s="141"/>
      <c r="CX82" s="141"/>
      <c r="CY82" s="141"/>
      <c r="CZ82" s="141"/>
      <c r="DA82" s="141"/>
      <c r="DB82" s="141"/>
      <c r="DC82" s="141"/>
      <c r="DD82" s="141"/>
      <c r="DE82" s="141"/>
      <c r="DF82" s="141"/>
      <c r="DG82" s="141"/>
      <c r="DH82" s="141"/>
      <c r="DI82" s="141"/>
      <c r="DJ82" s="141"/>
      <c r="DK82" s="141"/>
      <c r="DL82" s="141"/>
      <c r="DM82" s="141"/>
      <c r="DN82" s="141"/>
      <c r="DO82" s="141"/>
      <c r="DP82" s="141"/>
      <c r="DQ82" s="141"/>
      <c r="DR82" s="141"/>
      <c r="DS82" s="141"/>
      <c r="DT82" s="141"/>
      <c r="DU82" s="141"/>
      <c r="DV82" s="141"/>
      <c r="DW82" s="141"/>
      <c r="DX82" s="141"/>
      <c r="DY82" s="141"/>
      <c r="DZ82" s="141"/>
      <c r="EA82" s="141"/>
      <c r="EB82" s="141"/>
      <c r="EC82" s="141"/>
      <c r="ED82" s="141"/>
      <c r="EE82" s="141"/>
      <c r="EF82" s="141"/>
      <c r="EG82" s="141"/>
      <c r="EH82" s="141"/>
      <c r="EI82" s="141"/>
      <c r="EJ82" s="141"/>
      <c r="EK82" s="141"/>
      <c r="EL82" s="141"/>
      <c r="EM82" s="141"/>
      <c r="EN82" s="141"/>
      <c r="EO82" s="141"/>
      <c r="EP82" s="141"/>
      <c r="EQ82" s="141"/>
      <c r="ER82" s="141"/>
      <c r="ES82" s="141"/>
      <c r="ET82" s="141"/>
      <c r="EU82" s="141"/>
      <c r="EV82" s="141"/>
      <c r="EW82" s="141"/>
      <c r="EX82" s="141"/>
      <c r="EY82" s="141"/>
      <c r="EZ82" s="141"/>
      <c r="FA82" s="141"/>
      <c r="FB82" s="141"/>
      <c r="FC82" s="141"/>
      <c r="FD82" s="141"/>
      <c r="FE82" s="141"/>
      <c r="FF82" s="141"/>
      <c r="FG82" s="141"/>
      <c r="FH82" s="141"/>
      <c r="FI82" s="141"/>
      <c r="FJ82" s="141"/>
      <c r="FK82" s="141"/>
      <c r="FL82" s="141"/>
      <c r="FM82" s="141"/>
      <c r="FN82" s="141"/>
      <c r="FO82" s="141"/>
      <c r="FP82" s="141"/>
      <c r="FQ82" s="141"/>
      <c r="FR82" s="141"/>
      <c r="FS82" s="141"/>
      <c r="FT82" s="141"/>
      <c r="FU82" s="141"/>
      <c r="FV82" s="141"/>
      <c r="FW82" s="141"/>
      <c r="FX82" s="141"/>
      <c r="FY82" s="141"/>
      <c r="FZ82" s="141"/>
      <c r="GA82" s="141"/>
      <c r="GB82" s="141"/>
      <c r="GC82" s="141"/>
      <c r="GD82" s="141"/>
      <c r="GE82" s="141"/>
      <c r="GF82" s="141"/>
      <c r="GG82" s="141"/>
      <c r="GH82" s="141"/>
      <c r="GI82" s="141"/>
      <c r="GJ82" s="141"/>
      <c r="GK82" s="141"/>
      <c r="GL82" s="141"/>
      <c r="GM82" s="141"/>
      <c r="GN82" s="141"/>
      <c r="GO82" s="141"/>
      <c r="GP82" s="141"/>
      <c r="GQ82" s="141"/>
      <c r="GR82" s="141"/>
      <c r="GS82" s="141"/>
      <c r="GT82" s="141"/>
      <c r="GU82" s="141"/>
      <c r="GV82" s="141"/>
      <c r="GW82" s="141"/>
      <c r="GX82" s="141"/>
      <c r="GY82" s="141"/>
      <c r="GZ82" s="141"/>
      <c r="HA82" s="141"/>
      <c r="HB82" s="141"/>
      <c r="HC82" s="141"/>
      <c r="HD82" s="141"/>
      <c r="HE82" s="141"/>
      <c r="HF82" s="141"/>
      <c r="HG82" s="141"/>
      <c r="HH82" s="141"/>
      <c r="HI82" s="141"/>
      <c r="HJ82" s="141"/>
      <c r="HK82" s="141"/>
      <c r="HL82" s="141"/>
      <c r="HM82" s="141"/>
      <c r="HN82" s="141"/>
      <c r="HO82" s="141"/>
      <c r="HP82" s="141"/>
      <c r="HQ82" s="141"/>
      <c r="HR82" s="141"/>
      <c r="HS82" s="141"/>
      <c r="HT82" s="141"/>
      <c r="HU82" s="141"/>
      <c r="HV82" s="141"/>
      <c r="HW82" s="141"/>
      <c r="HX82" s="141"/>
      <c r="HY82" s="141"/>
      <c r="HZ82" s="141"/>
      <c r="IA82" s="141"/>
      <c r="IB82" s="141"/>
      <c r="IC82" s="141"/>
      <c r="ID82" s="141"/>
      <c r="IE82" s="141"/>
      <c r="IF82" s="141"/>
      <c r="IG82" s="141"/>
      <c r="IH82" s="141"/>
      <c r="II82" s="141"/>
      <c r="IJ82" s="141"/>
      <c r="IK82" s="141"/>
      <c r="IL82" s="141"/>
      <c r="IM82" s="141"/>
      <c r="IN82" s="141"/>
      <c r="IO82" s="141"/>
      <c r="IP82" s="141"/>
      <c r="IQ82" s="141"/>
      <c r="IR82" s="141"/>
      <c r="IS82" s="141"/>
      <c r="IT82" s="141"/>
      <c r="IU82" s="141"/>
      <c r="IV82" s="141"/>
      <c r="IW82" s="141"/>
      <c r="IX82" s="141"/>
      <c r="IY82" s="141"/>
      <c r="IZ82" s="141"/>
      <c r="JA82" s="141"/>
      <c r="JB82" s="141"/>
      <c r="JC82" s="141"/>
      <c r="JD82" s="141"/>
      <c r="JE82" s="141"/>
      <c r="JF82" s="141"/>
      <c r="JG82" s="141"/>
      <c r="JH82" s="141"/>
      <c r="JI82" s="141"/>
      <c r="JJ82" s="141"/>
      <c r="JK82" s="141"/>
      <c r="JL82" s="141"/>
      <c r="JM82" s="141"/>
      <c r="JN82" s="141"/>
      <c r="JO82" s="141"/>
      <c r="JP82" s="141"/>
      <c r="JQ82" s="141"/>
      <c r="JR82" s="141"/>
      <c r="JS82" s="141"/>
      <c r="JT82" s="141"/>
      <c r="JU82" s="141"/>
      <c r="JV82" s="141"/>
      <c r="JW82" s="141"/>
      <c r="JX82" s="141"/>
      <c r="JY82" s="141"/>
      <c r="JZ82" s="141"/>
      <c r="KA82" s="141"/>
      <c r="KB82" s="141"/>
      <c r="KC82" s="141"/>
      <c r="KD82" s="141"/>
      <c r="KE82" s="141"/>
      <c r="KF82" s="141"/>
      <c r="KG82" s="141"/>
      <c r="KH82" s="141"/>
      <c r="KI82" s="141"/>
      <c r="KJ82" s="141"/>
      <c r="KK82" s="141"/>
      <c r="KL82" s="141"/>
      <c r="KM82" s="141"/>
      <c r="KN82" s="141"/>
    </row>
    <row r="83" spans="1:300" s="3" customFormat="1" ht="31.5" customHeight="1">
      <c r="A83" s="148"/>
      <c r="B83" s="8"/>
      <c r="C83" s="36"/>
      <c r="D83" s="36"/>
      <c r="E83" s="35"/>
      <c r="F83" s="35"/>
      <c r="G83" s="35"/>
      <c r="H83" s="151"/>
      <c r="I83" s="153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  <c r="BZ83" s="141"/>
      <c r="CA83" s="141"/>
      <c r="CB83" s="141"/>
      <c r="CC83" s="141"/>
      <c r="CD83" s="141"/>
      <c r="CE83" s="141"/>
      <c r="CF83" s="141"/>
      <c r="CG83" s="141"/>
      <c r="CH83" s="141"/>
      <c r="CI83" s="141"/>
      <c r="CJ83" s="141"/>
      <c r="CK83" s="141"/>
      <c r="CL83" s="141"/>
      <c r="CM83" s="141"/>
      <c r="CN83" s="141"/>
      <c r="CO83" s="141"/>
      <c r="CP83" s="141"/>
      <c r="CQ83" s="141"/>
      <c r="CR83" s="141"/>
      <c r="CS83" s="141"/>
      <c r="CT83" s="141"/>
      <c r="CU83" s="141"/>
      <c r="CV83" s="141"/>
      <c r="CW83" s="141"/>
      <c r="CX83" s="141"/>
      <c r="CY83" s="141"/>
      <c r="CZ83" s="141"/>
      <c r="DA83" s="141"/>
      <c r="DB83" s="141"/>
      <c r="DC83" s="141"/>
      <c r="DD83" s="141"/>
      <c r="DE83" s="141"/>
      <c r="DF83" s="141"/>
      <c r="DG83" s="141"/>
      <c r="DH83" s="141"/>
      <c r="DI83" s="141"/>
      <c r="DJ83" s="141"/>
      <c r="DK83" s="141"/>
      <c r="DL83" s="141"/>
      <c r="DM83" s="141"/>
      <c r="DN83" s="141"/>
      <c r="DO83" s="141"/>
      <c r="DP83" s="141"/>
      <c r="DQ83" s="141"/>
      <c r="DR83" s="141"/>
      <c r="DS83" s="141"/>
      <c r="DT83" s="141"/>
      <c r="DU83" s="141"/>
      <c r="DV83" s="141"/>
      <c r="DW83" s="141"/>
      <c r="DX83" s="141"/>
      <c r="DY83" s="141"/>
      <c r="DZ83" s="141"/>
      <c r="EA83" s="141"/>
      <c r="EB83" s="141"/>
      <c r="EC83" s="141"/>
      <c r="ED83" s="141"/>
      <c r="EE83" s="141"/>
      <c r="EF83" s="141"/>
      <c r="EG83" s="141"/>
      <c r="EH83" s="141"/>
      <c r="EI83" s="141"/>
      <c r="EJ83" s="141"/>
      <c r="EK83" s="141"/>
      <c r="EL83" s="141"/>
      <c r="EM83" s="141"/>
      <c r="EN83" s="141"/>
      <c r="EO83" s="141"/>
      <c r="EP83" s="141"/>
      <c r="EQ83" s="141"/>
      <c r="ER83" s="141"/>
      <c r="ES83" s="141"/>
      <c r="ET83" s="141"/>
      <c r="EU83" s="141"/>
      <c r="EV83" s="141"/>
      <c r="EW83" s="141"/>
      <c r="EX83" s="141"/>
      <c r="EY83" s="141"/>
      <c r="EZ83" s="141"/>
      <c r="FA83" s="141"/>
      <c r="FB83" s="141"/>
      <c r="FC83" s="141"/>
      <c r="FD83" s="141"/>
      <c r="FE83" s="141"/>
      <c r="FF83" s="141"/>
      <c r="FG83" s="141"/>
      <c r="FH83" s="141"/>
      <c r="FI83" s="141"/>
      <c r="FJ83" s="141"/>
      <c r="FK83" s="141"/>
      <c r="FL83" s="141"/>
      <c r="FM83" s="141"/>
      <c r="FN83" s="141"/>
      <c r="FO83" s="141"/>
      <c r="FP83" s="141"/>
      <c r="FQ83" s="141"/>
      <c r="FR83" s="141"/>
      <c r="FS83" s="141"/>
      <c r="FT83" s="141"/>
      <c r="FU83" s="141"/>
      <c r="FV83" s="141"/>
      <c r="FW83" s="141"/>
      <c r="FX83" s="141"/>
      <c r="FY83" s="141"/>
      <c r="FZ83" s="141"/>
      <c r="GA83" s="141"/>
      <c r="GB83" s="141"/>
      <c r="GC83" s="141"/>
      <c r="GD83" s="141"/>
      <c r="GE83" s="141"/>
      <c r="GF83" s="141"/>
      <c r="GG83" s="141"/>
      <c r="GH83" s="141"/>
      <c r="GI83" s="141"/>
      <c r="GJ83" s="141"/>
      <c r="GK83" s="141"/>
      <c r="GL83" s="141"/>
      <c r="GM83" s="141"/>
      <c r="GN83" s="141"/>
      <c r="GO83" s="141"/>
      <c r="GP83" s="141"/>
      <c r="GQ83" s="141"/>
      <c r="GR83" s="141"/>
      <c r="GS83" s="141"/>
      <c r="GT83" s="141"/>
      <c r="GU83" s="141"/>
      <c r="GV83" s="141"/>
      <c r="GW83" s="141"/>
      <c r="GX83" s="141"/>
      <c r="GY83" s="141"/>
      <c r="GZ83" s="141"/>
      <c r="HA83" s="141"/>
      <c r="HB83" s="141"/>
      <c r="HC83" s="141"/>
      <c r="HD83" s="141"/>
      <c r="HE83" s="141"/>
      <c r="HF83" s="141"/>
      <c r="HG83" s="141"/>
      <c r="HH83" s="141"/>
      <c r="HI83" s="141"/>
      <c r="HJ83" s="141"/>
      <c r="HK83" s="141"/>
      <c r="HL83" s="141"/>
      <c r="HM83" s="141"/>
      <c r="HN83" s="141"/>
      <c r="HO83" s="141"/>
      <c r="HP83" s="141"/>
      <c r="HQ83" s="141"/>
      <c r="HR83" s="141"/>
      <c r="HS83" s="141"/>
      <c r="HT83" s="141"/>
      <c r="HU83" s="141"/>
      <c r="HV83" s="141"/>
      <c r="HW83" s="141"/>
      <c r="HX83" s="141"/>
      <c r="HY83" s="141"/>
      <c r="HZ83" s="141"/>
      <c r="IA83" s="141"/>
      <c r="IB83" s="141"/>
      <c r="IC83" s="141"/>
      <c r="ID83" s="141"/>
      <c r="IE83" s="141"/>
      <c r="IF83" s="141"/>
      <c r="IG83" s="141"/>
      <c r="IH83" s="141"/>
      <c r="II83" s="141"/>
      <c r="IJ83" s="141"/>
      <c r="IK83" s="141"/>
      <c r="IL83" s="141"/>
      <c r="IM83" s="141"/>
      <c r="IN83" s="141"/>
      <c r="IO83" s="141"/>
      <c r="IP83" s="141"/>
      <c r="IQ83" s="141"/>
      <c r="IR83" s="141"/>
      <c r="IS83" s="141"/>
      <c r="IT83" s="141"/>
      <c r="IU83" s="141"/>
      <c r="IV83" s="141"/>
      <c r="IW83" s="141"/>
      <c r="IX83" s="141"/>
      <c r="IY83" s="141"/>
      <c r="IZ83" s="141"/>
      <c r="JA83" s="141"/>
      <c r="JB83" s="141"/>
      <c r="JC83" s="141"/>
      <c r="JD83" s="141"/>
      <c r="JE83" s="141"/>
      <c r="JF83" s="141"/>
      <c r="JG83" s="141"/>
      <c r="JH83" s="141"/>
      <c r="JI83" s="141"/>
      <c r="JJ83" s="141"/>
      <c r="JK83" s="141"/>
      <c r="JL83" s="141"/>
      <c r="JM83" s="141"/>
      <c r="JN83" s="141"/>
      <c r="JO83" s="141"/>
      <c r="JP83" s="141"/>
      <c r="JQ83" s="141"/>
      <c r="JR83" s="141"/>
      <c r="JS83" s="141"/>
      <c r="JT83" s="141"/>
      <c r="JU83" s="141"/>
      <c r="JV83" s="141"/>
      <c r="JW83" s="141"/>
      <c r="JX83" s="141"/>
      <c r="JY83" s="141"/>
      <c r="JZ83" s="141"/>
      <c r="KA83" s="141"/>
      <c r="KB83" s="141"/>
      <c r="KC83" s="141"/>
      <c r="KD83" s="141"/>
      <c r="KE83" s="141"/>
      <c r="KF83" s="141"/>
      <c r="KG83" s="141"/>
      <c r="KH83" s="141"/>
      <c r="KI83" s="141"/>
      <c r="KJ83" s="141"/>
      <c r="KK83" s="141"/>
      <c r="KL83" s="141"/>
      <c r="KM83" s="141"/>
      <c r="KN83" s="141"/>
    </row>
    <row r="84" spans="1:300" s="3" customFormat="1" ht="31.5" customHeight="1">
      <c r="A84" s="148"/>
      <c r="B84" s="8"/>
      <c r="C84" s="36"/>
      <c r="D84" s="36"/>
      <c r="E84" s="35"/>
      <c r="F84" s="35"/>
      <c r="G84" s="35"/>
      <c r="H84" s="151"/>
      <c r="I84" s="153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  <c r="BZ84" s="141"/>
      <c r="CA84" s="141"/>
      <c r="CB84" s="141"/>
      <c r="CC84" s="141"/>
      <c r="CD84" s="141"/>
      <c r="CE84" s="141"/>
      <c r="CF84" s="141"/>
      <c r="CG84" s="141"/>
      <c r="CH84" s="141"/>
      <c r="CI84" s="141"/>
      <c r="CJ84" s="141"/>
      <c r="CK84" s="141"/>
      <c r="CL84" s="141"/>
      <c r="CM84" s="141"/>
      <c r="CN84" s="141"/>
      <c r="CO84" s="141"/>
      <c r="CP84" s="141"/>
      <c r="CQ84" s="141"/>
      <c r="CR84" s="141"/>
      <c r="CS84" s="141"/>
      <c r="CT84" s="141"/>
      <c r="CU84" s="141"/>
      <c r="CV84" s="141"/>
      <c r="CW84" s="141"/>
      <c r="CX84" s="141"/>
      <c r="CY84" s="141"/>
      <c r="CZ84" s="141"/>
      <c r="DA84" s="141"/>
      <c r="DB84" s="141"/>
      <c r="DC84" s="141"/>
      <c r="DD84" s="141"/>
      <c r="DE84" s="141"/>
      <c r="DF84" s="141"/>
      <c r="DG84" s="141"/>
      <c r="DH84" s="141"/>
      <c r="DI84" s="141"/>
      <c r="DJ84" s="141"/>
      <c r="DK84" s="141"/>
      <c r="DL84" s="141"/>
      <c r="DM84" s="141"/>
      <c r="DN84" s="141"/>
      <c r="DO84" s="141"/>
      <c r="DP84" s="141"/>
      <c r="DQ84" s="141"/>
      <c r="DR84" s="141"/>
      <c r="DS84" s="141"/>
      <c r="DT84" s="141"/>
      <c r="DU84" s="141"/>
      <c r="DV84" s="141"/>
      <c r="DW84" s="141"/>
      <c r="DX84" s="141"/>
      <c r="DY84" s="141"/>
      <c r="DZ84" s="141"/>
      <c r="EA84" s="141"/>
      <c r="EB84" s="141"/>
      <c r="EC84" s="141"/>
      <c r="ED84" s="141"/>
      <c r="EE84" s="141"/>
      <c r="EF84" s="141"/>
      <c r="EG84" s="141"/>
      <c r="EH84" s="141"/>
      <c r="EI84" s="141"/>
      <c r="EJ84" s="141"/>
      <c r="EK84" s="141"/>
      <c r="EL84" s="141"/>
      <c r="EM84" s="141"/>
      <c r="EN84" s="141"/>
      <c r="EO84" s="141"/>
      <c r="EP84" s="141"/>
      <c r="EQ84" s="141"/>
      <c r="ER84" s="141"/>
      <c r="ES84" s="141"/>
      <c r="ET84" s="141"/>
      <c r="EU84" s="141"/>
      <c r="EV84" s="141"/>
      <c r="EW84" s="141"/>
      <c r="EX84" s="141"/>
      <c r="EY84" s="141"/>
      <c r="EZ84" s="141"/>
      <c r="FA84" s="141"/>
      <c r="FB84" s="141"/>
      <c r="FC84" s="141"/>
      <c r="FD84" s="141"/>
      <c r="FE84" s="141"/>
      <c r="FF84" s="141"/>
      <c r="FG84" s="141"/>
      <c r="FH84" s="141"/>
      <c r="FI84" s="141"/>
      <c r="FJ84" s="141"/>
      <c r="FK84" s="141"/>
      <c r="FL84" s="141"/>
      <c r="FM84" s="141"/>
      <c r="FN84" s="141"/>
      <c r="FO84" s="141"/>
      <c r="FP84" s="141"/>
      <c r="FQ84" s="141"/>
      <c r="FR84" s="141"/>
      <c r="FS84" s="141"/>
      <c r="FT84" s="141"/>
      <c r="FU84" s="141"/>
      <c r="FV84" s="141"/>
      <c r="FW84" s="141"/>
      <c r="FX84" s="141"/>
      <c r="FY84" s="141"/>
      <c r="FZ84" s="141"/>
      <c r="GA84" s="141"/>
      <c r="GB84" s="141"/>
      <c r="GC84" s="141"/>
      <c r="GD84" s="141"/>
      <c r="GE84" s="141"/>
      <c r="GF84" s="141"/>
      <c r="GG84" s="141"/>
      <c r="GH84" s="141"/>
      <c r="GI84" s="141"/>
      <c r="GJ84" s="141"/>
      <c r="GK84" s="141"/>
      <c r="GL84" s="141"/>
      <c r="GM84" s="141"/>
      <c r="GN84" s="141"/>
      <c r="GO84" s="141"/>
      <c r="GP84" s="141"/>
      <c r="GQ84" s="141"/>
      <c r="GR84" s="141"/>
      <c r="GS84" s="141"/>
      <c r="GT84" s="141"/>
      <c r="GU84" s="141"/>
      <c r="GV84" s="141"/>
      <c r="GW84" s="141"/>
      <c r="GX84" s="141"/>
      <c r="GY84" s="141"/>
      <c r="GZ84" s="141"/>
      <c r="HA84" s="141"/>
      <c r="HB84" s="141"/>
      <c r="HC84" s="141"/>
      <c r="HD84" s="141"/>
      <c r="HE84" s="141"/>
      <c r="HF84" s="141"/>
      <c r="HG84" s="141"/>
      <c r="HH84" s="141"/>
      <c r="HI84" s="141"/>
      <c r="HJ84" s="141"/>
      <c r="HK84" s="141"/>
      <c r="HL84" s="141"/>
      <c r="HM84" s="141"/>
      <c r="HN84" s="141"/>
      <c r="HO84" s="141"/>
      <c r="HP84" s="141"/>
      <c r="HQ84" s="141"/>
      <c r="HR84" s="141"/>
      <c r="HS84" s="141"/>
      <c r="HT84" s="141"/>
      <c r="HU84" s="141"/>
      <c r="HV84" s="141"/>
      <c r="HW84" s="141"/>
      <c r="HX84" s="141"/>
      <c r="HY84" s="141"/>
      <c r="HZ84" s="141"/>
      <c r="IA84" s="141"/>
      <c r="IB84" s="141"/>
      <c r="IC84" s="141"/>
      <c r="ID84" s="141"/>
      <c r="IE84" s="141"/>
      <c r="IF84" s="141"/>
      <c r="IG84" s="141"/>
      <c r="IH84" s="141"/>
      <c r="II84" s="141"/>
      <c r="IJ84" s="141"/>
      <c r="IK84" s="141"/>
      <c r="IL84" s="141"/>
      <c r="IM84" s="141"/>
      <c r="IN84" s="141"/>
      <c r="IO84" s="141"/>
      <c r="IP84" s="141"/>
      <c r="IQ84" s="141"/>
      <c r="IR84" s="141"/>
      <c r="IS84" s="141"/>
      <c r="IT84" s="141"/>
      <c r="IU84" s="141"/>
      <c r="IV84" s="141"/>
      <c r="IW84" s="141"/>
      <c r="IX84" s="141"/>
      <c r="IY84" s="141"/>
      <c r="IZ84" s="141"/>
      <c r="JA84" s="141"/>
      <c r="JB84" s="141"/>
      <c r="JC84" s="141"/>
      <c r="JD84" s="141"/>
      <c r="JE84" s="141"/>
      <c r="JF84" s="141"/>
      <c r="JG84" s="141"/>
      <c r="JH84" s="141"/>
      <c r="JI84" s="141"/>
      <c r="JJ84" s="141"/>
      <c r="JK84" s="141"/>
      <c r="JL84" s="141"/>
      <c r="JM84" s="141"/>
      <c r="JN84" s="141"/>
      <c r="JO84" s="141"/>
      <c r="JP84" s="141"/>
      <c r="JQ84" s="141"/>
      <c r="JR84" s="141"/>
      <c r="JS84" s="141"/>
      <c r="JT84" s="141"/>
      <c r="JU84" s="141"/>
      <c r="JV84" s="141"/>
      <c r="JW84" s="141"/>
      <c r="JX84" s="141"/>
      <c r="JY84" s="141"/>
      <c r="JZ84" s="141"/>
      <c r="KA84" s="141"/>
      <c r="KB84" s="141"/>
      <c r="KC84" s="141"/>
      <c r="KD84" s="141"/>
      <c r="KE84" s="141"/>
      <c r="KF84" s="141"/>
      <c r="KG84" s="141"/>
      <c r="KH84" s="141"/>
      <c r="KI84" s="141"/>
      <c r="KJ84" s="141"/>
      <c r="KK84" s="141"/>
      <c r="KL84" s="141"/>
      <c r="KM84" s="141"/>
      <c r="KN84" s="141"/>
    </row>
    <row r="85" spans="1:300" s="3" customFormat="1" ht="31.5" customHeight="1">
      <c r="A85" s="148"/>
      <c r="B85" s="8"/>
      <c r="C85" s="36"/>
      <c r="D85" s="36"/>
      <c r="E85" s="35"/>
      <c r="F85" s="35"/>
      <c r="G85" s="35"/>
      <c r="H85" s="151"/>
      <c r="I85" s="153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141"/>
      <c r="CB85" s="141"/>
      <c r="CC85" s="141"/>
      <c r="CD85" s="141"/>
      <c r="CE85" s="141"/>
      <c r="CF85" s="141"/>
      <c r="CG85" s="141"/>
      <c r="CH85" s="141"/>
      <c r="CI85" s="141"/>
      <c r="CJ85" s="141"/>
      <c r="CK85" s="141"/>
      <c r="CL85" s="141"/>
      <c r="CM85" s="141"/>
      <c r="CN85" s="141"/>
      <c r="CO85" s="141"/>
      <c r="CP85" s="141"/>
      <c r="CQ85" s="141"/>
      <c r="CR85" s="141"/>
      <c r="CS85" s="141"/>
      <c r="CT85" s="141"/>
      <c r="CU85" s="141"/>
      <c r="CV85" s="141"/>
      <c r="CW85" s="141"/>
      <c r="CX85" s="141"/>
      <c r="CY85" s="141"/>
      <c r="CZ85" s="141"/>
      <c r="DA85" s="141"/>
      <c r="DB85" s="141"/>
      <c r="DC85" s="141"/>
      <c r="DD85" s="141"/>
      <c r="DE85" s="141"/>
      <c r="DF85" s="141"/>
      <c r="DG85" s="141"/>
      <c r="DH85" s="141"/>
      <c r="DI85" s="141"/>
      <c r="DJ85" s="141"/>
      <c r="DK85" s="141"/>
      <c r="DL85" s="141"/>
      <c r="DM85" s="141"/>
      <c r="DN85" s="141"/>
      <c r="DO85" s="141"/>
      <c r="DP85" s="141"/>
      <c r="DQ85" s="141"/>
      <c r="DR85" s="141"/>
      <c r="DS85" s="141"/>
      <c r="DT85" s="141"/>
      <c r="DU85" s="141"/>
      <c r="DV85" s="141"/>
      <c r="DW85" s="141"/>
      <c r="DX85" s="141"/>
      <c r="DY85" s="141"/>
      <c r="DZ85" s="141"/>
      <c r="EA85" s="141"/>
      <c r="EB85" s="141"/>
      <c r="EC85" s="141"/>
      <c r="ED85" s="141"/>
      <c r="EE85" s="141"/>
      <c r="EF85" s="141"/>
      <c r="EG85" s="141"/>
      <c r="EH85" s="141"/>
      <c r="EI85" s="141"/>
      <c r="EJ85" s="141"/>
      <c r="EK85" s="141"/>
      <c r="EL85" s="141"/>
      <c r="EM85" s="141"/>
      <c r="EN85" s="141"/>
      <c r="EO85" s="141"/>
      <c r="EP85" s="141"/>
      <c r="EQ85" s="141"/>
      <c r="ER85" s="141"/>
      <c r="ES85" s="141"/>
      <c r="ET85" s="141"/>
      <c r="EU85" s="141"/>
      <c r="EV85" s="141"/>
      <c r="EW85" s="141"/>
      <c r="EX85" s="141"/>
      <c r="EY85" s="141"/>
      <c r="EZ85" s="141"/>
      <c r="FA85" s="141"/>
      <c r="FB85" s="141"/>
      <c r="FC85" s="141"/>
      <c r="FD85" s="141"/>
      <c r="FE85" s="141"/>
      <c r="FF85" s="141"/>
      <c r="FG85" s="141"/>
      <c r="FH85" s="141"/>
      <c r="FI85" s="141"/>
      <c r="FJ85" s="141"/>
      <c r="FK85" s="141"/>
      <c r="FL85" s="141"/>
      <c r="FM85" s="141"/>
      <c r="FN85" s="141"/>
      <c r="FO85" s="141"/>
      <c r="FP85" s="141"/>
      <c r="FQ85" s="141"/>
      <c r="FR85" s="141"/>
      <c r="FS85" s="141"/>
      <c r="FT85" s="141"/>
      <c r="FU85" s="141"/>
      <c r="FV85" s="141"/>
      <c r="FW85" s="141"/>
      <c r="FX85" s="141"/>
      <c r="FY85" s="141"/>
      <c r="FZ85" s="141"/>
      <c r="GA85" s="141"/>
      <c r="GB85" s="141"/>
      <c r="GC85" s="141"/>
      <c r="GD85" s="141"/>
      <c r="GE85" s="141"/>
      <c r="GF85" s="141"/>
      <c r="GG85" s="141"/>
      <c r="GH85" s="141"/>
      <c r="GI85" s="141"/>
      <c r="GJ85" s="141"/>
      <c r="GK85" s="141"/>
      <c r="GL85" s="141"/>
      <c r="GM85" s="141"/>
      <c r="GN85" s="141"/>
      <c r="GO85" s="141"/>
      <c r="GP85" s="141"/>
      <c r="GQ85" s="141"/>
      <c r="GR85" s="141"/>
      <c r="GS85" s="141"/>
      <c r="GT85" s="141"/>
      <c r="GU85" s="141"/>
      <c r="GV85" s="141"/>
      <c r="GW85" s="141"/>
      <c r="GX85" s="141"/>
      <c r="GY85" s="141"/>
      <c r="GZ85" s="141"/>
      <c r="HA85" s="141"/>
      <c r="HB85" s="141"/>
      <c r="HC85" s="141"/>
      <c r="HD85" s="141"/>
      <c r="HE85" s="141"/>
      <c r="HF85" s="141"/>
      <c r="HG85" s="141"/>
      <c r="HH85" s="141"/>
      <c r="HI85" s="141"/>
      <c r="HJ85" s="141"/>
      <c r="HK85" s="141"/>
      <c r="HL85" s="141"/>
      <c r="HM85" s="141"/>
      <c r="HN85" s="141"/>
      <c r="HO85" s="141"/>
      <c r="HP85" s="141"/>
      <c r="HQ85" s="141"/>
      <c r="HR85" s="141"/>
      <c r="HS85" s="141"/>
      <c r="HT85" s="141"/>
      <c r="HU85" s="141"/>
      <c r="HV85" s="141"/>
      <c r="HW85" s="141"/>
      <c r="HX85" s="141"/>
      <c r="HY85" s="141"/>
      <c r="HZ85" s="141"/>
      <c r="IA85" s="141"/>
      <c r="IB85" s="141"/>
      <c r="IC85" s="141"/>
      <c r="ID85" s="141"/>
      <c r="IE85" s="141"/>
      <c r="IF85" s="141"/>
      <c r="IG85" s="141"/>
      <c r="IH85" s="141"/>
      <c r="II85" s="141"/>
      <c r="IJ85" s="141"/>
      <c r="IK85" s="141"/>
      <c r="IL85" s="141"/>
      <c r="IM85" s="141"/>
      <c r="IN85" s="141"/>
      <c r="IO85" s="141"/>
      <c r="IP85" s="141"/>
      <c r="IQ85" s="141"/>
      <c r="IR85" s="141"/>
      <c r="IS85" s="141"/>
      <c r="IT85" s="141"/>
      <c r="IU85" s="141"/>
      <c r="IV85" s="141"/>
      <c r="IW85" s="141"/>
      <c r="IX85" s="141"/>
      <c r="IY85" s="141"/>
      <c r="IZ85" s="141"/>
      <c r="JA85" s="141"/>
      <c r="JB85" s="141"/>
      <c r="JC85" s="141"/>
      <c r="JD85" s="141"/>
      <c r="JE85" s="141"/>
      <c r="JF85" s="141"/>
      <c r="JG85" s="141"/>
      <c r="JH85" s="141"/>
      <c r="JI85" s="141"/>
      <c r="JJ85" s="141"/>
      <c r="JK85" s="141"/>
      <c r="JL85" s="141"/>
      <c r="JM85" s="141"/>
      <c r="JN85" s="141"/>
      <c r="JO85" s="141"/>
      <c r="JP85" s="141"/>
      <c r="JQ85" s="141"/>
      <c r="JR85" s="141"/>
      <c r="JS85" s="141"/>
      <c r="JT85" s="141"/>
      <c r="JU85" s="141"/>
      <c r="JV85" s="141"/>
      <c r="JW85" s="141"/>
      <c r="JX85" s="141"/>
      <c r="JY85" s="141"/>
      <c r="JZ85" s="141"/>
      <c r="KA85" s="141"/>
      <c r="KB85" s="141"/>
      <c r="KC85" s="141"/>
      <c r="KD85" s="141"/>
      <c r="KE85" s="141"/>
      <c r="KF85" s="141"/>
      <c r="KG85" s="141"/>
      <c r="KH85" s="141"/>
      <c r="KI85" s="141"/>
      <c r="KJ85" s="141"/>
      <c r="KK85" s="141"/>
      <c r="KL85" s="141"/>
      <c r="KM85" s="141"/>
      <c r="KN85" s="141"/>
    </row>
    <row r="86" spans="1:300" s="3" customFormat="1" ht="31.5" customHeight="1">
      <c r="A86" s="148"/>
      <c r="B86" s="8"/>
      <c r="C86" s="36"/>
      <c r="D86" s="36"/>
      <c r="E86" s="35"/>
      <c r="F86" s="35"/>
      <c r="G86" s="35"/>
      <c r="H86" s="151"/>
      <c r="I86" s="154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  <c r="BZ86" s="141"/>
      <c r="CA86" s="141"/>
      <c r="CB86" s="141"/>
      <c r="CC86" s="141"/>
      <c r="CD86" s="141"/>
      <c r="CE86" s="141"/>
      <c r="CF86" s="141"/>
      <c r="CG86" s="141"/>
      <c r="CH86" s="141"/>
      <c r="CI86" s="141"/>
      <c r="CJ86" s="141"/>
      <c r="CK86" s="141"/>
      <c r="CL86" s="141"/>
      <c r="CM86" s="141"/>
      <c r="CN86" s="141"/>
      <c r="CO86" s="141"/>
      <c r="CP86" s="141"/>
      <c r="CQ86" s="141"/>
      <c r="CR86" s="141"/>
      <c r="CS86" s="141"/>
      <c r="CT86" s="141"/>
      <c r="CU86" s="141"/>
      <c r="CV86" s="141"/>
      <c r="CW86" s="141"/>
      <c r="CX86" s="141"/>
      <c r="CY86" s="141"/>
      <c r="CZ86" s="141"/>
      <c r="DA86" s="141"/>
      <c r="DB86" s="141"/>
      <c r="DC86" s="141"/>
      <c r="DD86" s="141"/>
      <c r="DE86" s="141"/>
      <c r="DF86" s="141"/>
      <c r="DG86" s="141"/>
      <c r="DH86" s="141"/>
      <c r="DI86" s="141"/>
      <c r="DJ86" s="141"/>
      <c r="DK86" s="141"/>
      <c r="DL86" s="141"/>
      <c r="DM86" s="141"/>
      <c r="DN86" s="141"/>
      <c r="DO86" s="141"/>
      <c r="DP86" s="141"/>
      <c r="DQ86" s="141"/>
      <c r="DR86" s="141"/>
      <c r="DS86" s="141"/>
      <c r="DT86" s="141"/>
      <c r="DU86" s="141"/>
      <c r="DV86" s="141"/>
      <c r="DW86" s="141"/>
      <c r="DX86" s="141"/>
      <c r="DY86" s="141"/>
      <c r="DZ86" s="141"/>
      <c r="EA86" s="141"/>
      <c r="EB86" s="141"/>
      <c r="EC86" s="141"/>
      <c r="ED86" s="141"/>
      <c r="EE86" s="141"/>
      <c r="EF86" s="141"/>
      <c r="EG86" s="141"/>
      <c r="EH86" s="141"/>
      <c r="EI86" s="141"/>
      <c r="EJ86" s="141"/>
      <c r="EK86" s="141"/>
      <c r="EL86" s="141"/>
      <c r="EM86" s="141"/>
      <c r="EN86" s="141"/>
      <c r="EO86" s="141"/>
      <c r="EP86" s="141"/>
      <c r="EQ86" s="141"/>
      <c r="ER86" s="141"/>
      <c r="ES86" s="141"/>
      <c r="ET86" s="141"/>
      <c r="EU86" s="141"/>
      <c r="EV86" s="141"/>
      <c r="EW86" s="141"/>
      <c r="EX86" s="141"/>
      <c r="EY86" s="141"/>
      <c r="EZ86" s="141"/>
      <c r="FA86" s="141"/>
      <c r="FB86" s="141"/>
      <c r="FC86" s="141"/>
      <c r="FD86" s="141"/>
      <c r="FE86" s="141"/>
      <c r="FF86" s="141"/>
      <c r="FG86" s="141"/>
      <c r="FH86" s="141"/>
      <c r="FI86" s="141"/>
      <c r="FJ86" s="141"/>
      <c r="FK86" s="141"/>
      <c r="FL86" s="141"/>
      <c r="FM86" s="141"/>
      <c r="FN86" s="141"/>
      <c r="FO86" s="141"/>
      <c r="FP86" s="141"/>
      <c r="FQ86" s="141"/>
      <c r="FR86" s="141"/>
      <c r="FS86" s="141"/>
      <c r="FT86" s="141"/>
      <c r="FU86" s="141"/>
      <c r="FV86" s="141"/>
      <c r="FW86" s="141"/>
      <c r="FX86" s="141"/>
      <c r="FY86" s="141"/>
      <c r="FZ86" s="141"/>
      <c r="GA86" s="141"/>
      <c r="GB86" s="141"/>
      <c r="GC86" s="141"/>
      <c r="GD86" s="141"/>
      <c r="GE86" s="141"/>
      <c r="GF86" s="141"/>
      <c r="GG86" s="141"/>
      <c r="GH86" s="141"/>
      <c r="GI86" s="141"/>
      <c r="GJ86" s="141"/>
      <c r="GK86" s="141"/>
      <c r="GL86" s="141"/>
      <c r="GM86" s="141"/>
      <c r="GN86" s="141"/>
      <c r="GO86" s="141"/>
      <c r="GP86" s="141"/>
      <c r="GQ86" s="141"/>
      <c r="GR86" s="141"/>
      <c r="GS86" s="141"/>
      <c r="GT86" s="141"/>
      <c r="GU86" s="141"/>
      <c r="GV86" s="141"/>
      <c r="GW86" s="141"/>
      <c r="GX86" s="141"/>
      <c r="GY86" s="141"/>
      <c r="GZ86" s="141"/>
      <c r="HA86" s="141"/>
      <c r="HB86" s="141"/>
      <c r="HC86" s="141"/>
      <c r="HD86" s="141"/>
      <c r="HE86" s="141"/>
      <c r="HF86" s="141"/>
      <c r="HG86" s="141"/>
      <c r="HH86" s="141"/>
      <c r="HI86" s="141"/>
      <c r="HJ86" s="141"/>
      <c r="HK86" s="141"/>
      <c r="HL86" s="141"/>
      <c r="HM86" s="141"/>
      <c r="HN86" s="141"/>
      <c r="HO86" s="141"/>
      <c r="HP86" s="141"/>
      <c r="HQ86" s="141"/>
      <c r="HR86" s="141"/>
      <c r="HS86" s="141"/>
      <c r="HT86" s="141"/>
      <c r="HU86" s="141"/>
      <c r="HV86" s="141"/>
      <c r="HW86" s="141"/>
      <c r="HX86" s="141"/>
      <c r="HY86" s="141"/>
      <c r="HZ86" s="141"/>
      <c r="IA86" s="141"/>
      <c r="IB86" s="141"/>
      <c r="IC86" s="141"/>
      <c r="ID86" s="141"/>
      <c r="IE86" s="141"/>
      <c r="IF86" s="141"/>
      <c r="IG86" s="141"/>
      <c r="IH86" s="141"/>
      <c r="II86" s="141"/>
      <c r="IJ86" s="141"/>
      <c r="IK86" s="141"/>
      <c r="IL86" s="141"/>
      <c r="IM86" s="141"/>
      <c r="IN86" s="141"/>
      <c r="IO86" s="141"/>
      <c r="IP86" s="141"/>
      <c r="IQ86" s="141"/>
      <c r="IR86" s="141"/>
      <c r="IS86" s="141"/>
      <c r="IT86" s="141"/>
      <c r="IU86" s="141"/>
      <c r="IV86" s="141"/>
      <c r="IW86" s="141"/>
      <c r="IX86" s="141"/>
      <c r="IY86" s="141"/>
      <c r="IZ86" s="141"/>
      <c r="JA86" s="141"/>
      <c r="JB86" s="141"/>
      <c r="JC86" s="141"/>
      <c r="JD86" s="141"/>
      <c r="JE86" s="141"/>
      <c r="JF86" s="141"/>
      <c r="JG86" s="141"/>
      <c r="JH86" s="141"/>
      <c r="JI86" s="141"/>
      <c r="JJ86" s="141"/>
      <c r="JK86" s="141"/>
      <c r="JL86" s="141"/>
      <c r="JM86" s="141"/>
      <c r="JN86" s="141"/>
      <c r="JO86" s="141"/>
      <c r="JP86" s="141"/>
      <c r="JQ86" s="141"/>
      <c r="JR86" s="141"/>
      <c r="JS86" s="141"/>
      <c r="JT86" s="141"/>
      <c r="JU86" s="141"/>
      <c r="JV86" s="141"/>
      <c r="JW86" s="141"/>
      <c r="JX86" s="141"/>
      <c r="JY86" s="141"/>
      <c r="JZ86" s="141"/>
      <c r="KA86" s="141"/>
      <c r="KB86" s="141"/>
      <c r="KC86" s="141"/>
      <c r="KD86" s="141"/>
      <c r="KE86" s="141"/>
      <c r="KF86" s="141"/>
      <c r="KG86" s="141"/>
      <c r="KH86" s="141"/>
      <c r="KI86" s="141"/>
      <c r="KJ86" s="141"/>
      <c r="KK86" s="141"/>
      <c r="KL86" s="141"/>
      <c r="KM86" s="141"/>
      <c r="KN86" s="141"/>
    </row>
    <row r="87" spans="1:300" s="3" customFormat="1" ht="31.5" customHeight="1">
      <c r="A87" s="148"/>
      <c r="B87" s="8"/>
      <c r="C87" s="36"/>
      <c r="D87" s="36"/>
      <c r="E87" s="35"/>
      <c r="F87" s="35"/>
      <c r="G87" s="35"/>
      <c r="H87" s="151"/>
      <c r="I87" s="154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  <c r="BZ87" s="141"/>
      <c r="CA87" s="141"/>
      <c r="CB87" s="141"/>
      <c r="CC87" s="141"/>
      <c r="CD87" s="141"/>
      <c r="CE87" s="141"/>
      <c r="CF87" s="141"/>
      <c r="CG87" s="141"/>
      <c r="CH87" s="141"/>
      <c r="CI87" s="141"/>
      <c r="CJ87" s="141"/>
      <c r="CK87" s="141"/>
      <c r="CL87" s="141"/>
      <c r="CM87" s="141"/>
      <c r="CN87" s="141"/>
      <c r="CO87" s="141"/>
      <c r="CP87" s="141"/>
      <c r="CQ87" s="141"/>
      <c r="CR87" s="141"/>
      <c r="CS87" s="141"/>
      <c r="CT87" s="141"/>
      <c r="CU87" s="141"/>
      <c r="CV87" s="141"/>
      <c r="CW87" s="141"/>
      <c r="CX87" s="141"/>
      <c r="CY87" s="141"/>
      <c r="CZ87" s="141"/>
      <c r="DA87" s="141"/>
      <c r="DB87" s="141"/>
      <c r="DC87" s="141"/>
      <c r="DD87" s="141"/>
      <c r="DE87" s="141"/>
      <c r="DF87" s="141"/>
      <c r="DG87" s="141"/>
      <c r="DH87" s="141"/>
      <c r="DI87" s="141"/>
      <c r="DJ87" s="141"/>
      <c r="DK87" s="141"/>
      <c r="DL87" s="141"/>
      <c r="DM87" s="141"/>
      <c r="DN87" s="141"/>
      <c r="DO87" s="141"/>
      <c r="DP87" s="141"/>
      <c r="DQ87" s="141"/>
      <c r="DR87" s="141"/>
      <c r="DS87" s="141"/>
      <c r="DT87" s="141"/>
      <c r="DU87" s="141"/>
      <c r="DV87" s="141"/>
      <c r="DW87" s="141"/>
      <c r="DX87" s="141"/>
      <c r="DY87" s="141"/>
      <c r="DZ87" s="141"/>
      <c r="EA87" s="141"/>
      <c r="EB87" s="141"/>
      <c r="EC87" s="141"/>
      <c r="ED87" s="141"/>
      <c r="EE87" s="141"/>
      <c r="EF87" s="141"/>
      <c r="EG87" s="141"/>
      <c r="EH87" s="141"/>
      <c r="EI87" s="141"/>
      <c r="EJ87" s="141"/>
      <c r="EK87" s="141"/>
      <c r="EL87" s="141"/>
      <c r="EM87" s="141"/>
      <c r="EN87" s="141"/>
      <c r="EO87" s="141"/>
      <c r="EP87" s="141"/>
      <c r="EQ87" s="141"/>
      <c r="ER87" s="141"/>
      <c r="ES87" s="141"/>
      <c r="ET87" s="141"/>
      <c r="EU87" s="141"/>
      <c r="EV87" s="141"/>
      <c r="EW87" s="141"/>
      <c r="EX87" s="141"/>
      <c r="EY87" s="141"/>
      <c r="EZ87" s="141"/>
      <c r="FA87" s="141"/>
      <c r="FB87" s="141"/>
      <c r="FC87" s="141"/>
      <c r="FD87" s="141"/>
      <c r="FE87" s="141"/>
      <c r="FF87" s="141"/>
      <c r="FG87" s="141"/>
      <c r="FH87" s="141"/>
      <c r="FI87" s="141"/>
      <c r="FJ87" s="141"/>
      <c r="FK87" s="141"/>
      <c r="FL87" s="141"/>
      <c r="FM87" s="141"/>
      <c r="FN87" s="141"/>
      <c r="FO87" s="141"/>
      <c r="FP87" s="141"/>
      <c r="FQ87" s="141"/>
      <c r="FR87" s="141"/>
      <c r="FS87" s="141"/>
      <c r="FT87" s="141"/>
      <c r="FU87" s="141"/>
      <c r="FV87" s="141"/>
      <c r="FW87" s="141"/>
      <c r="FX87" s="141"/>
      <c r="FY87" s="141"/>
      <c r="FZ87" s="141"/>
      <c r="GA87" s="141"/>
      <c r="GB87" s="141"/>
      <c r="GC87" s="141"/>
      <c r="GD87" s="141"/>
      <c r="GE87" s="141"/>
      <c r="GF87" s="141"/>
      <c r="GG87" s="141"/>
      <c r="GH87" s="141"/>
      <c r="GI87" s="141"/>
      <c r="GJ87" s="141"/>
      <c r="GK87" s="141"/>
      <c r="GL87" s="141"/>
      <c r="GM87" s="141"/>
      <c r="GN87" s="141"/>
      <c r="GO87" s="141"/>
      <c r="GP87" s="141"/>
      <c r="GQ87" s="141"/>
      <c r="GR87" s="141"/>
      <c r="GS87" s="141"/>
      <c r="GT87" s="141"/>
      <c r="GU87" s="141"/>
      <c r="GV87" s="141"/>
      <c r="GW87" s="141"/>
      <c r="GX87" s="141"/>
      <c r="GY87" s="141"/>
      <c r="GZ87" s="141"/>
      <c r="HA87" s="141"/>
      <c r="HB87" s="141"/>
      <c r="HC87" s="141"/>
      <c r="HD87" s="141"/>
      <c r="HE87" s="141"/>
      <c r="HF87" s="141"/>
      <c r="HG87" s="141"/>
      <c r="HH87" s="141"/>
      <c r="HI87" s="141"/>
      <c r="HJ87" s="141"/>
      <c r="HK87" s="141"/>
      <c r="HL87" s="141"/>
      <c r="HM87" s="141"/>
      <c r="HN87" s="141"/>
      <c r="HO87" s="141"/>
      <c r="HP87" s="141"/>
      <c r="HQ87" s="141"/>
      <c r="HR87" s="141"/>
      <c r="HS87" s="141"/>
      <c r="HT87" s="141"/>
      <c r="HU87" s="141"/>
      <c r="HV87" s="141"/>
      <c r="HW87" s="141"/>
      <c r="HX87" s="141"/>
      <c r="HY87" s="141"/>
      <c r="HZ87" s="141"/>
      <c r="IA87" s="141"/>
      <c r="IB87" s="141"/>
      <c r="IC87" s="141"/>
      <c r="ID87" s="141"/>
      <c r="IE87" s="141"/>
      <c r="IF87" s="141"/>
      <c r="IG87" s="141"/>
      <c r="IH87" s="141"/>
      <c r="II87" s="141"/>
      <c r="IJ87" s="141"/>
      <c r="IK87" s="141"/>
      <c r="IL87" s="141"/>
      <c r="IM87" s="141"/>
      <c r="IN87" s="141"/>
      <c r="IO87" s="141"/>
      <c r="IP87" s="141"/>
      <c r="IQ87" s="141"/>
      <c r="IR87" s="141"/>
      <c r="IS87" s="141"/>
      <c r="IT87" s="141"/>
      <c r="IU87" s="141"/>
      <c r="IV87" s="141"/>
      <c r="IW87" s="141"/>
      <c r="IX87" s="141"/>
      <c r="IY87" s="141"/>
      <c r="IZ87" s="141"/>
      <c r="JA87" s="141"/>
      <c r="JB87" s="141"/>
      <c r="JC87" s="141"/>
      <c r="JD87" s="141"/>
      <c r="JE87" s="141"/>
      <c r="JF87" s="141"/>
      <c r="JG87" s="141"/>
      <c r="JH87" s="141"/>
      <c r="JI87" s="141"/>
      <c r="JJ87" s="141"/>
      <c r="JK87" s="141"/>
      <c r="JL87" s="141"/>
      <c r="JM87" s="141"/>
      <c r="JN87" s="141"/>
      <c r="JO87" s="141"/>
      <c r="JP87" s="141"/>
      <c r="JQ87" s="141"/>
      <c r="JR87" s="141"/>
      <c r="JS87" s="141"/>
      <c r="JT87" s="141"/>
      <c r="JU87" s="141"/>
      <c r="JV87" s="141"/>
      <c r="JW87" s="141"/>
      <c r="JX87" s="141"/>
      <c r="JY87" s="141"/>
      <c r="JZ87" s="141"/>
      <c r="KA87" s="141"/>
      <c r="KB87" s="141"/>
      <c r="KC87" s="141"/>
      <c r="KD87" s="141"/>
      <c r="KE87" s="141"/>
      <c r="KF87" s="141"/>
      <c r="KG87" s="141"/>
      <c r="KH87" s="141"/>
      <c r="KI87" s="141"/>
      <c r="KJ87" s="141"/>
      <c r="KK87" s="141"/>
      <c r="KL87" s="141"/>
      <c r="KM87" s="141"/>
      <c r="KN87" s="141"/>
    </row>
    <row r="88" spans="1:300" s="3" customFormat="1" ht="31.5" customHeight="1">
      <c r="A88" s="148"/>
      <c r="B88" s="8"/>
      <c r="C88" s="36"/>
      <c r="D88" s="36"/>
      <c r="E88" s="35"/>
      <c r="F88" s="35"/>
      <c r="G88" s="35"/>
      <c r="H88" s="151"/>
      <c r="I88" s="154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  <c r="BZ88" s="141"/>
      <c r="CA88" s="141"/>
      <c r="CB88" s="141"/>
      <c r="CC88" s="141"/>
      <c r="CD88" s="141"/>
      <c r="CE88" s="141"/>
      <c r="CF88" s="141"/>
      <c r="CG88" s="141"/>
      <c r="CH88" s="141"/>
      <c r="CI88" s="141"/>
      <c r="CJ88" s="141"/>
      <c r="CK88" s="141"/>
      <c r="CL88" s="141"/>
      <c r="CM88" s="141"/>
      <c r="CN88" s="141"/>
      <c r="CO88" s="141"/>
      <c r="CP88" s="141"/>
      <c r="CQ88" s="141"/>
      <c r="CR88" s="141"/>
      <c r="CS88" s="141"/>
      <c r="CT88" s="141"/>
      <c r="CU88" s="141"/>
      <c r="CV88" s="141"/>
      <c r="CW88" s="141"/>
      <c r="CX88" s="141"/>
      <c r="CY88" s="141"/>
      <c r="CZ88" s="141"/>
      <c r="DA88" s="141"/>
      <c r="DB88" s="141"/>
      <c r="DC88" s="141"/>
      <c r="DD88" s="141"/>
      <c r="DE88" s="141"/>
      <c r="DF88" s="141"/>
      <c r="DG88" s="141"/>
      <c r="DH88" s="141"/>
      <c r="DI88" s="141"/>
      <c r="DJ88" s="141"/>
      <c r="DK88" s="141"/>
      <c r="DL88" s="141"/>
      <c r="DM88" s="141"/>
      <c r="DN88" s="141"/>
      <c r="DO88" s="141"/>
      <c r="DP88" s="141"/>
      <c r="DQ88" s="141"/>
      <c r="DR88" s="141"/>
      <c r="DS88" s="141"/>
      <c r="DT88" s="141"/>
      <c r="DU88" s="141"/>
      <c r="DV88" s="141"/>
      <c r="DW88" s="141"/>
      <c r="DX88" s="141"/>
      <c r="DY88" s="141"/>
      <c r="DZ88" s="141"/>
      <c r="EA88" s="141"/>
      <c r="EB88" s="141"/>
      <c r="EC88" s="141"/>
      <c r="ED88" s="141"/>
      <c r="EE88" s="141"/>
      <c r="EF88" s="141"/>
      <c r="EG88" s="141"/>
      <c r="EH88" s="141"/>
      <c r="EI88" s="141"/>
      <c r="EJ88" s="141"/>
      <c r="EK88" s="141"/>
      <c r="EL88" s="141"/>
      <c r="EM88" s="141"/>
      <c r="EN88" s="141"/>
      <c r="EO88" s="141"/>
      <c r="EP88" s="141"/>
      <c r="EQ88" s="141"/>
      <c r="ER88" s="141"/>
      <c r="ES88" s="141"/>
      <c r="ET88" s="141"/>
      <c r="EU88" s="141"/>
      <c r="EV88" s="141"/>
      <c r="EW88" s="141"/>
      <c r="EX88" s="141"/>
      <c r="EY88" s="141"/>
      <c r="EZ88" s="141"/>
      <c r="FA88" s="141"/>
      <c r="FB88" s="141"/>
      <c r="FC88" s="141"/>
      <c r="FD88" s="141"/>
      <c r="FE88" s="141"/>
      <c r="FF88" s="141"/>
      <c r="FG88" s="141"/>
      <c r="FH88" s="141"/>
      <c r="FI88" s="141"/>
      <c r="FJ88" s="141"/>
      <c r="FK88" s="141"/>
      <c r="FL88" s="141"/>
      <c r="FM88" s="141"/>
      <c r="FN88" s="141"/>
      <c r="FO88" s="141"/>
      <c r="FP88" s="141"/>
      <c r="FQ88" s="141"/>
      <c r="FR88" s="141"/>
      <c r="FS88" s="141"/>
      <c r="FT88" s="141"/>
      <c r="FU88" s="141"/>
      <c r="FV88" s="141"/>
      <c r="FW88" s="141"/>
      <c r="FX88" s="141"/>
      <c r="FY88" s="141"/>
      <c r="FZ88" s="141"/>
      <c r="GA88" s="141"/>
      <c r="GB88" s="141"/>
      <c r="GC88" s="141"/>
      <c r="GD88" s="141"/>
      <c r="GE88" s="141"/>
      <c r="GF88" s="141"/>
      <c r="GG88" s="141"/>
      <c r="GH88" s="141"/>
      <c r="GI88" s="141"/>
      <c r="GJ88" s="141"/>
      <c r="GK88" s="141"/>
      <c r="GL88" s="141"/>
      <c r="GM88" s="141"/>
      <c r="GN88" s="141"/>
      <c r="GO88" s="141"/>
      <c r="GP88" s="141"/>
      <c r="GQ88" s="141"/>
      <c r="GR88" s="141"/>
      <c r="GS88" s="141"/>
      <c r="GT88" s="141"/>
      <c r="GU88" s="141"/>
      <c r="GV88" s="141"/>
      <c r="GW88" s="141"/>
      <c r="GX88" s="141"/>
      <c r="GY88" s="141"/>
      <c r="GZ88" s="141"/>
      <c r="HA88" s="141"/>
      <c r="HB88" s="141"/>
      <c r="HC88" s="141"/>
      <c r="HD88" s="141"/>
      <c r="HE88" s="141"/>
      <c r="HF88" s="141"/>
      <c r="HG88" s="141"/>
      <c r="HH88" s="141"/>
      <c r="HI88" s="141"/>
      <c r="HJ88" s="141"/>
      <c r="HK88" s="141"/>
      <c r="HL88" s="141"/>
      <c r="HM88" s="141"/>
      <c r="HN88" s="141"/>
      <c r="HO88" s="141"/>
      <c r="HP88" s="141"/>
      <c r="HQ88" s="141"/>
      <c r="HR88" s="141"/>
      <c r="HS88" s="141"/>
      <c r="HT88" s="141"/>
      <c r="HU88" s="141"/>
      <c r="HV88" s="141"/>
      <c r="HW88" s="141"/>
      <c r="HX88" s="141"/>
      <c r="HY88" s="141"/>
      <c r="HZ88" s="141"/>
      <c r="IA88" s="141"/>
      <c r="IB88" s="141"/>
      <c r="IC88" s="141"/>
      <c r="ID88" s="141"/>
      <c r="IE88" s="141"/>
      <c r="IF88" s="141"/>
      <c r="IG88" s="141"/>
      <c r="IH88" s="141"/>
      <c r="II88" s="141"/>
      <c r="IJ88" s="141"/>
      <c r="IK88" s="141"/>
      <c r="IL88" s="141"/>
      <c r="IM88" s="141"/>
      <c r="IN88" s="141"/>
      <c r="IO88" s="141"/>
      <c r="IP88" s="141"/>
      <c r="IQ88" s="141"/>
      <c r="IR88" s="141"/>
      <c r="IS88" s="141"/>
      <c r="IT88" s="141"/>
      <c r="IU88" s="141"/>
      <c r="IV88" s="141"/>
      <c r="IW88" s="141"/>
      <c r="IX88" s="141"/>
      <c r="IY88" s="141"/>
      <c r="IZ88" s="141"/>
      <c r="JA88" s="141"/>
      <c r="JB88" s="141"/>
      <c r="JC88" s="141"/>
      <c r="JD88" s="141"/>
      <c r="JE88" s="141"/>
      <c r="JF88" s="141"/>
      <c r="JG88" s="141"/>
      <c r="JH88" s="141"/>
      <c r="JI88" s="141"/>
      <c r="JJ88" s="141"/>
      <c r="JK88" s="141"/>
      <c r="JL88" s="141"/>
      <c r="JM88" s="141"/>
      <c r="JN88" s="141"/>
      <c r="JO88" s="141"/>
      <c r="JP88" s="141"/>
      <c r="JQ88" s="141"/>
      <c r="JR88" s="141"/>
      <c r="JS88" s="141"/>
      <c r="JT88" s="141"/>
      <c r="JU88" s="141"/>
      <c r="JV88" s="141"/>
      <c r="JW88" s="141"/>
      <c r="JX88" s="141"/>
      <c r="JY88" s="141"/>
      <c r="JZ88" s="141"/>
      <c r="KA88" s="141"/>
      <c r="KB88" s="141"/>
      <c r="KC88" s="141"/>
      <c r="KD88" s="141"/>
      <c r="KE88" s="141"/>
      <c r="KF88" s="141"/>
      <c r="KG88" s="141"/>
      <c r="KH88" s="141"/>
      <c r="KI88" s="141"/>
      <c r="KJ88" s="141"/>
      <c r="KK88" s="141"/>
      <c r="KL88" s="141"/>
      <c r="KM88" s="141"/>
      <c r="KN88" s="141"/>
    </row>
    <row r="89" spans="1:300" s="3" customFormat="1" ht="31.5" customHeight="1">
      <c r="A89" s="148"/>
      <c r="B89" s="8"/>
      <c r="C89" s="36"/>
      <c r="D89" s="36"/>
      <c r="E89" s="35"/>
      <c r="F89" s="35"/>
      <c r="G89" s="35"/>
      <c r="H89" s="151"/>
      <c r="I89" s="154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  <c r="BZ89" s="141"/>
      <c r="CA89" s="141"/>
      <c r="CB89" s="141"/>
      <c r="CC89" s="141"/>
      <c r="CD89" s="141"/>
      <c r="CE89" s="141"/>
      <c r="CF89" s="141"/>
      <c r="CG89" s="141"/>
      <c r="CH89" s="141"/>
      <c r="CI89" s="141"/>
      <c r="CJ89" s="141"/>
      <c r="CK89" s="141"/>
      <c r="CL89" s="141"/>
      <c r="CM89" s="141"/>
      <c r="CN89" s="141"/>
      <c r="CO89" s="141"/>
      <c r="CP89" s="141"/>
      <c r="CQ89" s="141"/>
      <c r="CR89" s="141"/>
      <c r="CS89" s="141"/>
      <c r="CT89" s="141"/>
      <c r="CU89" s="141"/>
      <c r="CV89" s="141"/>
      <c r="CW89" s="141"/>
      <c r="CX89" s="141"/>
      <c r="CY89" s="141"/>
      <c r="CZ89" s="141"/>
      <c r="DA89" s="141"/>
      <c r="DB89" s="141"/>
      <c r="DC89" s="141"/>
      <c r="DD89" s="141"/>
      <c r="DE89" s="141"/>
      <c r="DF89" s="141"/>
      <c r="DG89" s="141"/>
      <c r="DH89" s="141"/>
      <c r="DI89" s="141"/>
      <c r="DJ89" s="141"/>
      <c r="DK89" s="141"/>
      <c r="DL89" s="141"/>
      <c r="DM89" s="141"/>
      <c r="DN89" s="141"/>
      <c r="DO89" s="141"/>
      <c r="DP89" s="141"/>
      <c r="DQ89" s="141"/>
      <c r="DR89" s="141"/>
      <c r="DS89" s="141"/>
      <c r="DT89" s="141"/>
      <c r="DU89" s="141"/>
      <c r="DV89" s="141"/>
      <c r="DW89" s="141"/>
      <c r="DX89" s="141"/>
      <c r="DY89" s="141"/>
      <c r="DZ89" s="141"/>
      <c r="EA89" s="141"/>
      <c r="EB89" s="141"/>
      <c r="EC89" s="141"/>
      <c r="ED89" s="141"/>
      <c r="EE89" s="141"/>
      <c r="EF89" s="141"/>
      <c r="EG89" s="141"/>
      <c r="EH89" s="141"/>
      <c r="EI89" s="141"/>
      <c r="EJ89" s="141"/>
      <c r="EK89" s="141"/>
      <c r="EL89" s="141"/>
      <c r="EM89" s="141"/>
      <c r="EN89" s="141"/>
      <c r="EO89" s="141"/>
      <c r="EP89" s="141"/>
      <c r="EQ89" s="141"/>
      <c r="ER89" s="141"/>
      <c r="ES89" s="141"/>
      <c r="ET89" s="141"/>
      <c r="EU89" s="141"/>
      <c r="EV89" s="141"/>
      <c r="EW89" s="141"/>
      <c r="EX89" s="141"/>
      <c r="EY89" s="141"/>
      <c r="EZ89" s="141"/>
      <c r="FA89" s="141"/>
      <c r="FB89" s="141"/>
      <c r="FC89" s="141"/>
      <c r="FD89" s="141"/>
      <c r="FE89" s="141"/>
      <c r="FF89" s="141"/>
      <c r="FG89" s="141"/>
      <c r="FH89" s="141"/>
      <c r="FI89" s="141"/>
      <c r="FJ89" s="141"/>
      <c r="FK89" s="141"/>
      <c r="FL89" s="141"/>
      <c r="FM89" s="141"/>
      <c r="FN89" s="141"/>
      <c r="FO89" s="141"/>
      <c r="FP89" s="141"/>
      <c r="FQ89" s="141"/>
      <c r="FR89" s="141"/>
      <c r="FS89" s="141"/>
      <c r="FT89" s="141"/>
      <c r="FU89" s="141"/>
      <c r="FV89" s="141"/>
      <c r="FW89" s="141"/>
      <c r="FX89" s="141"/>
      <c r="FY89" s="141"/>
      <c r="FZ89" s="141"/>
      <c r="GA89" s="141"/>
      <c r="GB89" s="141"/>
      <c r="GC89" s="141"/>
      <c r="GD89" s="141"/>
      <c r="GE89" s="141"/>
      <c r="GF89" s="141"/>
      <c r="GG89" s="141"/>
      <c r="GH89" s="141"/>
      <c r="GI89" s="141"/>
      <c r="GJ89" s="141"/>
      <c r="GK89" s="141"/>
      <c r="GL89" s="141"/>
      <c r="GM89" s="141"/>
      <c r="GN89" s="141"/>
      <c r="GO89" s="141"/>
      <c r="GP89" s="141"/>
      <c r="GQ89" s="141"/>
      <c r="GR89" s="141"/>
      <c r="GS89" s="141"/>
      <c r="GT89" s="141"/>
      <c r="GU89" s="141"/>
      <c r="GV89" s="141"/>
      <c r="GW89" s="141"/>
      <c r="GX89" s="141"/>
      <c r="GY89" s="141"/>
      <c r="GZ89" s="141"/>
      <c r="HA89" s="141"/>
      <c r="HB89" s="141"/>
      <c r="HC89" s="141"/>
      <c r="HD89" s="141"/>
      <c r="HE89" s="141"/>
      <c r="HF89" s="141"/>
      <c r="HG89" s="141"/>
      <c r="HH89" s="141"/>
      <c r="HI89" s="141"/>
      <c r="HJ89" s="141"/>
      <c r="HK89" s="141"/>
      <c r="HL89" s="141"/>
      <c r="HM89" s="141"/>
      <c r="HN89" s="141"/>
      <c r="HO89" s="141"/>
      <c r="HP89" s="141"/>
      <c r="HQ89" s="141"/>
      <c r="HR89" s="141"/>
      <c r="HS89" s="141"/>
      <c r="HT89" s="141"/>
      <c r="HU89" s="141"/>
      <c r="HV89" s="141"/>
      <c r="HW89" s="141"/>
      <c r="HX89" s="141"/>
      <c r="HY89" s="141"/>
      <c r="HZ89" s="141"/>
      <c r="IA89" s="141"/>
      <c r="IB89" s="141"/>
      <c r="IC89" s="141"/>
      <c r="ID89" s="141"/>
      <c r="IE89" s="141"/>
      <c r="IF89" s="141"/>
      <c r="IG89" s="141"/>
      <c r="IH89" s="141"/>
      <c r="II89" s="141"/>
      <c r="IJ89" s="141"/>
      <c r="IK89" s="141"/>
      <c r="IL89" s="141"/>
      <c r="IM89" s="141"/>
      <c r="IN89" s="141"/>
      <c r="IO89" s="141"/>
      <c r="IP89" s="141"/>
      <c r="IQ89" s="141"/>
      <c r="IR89" s="141"/>
      <c r="IS89" s="141"/>
      <c r="IT89" s="141"/>
      <c r="IU89" s="141"/>
      <c r="IV89" s="141"/>
      <c r="IW89" s="141"/>
      <c r="IX89" s="141"/>
      <c r="IY89" s="141"/>
      <c r="IZ89" s="141"/>
      <c r="JA89" s="141"/>
      <c r="JB89" s="141"/>
      <c r="JC89" s="141"/>
      <c r="JD89" s="141"/>
      <c r="JE89" s="141"/>
      <c r="JF89" s="141"/>
      <c r="JG89" s="141"/>
      <c r="JH89" s="141"/>
      <c r="JI89" s="141"/>
      <c r="JJ89" s="141"/>
      <c r="JK89" s="141"/>
      <c r="JL89" s="141"/>
      <c r="JM89" s="141"/>
      <c r="JN89" s="141"/>
      <c r="JO89" s="141"/>
      <c r="JP89" s="141"/>
      <c r="JQ89" s="141"/>
      <c r="JR89" s="141"/>
      <c r="JS89" s="141"/>
      <c r="JT89" s="141"/>
      <c r="JU89" s="141"/>
      <c r="JV89" s="141"/>
      <c r="JW89" s="141"/>
      <c r="JX89" s="141"/>
      <c r="JY89" s="141"/>
      <c r="JZ89" s="141"/>
      <c r="KA89" s="141"/>
      <c r="KB89" s="141"/>
      <c r="KC89" s="141"/>
      <c r="KD89" s="141"/>
      <c r="KE89" s="141"/>
      <c r="KF89" s="141"/>
      <c r="KG89" s="141"/>
      <c r="KH89" s="141"/>
      <c r="KI89" s="141"/>
      <c r="KJ89" s="141"/>
      <c r="KK89" s="141"/>
      <c r="KL89" s="141"/>
      <c r="KM89" s="141"/>
      <c r="KN89" s="141"/>
    </row>
    <row r="90" spans="1:300" s="3" customFormat="1" ht="31.5" customHeight="1">
      <c r="A90" s="148"/>
      <c r="B90" s="8"/>
      <c r="C90" s="36"/>
      <c r="D90" s="36"/>
      <c r="E90" s="35"/>
      <c r="F90" s="35"/>
      <c r="G90" s="35"/>
      <c r="H90" s="151"/>
      <c r="I90" s="154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  <c r="BZ90" s="141"/>
      <c r="CA90" s="141"/>
      <c r="CB90" s="141"/>
      <c r="CC90" s="141"/>
      <c r="CD90" s="141"/>
      <c r="CE90" s="141"/>
      <c r="CF90" s="141"/>
      <c r="CG90" s="141"/>
      <c r="CH90" s="141"/>
      <c r="CI90" s="141"/>
      <c r="CJ90" s="141"/>
      <c r="CK90" s="141"/>
      <c r="CL90" s="141"/>
      <c r="CM90" s="141"/>
      <c r="CN90" s="141"/>
      <c r="CO90" s="141"/>
      <c r="CP90" s="141"/>
      <c r="CQ90" s="141"/>
      <c r="CR90" s="141"/>
      <c r="CS90" s="141"/>
      <c r="CT90" s="141"/>
      <c r="CU90" s="141"/>
      <c r="CV90" s="141"/>
      <c r="CW90" s="141"/>
      <c r="CX90" s="141"/>
      <c r="CY90" s="141"/>
      <c r="CZ90" s="141"/>
      <c r="DA90" s="141"/>
      <c r="DB90" s="141"/>
      <c r="DC90" s="141"/>
      <c r="DD90" s="141"/>
      <c r="DE90" s="141"/>
      <c r="DF90" s="141"/>
      <c r="DG90" s="141"/>
      <c r="DH90" s="141"/>
      <c r="DI90" s="141"/>
      <c r="DJ90" s="141"/>
      <c r="DK90" s="141"/>
      <c r="DL90" s="141"/>
      <c r="DM90" s="141"/>
      <c r="DN90" s="141"/>
      <c r="DO90" s="141"/>
      <c r="DP90" s="141"/>
      <c r="DQ90" s="141"/>
      <c r="DR90" s="141"/>
      <c r="DS90" s="141"/>
      <c r="DT90" s="141"/>
      <c r="DU90" s="141"/>
      <c r="DV90" s="141"/>
      <c r="DW90" s="141"/>
      <c r="DX90" s="141"/>
      <c r="DY90" s="141"/>
      <c r="DZ90" s="141"/>
      <c r="EA90" s="141"/>
      <c r="EB90" s="141"/>
      <c r="EC90" s="141"/>
      <c r="ED90" s="141"/>
      <c r="EE90" s="141"/>
      <c r="EF90" s="141"/>
      <c r="EG90" s="141"/>
      <c r="EH90" s="141"/>
      <c r="EI90" s="141"/>
      <c r="EJ90" s="141"/>
      <c r="EK90" s="141"/>
      <c r="EL90" s="141"/>
      <c r="EM90" s="141"/>
      <c r="EN90" s="141"/>
      <c r="EO90" s="141"/>
      <c r="EP90" s="141"/>
      <c r="EQ90" s="141"/>
      <c r="ER90" s="141"/>
      <c r="ES90" s="141"/>
      <c r="ET90" s="141"/>
      <c r="EU90" s="141"/>
      <c r="EV90" s="141"/>
      <c r="EW90" s="141"/>
      <c r="EX90" s="141"/>
      <c r="EY90" s="141"/>
      <c r="EZ90" s="141"/>
      <c r="FA90" s="141"/>
      <c r="FB90" s="141"/>
      <c r="FC90" s="141"/>
      <c r="FD90" s="141"/>
      <c r="FE90" s="141"/>
      <c r="FF90" s="141"/>
      <c r="FG90" s="141"/>
      <c r="FH90" s="141"/>
      <c r="FI90" s="141"/>
      <c r="FJ90" s="141"/>
      <c r="FK90" s="141"/>
      <c r="FL90" s="141"/>
      <c r="FM90" s="141"/>
      <c r="FN90" s="141"/>
      <c r="FO90" s="141"/>
      <c r="FP90" s="141"/>
      <c r="FQ90" s="141"/>
      <c r="FR90" s="141"/>
      <c r="FS90" s="141"/>
      <c r="FT90" s="141"/>
      <c r="FU90" s="141"/>
      <c r="FV90" s="141"/>
      <c r="FW90" s="141"/>
      <c r="FX90" s="141"/>
      <c r="FY90" s="141"/>
      <c r="FZ90" s="141"/>
      <c r="GA90" s="141"/>
      <c r="GB90" s="141"/>
      <c r="GC90" s="141"/>
      <c r="GD90" s="141"/>
      <c r="GE90" s="141"/>
      <c r="GF90" s="141"/>
      <c r="GG90" s="141"/>
      <c r="GH90" s="141"/>
      <c r="GI90" s="141"/>
      <c r="GJ90" s="141"/>
      <c r="GK90" s="141"/>
      <c r="GL90" s="141"/>
      <c r="GM90" s="141"/>
      <c r="GN90" s="141"/>
      <c r="GO90" s="141"/>
      <c r="GP90" s="141"/>
      <c r="GQ90" s="141"/>
      <c r="GR90" s="141"/>
      <c r="GS90" s="141"/>
      <c r="GT90" s="141"/>
      <c r="GU90" s="141"/>
      <c r="GV90" s="141"/>
      <c r="GW90" s="141"/>
      <c r="GX90" s="141"/>
      <c r="GY90" s="141"/>
      <c r="GZ90" s="141"/>
      <c r="HA90" s="141"/>
      <c r="HB90" s="141"/>
      <c r="HC90" s="141"/>
      <c r="HD90" s="141"/>
      <c r="HE90" s="141"/>
      <c r="HF90" s="141"/>
      <c r="HG90" s="141"/>
      <c r="HH90" s="141"/>
      <c r="HI90" s="141"/>
      <c r="HJ90" s="141"/>
      <c r="HK90" s="141"/>
      <c r="HL90" s="141"/>
      <c r="HM90" s="141"/>
      <c r="HN90" s="141"/>
      <c r="HO90" s="141"/>
      <c r="HP90" s="141"/>
      <c r="HQ90" s="141"/>
      <c r="HR90" s="141"/>
      <c r="HS90" s="141"/>
      <c r="HT90" s="141"/>
      <c r="HU90" s="141"/>
      <c r="HV90" s="141"/>
      <c r="HW90" s="141"/>
      <c r="HX90" s="141"/>
      <c r="HY90" s="141"/>
      <c r="HZ90" s="141"/>
      <c r="IA90" s="141"/>
      <c r="IB90" s="141"/>
      <c r="IC90" s="141"/>
      <c r="ID90" s="141"/>
      <c r="IE90" s="141"/>
      <c r="IF90" s="141"/>
      <c r="IG90" s="141"/>
      <c r="IH90" s="141"/>
      <c r="II90" s="141"/>
      <c r="IJ90" s="141"/>
      <c r="IK90" s="141"/>
      <c r="IL90" s="141"/>
      <c r="IM90" s="141"/>
      <c r="IN90" s="141"/>
      <c r="IO90" s="141"/>
      <c r="IP90" s="141"/>
      <c r="IQ90" s="141"/>
      <c r="IR90" s="141"/>
      <c r="IS90" s="141"/>
      <c r="IT90" s="141"/>
      <c r="IU90" s="141"/>
      <c r="IV90" s="141"/>
      <c r="IW90" s="141"/>
      <c r="IX90" s="141"/>
      <c r="IY90" s="141"/>
      <c r="IZ90" s="141"/>
      <c r="JA90" s="141"/>
      <c r="JB90" s="141"/>
      <c r="JC90" s="141"/>
      <c r="JD90" s="141"/>
      <c r="JE90" s="141"/>
      <c r="JF90" s="141"/>
      <c r="JG90" s="141"/>
      <c r="JH90" s="141"/>
      <c r="JI90" s="141"/>
      <c r="JJ90" s="141"/>
      <c r="JK90" s="141"/>
      <c r="JL90" s="141"/>
      <c r="JM90" s="141"/>
      <c r="JN90" s="141"/>
      <c r="JO90" s="141"/>
      <c r="JP90" s="141"/>
      <c r="JQ90" s="141"/>
      <c r="JR90" s="141"/>
      <c r="JS90" s="141"/>
      <c r="JT90" s="141"/>
      <c r="JU90" s="141"/>
      <c r="JV90" s="141"/>
      <c r="JW90" s="141"/>
      <c r="JX90" s="141"/>
      <c r="JY90" s="141"/>
      <c r="JZ90" s="141"/>
      <c r="KA90" s="141"/>
      <c r="KB90" s="141"/>
      <c r="KC90" s="141"/>
      <c r="KD90" s="141"/>
      <c r="KE90" s="141"/>
      <c r="KF90" s="141"/>
      <c r="KG90" s="141"/>
      <c r="KH90" s="141"/>
      <c r="KI90" s="141"/>
      <c r="KJ90" s="141"/>
      <c r="KK90" s="141"/>
      <c r="KL90" s="141"/>
      <c r="KM90" s="141"/>
      <c r="KN90" s="141"/>
    </row>
    <row r="91" spans="1:300" s="3" customFormat="1" ht="31.5" customHeight="1">
      <c r="A91" s="148"/>
      <c r="B91" s="8"/>
      <c r="C91" s="36"/>
      <c r="D91" s="36"/>
      <c r="E91" s="35"/>
      <c r="F91" s="35"/>
      <c r="G91" s="35"/>
      <c r="H91" s="151"/>
      <c r="I91" s="154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  <c r="BZ91" s="141"/>
      <c r="CA91" s="141"/>
      <c r="CB91" s="141"/>
      <c r="CC91" s="141"/>
      <c r="CD91" s="141"/>
      <c r="CE91" s="141"/>
      <c r="CF91" s="141"/>
      <c r="CG91" s="141"/>
      <c r="CH91" s="141"/>
      <c r="CI91" s="141"/>
      <c r="CJ91" s="141"/>
      <c r="CK91" s="141"/>
      <c r="CL91" s="141"/>
      <c r="CM91" s="141"/>
      <c r="CN91" s="141"/>
      <c r="CO91" s="141"/>
      <c r="CP91" s="141"/>
      <c r="CQ91" s="141"/>
      <c r="CR91" s="141"/>
      <c r="CS91" s="141"/>
      <c r="CT91" s="141"/>
      <c r="CU91" s="141"/>
      <c r="CV91" s="141"/>
      <c r="CW91" s="141"/>
      <c r="CX91" s="141"/>
      <c r="CY91" s="141"/>
      <c r="CZ91" s="141"/>
      <c r="DA91" s="141"/>
      <c r="DB91" s="141"/>
      <c r="DC91" s="141"/>
      <c r="DD91" s="141"/>
      <c r="DE91" s="141"/>
      <c r="DF91" s="141"/>
      <c r="DG91" s="141"/>
      <c r="DH91" s="141"/>
      <c r="DI91" s="141"/>
      <c r="DJ91" s="141"/>
      <c r="DK91" s="141"/>
      <c r="DL91" s="141"/>
      <c r="DM91" s="141"/>
      <c r="DN91" s="141"/>
      <c r="DO91" s="141"/>
      <c r="DP91" s="141"/>
      <c r="DQ91" s="141"/>
      <c r="DR91" s="141"/>
      <c r="DS91" s="141"/>
      <c r="DT91" s="141"/>
      <c r="DU91" s="141"/>
      <c r="DV91" s="141"/>
      <c r="DW91" s="141"/>
      <c r="DX91" s="141"/>
      <c r="DY91" s="141"/>
      <c r="DZ91" s="141"/>
      <c r="EA91" s="141"/>
      <c r="EB91" s="141"/>
      <c r="EC91" s="141"/>
      <c r="ED91" s="141"/>
      <c r="EE91" s="141"/>
      <c r="EF91" s="141"/>
      <c r="EG91" s="141"/>
      <c r="EH91" s="141"/>
      <c r="EI91" s="141"/>
      <c r="EJ91" s="141"/>
      <c r="EK91" s="141"/>
      <c r="EL91" s="141"/>
      <c r="EM91" s="141"/>
      <c r="EN91" s="141"/>
      <c r="EO91" s="141"/>
      <c r="EP91" s="141"/>
      <c r="EQ91" s="141"/>
      <c r="ER91" s="141"/>
      <c r="ES91" s="141"/>
      <c r="ET91" s="141"/>
      <c r="EU91" s="141"/>
      <c r="EV91" s="141"/>
      <c r="EW91" s="141"/>
      <c r="EX91" s="141"/>
      <c r="EY91" s="141"/>
      <c r="EZ91" s="141"/>
      <c r="FA91" s="141"/>
      <c r="FB91" s="141"/>
      <c r="FC91" s="141"/>
      <c r="FD91" s="141"/>
      <c r="FE91" s="141"/>
      <c r="FF91" s="141"/>
      <c r="FG91" s="141"/>
      <c r="FH91" s="141"/>
      <c r="FI91" s="141"/>
      <c r="FJ91" s="141"/>
      <c r="FK91" s="141"/>
      <c r="FL91" s="141"/>
      <c r="FM91" s="141"/>
      <c r="FN91" s="141"/>
      <c r="FO91" s="141"/>
      <c r="FP91" s="141"/>
      <c r="FQ91" s="141"/>
      <c r="FR91" s="141"/>
      <c r="FS91" s="141"/>
      <c r="FT91" s="141"/>
      <c r="FU91" s="141"/>
      <c r="FV91" s="141"/>
      <c r="FW91" s="141"/>
      <c r="FX91" s="141"/>
      <c r="FY91" s="141"/>
      <c r="FZ91" s="141"/>
      <c r="GA91" s="141"/>
      <c r="GB91" s="141"/>
      <c r="GC91" s="141"/>
      <c r="GD91" s="141"/>
      <c r="GE91" s="141"/>
      <c r="GF91" s="141"/>
      <c r="GG91" s="141"/>
      <c r="GH91" s="141"/>
      <c r="GI91" s="141"/>
      <c r="GJ91" s="141"/>
      <c r="GK91" s="141"/>
      <c r="GL91" s="141"/>
      <c r="GM91" s="141"/>
      <c r="GN91" s="141"/>
      <c r="GO91" s="141"/>
      <c r="GP91" s="141"/>
      <c r="GQ91" s="141"/>
      <c r="GR91" s="141"/>
      <c r="GS91" s="141"/>
      <c r="GT91" s="141"/>
      <c r="GU91" s="141"/>
      <c r="GV91" s="141"/>
      <c r="GW91" s="141"/>
      <c r="GX91" s="141"/>
      <c r="GY91" s="141"/>
      <c r="GZ91" s="141"/>
      <c r="HA91" s="141"/>
      <c r="HB91" s="141"/>
      <c r="HC91" s="141"/>
      <c r="HD91" s="141"/>
      <c r="HE91" s="141"/>
      <c r="HF91" s="141"/>
      <c r="HG91" s="141"/>
      <c r="HH91" s="141"/>
      <c r="HI91" s="141"/>
      <c r="HJ91" s="141"/>
      <c r="HK91" s="141"/>
      <c r="HL91" s="141"/>
      <c r="HM91" s="141"/>
      <c r="HN91" s="141"/>
      <c r="HO91" s="141"/>
      <c r="HP91" s="141"/>
      <c r="HQ91" s="141"/>
      <c r="HR91" s="141"/>
      <c r="HS91" s="141"/>
      <c r="HT91" s="141"/>
      <c r="HU91" s="141"/>
      <c r="HV91" s="141"/>
      <c r="HW91" s="141"/>
      <c r="HX91" s="141"/>
      <c r="HY91" s="141"/>
      <c r="HZ91" s="141"/>
      <c r="IA91" s="141"/>
      <c r="IB91" s="141"/>
      <c r="IC91" s="141"/>
      <c r="ID91" s="141"/>
      <c r="IE91" s="141"/>
      <c r="IF91" s="141"/>
      <c r="IG91" s="141"/>
      <c r="IH91" s="141"/>
      <c r="II91" s="141"/>
      <c r="IJ91" s="141"/>
      <c r="IK91" s="141"/>
      <c r="IL91" s="141"/>
      <c r="IM91" s="141"/>
      <c r="IN91" s="141"/>
      <c r="IO91" s="141"/>
      <c r="IP91" s="141"/>
      <c r="IQ91" s="141"/>
      <c r="IR91" s="141"/>
      <c r="IS91" s="141"/>
      <c r="IT91" s="141"/>
      <c r="IU91" s="141"/>
      <c r="IV91" s="141"/>
      <c r="IW91" s="141"/>
      <c r="IX91" s="141"/>
      <c r="IY91" s="141"/>
      <c r="IZ91" s="141"/>
      <c r="JA91" s="141"/>
      <c r="JB91" s="141"/>
      <c r="JC91" s="141"/>
      <c r="JD91" s="141"/>
      <c r="JE91" s="141"/>
      <c r="JF91" s="141"/>
      <c r="JG91" s="141"/>
      <c r="JH91" s="141"/>
      <c r="JI91" s="141"/>
      <c r="JJ91" s="141"/>
      <c r="JK91" s="141"/>
      <c r="JL91" s="141"/>
      <c r="JM91" s="141"/>
      <c r="JN91" s="141"/>
      <c r="JO91" s="141"/>
      <c r="JP91" s="141"/>
      <c r="JQ91" s="141"/>
      <c r="JR91" s="141"/>
      <c r="JS91" s="141"/>
      <c r="JT91" s="141"/>
      <c r="JU91" s="141"/>
      <c r="JV91" s="141"/>
      <c r="JW91" s="141"/>
      <c r="JX91" s="141"/>
      <c r="JY91" s="141"/>
      <c r="JZ91" s="141"/>
      <c r="KA91" s="141"/>
      <c r="KB91" s="141"/>
      <c r="KC91" s="141"/>
      <c r="KD91" s="141"/>
      <c r="KE91" s="141"/>
      <c r="KF91" s="141"/>
      <c r="KG91" s="141"/>
      <c r="KH91" s="141"/>
      <c r="KI91" s="141"/>
      <c r="KJ91" s="141"/>
      <c r="KK91" s="141"/>
      <c r="KL91" s="141"/>
      <c r="KM91" s="141"/>
      <c r="KN91" s="141"/>
    </row>
    <row r="92" spans="1:300" s="3" customFormat="1" ht="31.5" customHeight="1">
      <c r="A92" s="148"/>
      <c r="B92" s="8"/>
      <c r="C92" s="36"/>
      <c r="D92" s="36"/>
      <c r="E92" s="35"/>
      <c r="F92" s="35"/>
      <c r="G92" s="35"/>
      <c r="H92" s="151"/>
      <c r="I92" s="154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BZ92" s="141"/>
      <c r="CA92" s="141"/>
      <c r="CB92" s="141"/>
      <c r="CC92" s="141"/>
      <c r="CD92" s="141"/>
      <c r="CE92" s="141"/>
      <c r="CF92" s="141"/>
      <c r="CG92" s="141"/>
      <c r="CH92" s="141"/>
      <c r="CI92" s="141"/>
      <c r="CJ92" s="141"/>
      <c r="CK92" s="141"/>
      <c r="CL92" s="141"/>
      <c r="CM92" s="141"/>
      <c r="CN92" s="141"/>
      <c r="CO92" s="141"/>
      <c r="CP92" s="141"/>
      <c r="CQ92" s="141"/>
      <c r="CR92" s="141"/>
      <c r="CS92" s="141"/>
      <c r="CT92" s="141"/>
      <c r="CU92" s="141"/>
      <c r="CV92" s="141"/>
      <c r="CW92" s="141"/>
      <c r="CX92" s="141"/>
      <c r="CY92" s="141"/>
      <c r="CZ92" s="141"/>
      <c r="DA92" s="141"/>
      <c r="DB92" s="141"/>
      <c r="DC92" s="141"/>
      <c r="DD92" s="141"/>
      <c r="DE92" s="141"/>
      <c r="DF92" s="141"/>
      <c r="DG92" s="141"/>
      <c r="DH92" s="141"/>
      <c r="DI92" s="141"/>
      <c r="DJ92" s="141"/>
      <c r="DK92" s="141"/>
      <c r="DL92" s="141"/>
      <c r="DM92" s="141"/>
      <c r="DN92" s="141"/>
      <c r="DO92" s="141"/>
      <c r="DP92" s="141"/>
      <c r="DQ92" s="141"/>
      <c r="DR92" s="141"/>
      <c r="DS92" s="141"/>
      <c r="DT92" s="141"/>
      <c r="DU92" s="141"/>
      <c r="DV92" s="141"/>
      <c r="DW92" s="141"/>
      <c r="DX92" s="141"/>
      <c r="DY92" s="141"/>
      <c r="DZ92" s="141"/>
      <c r="EA92" s="141"/>
      <c r="EB92" s="141"/>
      <c r="EC92" s="141"/>
      <c r="ED92" s="141"/>
      <c r="EE92" s="141"/>
      <c r="EF92" s="141"/>
      <c r="EG92" s="141"/>
      <c r="EH92" s="141"/>
      <c r="EI92" s="141"/>
      <c r="EJ92" s="141"/>
      <c r="EK92" s="141"/>
      <c r="EL92" s="141"/>
      <c r="EM92" s="141"/>
      <c r="EN92" s="141"/>
      <c r="EO92" s="141"/>
      <c r="EP92" s="141"/>
      <c r="EQ92" s="141"/>
      <c r="ER92" s="141"/>
      <c r="ES92" s="141"/>
      <c r="ET92" s="141"/>
      <c r="EU92" s="141"/>
      <c r="EV92" s="141"/>
      <c r="EW92" s="141"/>
      <c r="EX92" s="141"/>
      <c r="EY92" s="141"/>
      <c r="EZ92" s="141"/>
      <c r="FA92" s="141"/>
      <c r="FB92" s="141"/>
      <c r="FC92" s="141"/>
      <c r="FD92" s="141"/>
      <c r="FE92" s="141"/>
      <c r="FF92" s="141"/>
      <c r="FG92" s="141"/>
      <c r="FH92" s="141"/>
      <c r="FI92" s="141"/>
      <c r="FJ92" s="141"/>
      <c r="FK92" s="141"/>
      <c r="FL92" s="141"/>
      <c r="FM92" s="141"/>
      <c r="FN92" s="141"/>
      <c r="FO92" s="141"/>
      <c r="FP92" s="141"/>
      <c r="FQ92" s="141"/>
      <c r="FR92" s="141"/>
      <c r="FS92" s="141"/>
      <c r="FT92" s="141"/>
      <c r="FU92" s="141"/>
      <c r="FV92" s="141"/>
      <c r="FW92" s="141"/>
      <c r="FX92" s="141"/>
      <c r="FY92" s="141"/>
      <c r="FZ92" s="141"/>
      <c r="GA92" s="141"/>
      <c r="GB92" s="141"/>
      <c r="GC92" s="141"/>
      <c r="GD92" s="141"/>
      <c r="GE92" s="141"/>
      <c r="GF92" s="141"/>
      <c r="GG92" s="141"/>
      <c r="GH92" s="141"/>
      <c r="GI92" s="141"/>
      <c r="GJ92" s="141"/>
      <c r="GK92" s="141"/>
      <c r="GL92" s="141"/>
      <c r="GM92" s="141"/>
      <c r="GN92" s="141"/>
      <c r="GO92" s="141"/>
      <c r="GP92" s="141"/>
      <c r="GQ92" s="141"/>
      <c r="GR92" s="141"/>
      <c r="GS92" s="141"/>
      <c r="GT92" s="141"/>
      <c r="GU92" s="141"/>
      <c r="GV92" s="141"/>
      <c r="GW92" s="141"/>
      <c r="GX92" s="141"/>
      <c r="GY92" s="141"/>
      <c r="GZ92" s="141"/>
      <c r="HA92" s="141"/>
      <c r="HB92" s="141"/>
      <c r="HC92" s="141"/>
      <c r="HD92" s="141"/>
      <c r="HE92" s="141"/>
      <c r="HF92" s="141"/>
      <c r="HG92" s="141"/>
      <c r="HH92" s="141"/>
      <c r="HI92" s="141"/>
      <c r="HJ92" s="141"/>
      <c r="HK92" s="141"/>
      <c r="HL92" s="141"/>
      <c r="HM92" s="141"/>
      <c r="HN92" s="141"/>
      <c r="HO92" s="141"/>
      <c r="HP92" s="141"/>
      <c r="HQ92" s="141"/>
      <c r="HR92" s="141"/>
      <c r="HS92" s="141"/>
      <c r="HT92" s="141"/>
      <c r="HU92" s="141"/>
      <c r="HV92" s="141"/>
      <c r="HW92" s="141"/>
      <c r="HX92" s="141"/>
      <c r="HY92" s="141"/>
      <c r="HZ92" s="141"/>
      <c r="IA92" s="141"/>
      <c r="IB92" s="141"/>
      <c r="IC92" s="141"/>
      <c r="ID92" s="141"/>
      <c r="IE92" s="141"/>
      <c r="IF92" s="141"/>
      <c r="IG92" s="141"/>
      <c r="IH92" s="141"/>
      <c r="II92" s="141"/>
      <c r="IJ92" s="141"/>
      <c r="IK92" s="141"/>
      <c r="IL92" s="141"/>
      <c r="IM92" s="141"/>
      <c r="IN92" s="141"/>
      <c r="IO92" s="141"/>
      <c r="IP92" s="141"/>
      <c r="IQ92" s="141"/>
      <c r="IR92" s="141"/>
      <c r="IS92" s="141"/>
      <c r="IT92" s="141"/>
      <c r="IU92" s="141"/>
      <c r="IV92" s="141"/>
      <c r="IW92" s="141"/>
      <c r="IX92" s="141"/>
      <c r="IY92" s="141"/>
      <c r="IZ92" s="141"/>
      <c r="JA92" s="141"/>
      <c r="JB92" s="141"/>
      <c r="JC92" s="141"/>
      <c r="JD92" s="141"/>
      <c r="JE92" s="141"/>
      <c r="JF92" s="141"/>
      <c r="JG92" s="141"/>
      <c r="JH92" s="141"/>
      <c r="JI92" s="141"/>
      <c r="JJ92" s="141"/>
      <c r="JK92" s="141"/>
      <c r="JL92" s="141"/>
      <c r="JM92" s="141"/>
      <c r="JN92" s="141"/>
      <c r="JO92" s="141"/>
      <c r="JP92" s="141"/>
      <c r="JQ92" s="141"/>
      <c r="JR92" s="141"/>
      <c r="JS92" s="141"/>
      <c r="JT92" s="141"/>
      <c r="JU92" s="141"/>
      <c r="JV92" s="141"/>
      <c r="JW92" s="141"/>
      <c r="JX92" s="141"/>
      <c r="JY92" s="141"/>
      <c r="JZ92" s="141"/>
      <c r="KA92" s="141"/>
      <c r="KB92" s="141"/>
      <c r="KC92" s="141"/>
      <c r="KD92" s="141"/>
      <c r="KE92" s="141"/>
      <c r="KF92" s="141"/>
      <c r="KG92" s="141"/>
      <c r="KH92" s="141"/>
      <c r="KI92" s="141"/>
      <c r="KJ92" s="141"/>
      <c r="KK92" s="141"/>
      <c r="KL92" s="141"/>
      <c r="KM92" s="141"/>
      <c r="KN92" s="141"/>
    </row>
    <row r="93" spans="1:300" s="3" customFormat="1" ht="31.5" customHeight="1">
      <c r="A93" s="148"/>
      <c r="B93" s="8"/>
      <c r="C93" s="36"/>
      <c r="D93" s="36"/>
      <c r="E93" s="35"/>
      <c r="F93" s="35"/>
      <c r="G93" s="35"/>
      <c r="H93" s="151"/>
      <c r="I93" s="154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BZ93" s="141"/>
      <c r="CA93" s="141"/>
      <c r="CB93" s="141"/>
      <c r="CC93" s="141"/>
      <c r="CD93" s="141"/>
      <c r="CE93" s="141"/>
      <c r="CF93" s="141"/>
      <c r="CG93" s="141"/>
      <c r="CH93" s="141"/>
      <c r="CI93" s="141"/>
      <c r="CJ93" s="141"/>
      <c r="CK93" s="141"/>
      <c r="CL93" s="141"/>
      <c r="CM93" s="141"/>
      <c r="CN93" s="141"/>
      <c r="CO93" s="141"/>
      <c r="CP93" s="141"/>
      <c r="CQ93" s="141"/>
      <c r="CR93" s="141"/>
      <c r="CS93" s="141"/>
      <c r="CT93" s="141"/>
      <c r="CU93" s="141"/>
      <c r="CV93" s="141"/>
      <c r="CW93" s="141"/>
      <c r="CX93" s="141"/>
      <c r="CY93" s="141"/>
      <c r="CZ93" s="141"/>
      <c r="DA93" s="141"/>
      <c r="DB93" s="141"/>
      <c r="DC93" s="141"/>
      <c r="DD93" s="141"/>
      <c r="DE93" s="141"/>
      <c r="DF93" s="141"/>
      <c r="DG93" s="141"/>
      <c r="DH93" s="141"/>
      <c r="DI93" s="141"/>
      <c r="DJ93" s="141"/>
      <c r="DK93" s="141"/>
      <c r="DL93" s="141"/>
      <c r="DM93" s="141"/>
      <c r="DN93" s="141"/>
      <c r="DO93" s="141"/>
      <c r="DP93" s="141"/>
      <c r="DQ93" s="141"/>
      <c r="DR93" s="141"/>
      <c r="DS93" s="141"/>
      <c r="DT93" s="141"/>
      <c r="DU93" s="141"/>
      <c r="DV93" s="141"/>
      <c r="DW93" s="141"/>
      <c r="DX93" s="141"/>
      <c r="DY93" s="141"/>
      <c r="DZ93" s="141"/>
      <c r="EA93" s="141"/>
      <c r="EB93" s="141"/>
      <c r="EC93" s="141"/>
      <c r="ED93" s="141"/>
      <c r="EE93" s="141"/>
      <c r="EF93" s="141"/>
      <c r="EG93" s="141"/>
      <c r="EH93" s="141"/>
      <c r="EI93" s="141"/>
      <c r="EJ93" s="141"/>
      <c r="EK93" s="141"/>
      <c r="EL93" s="141"/>
      <c r="EM93" s="141"/>
      <c r="EN93" s="141"/>
      <c r="EO93" s="141"/>
      <c r="EP93" s="141"/>
      <c r="EQ93" s="141"/>
      <c r="ER93" s="141"/>
      <c r="ES93" s="141"/>
      <c r="ET93" s="141"/>
      <c r="EU93" s="141"/>
      <c r="EV93" s="141"/>
      <c r="EW93" s="141"/>
      <c r="EX93" s="141"/>
      <c r="EY93" s="141"/>
      <c r="EZ93" s="141"/>
      <c r="FA93" s="141"/>
      <c r="FB93" s="141"/>
      <c r="FC93" s="141"/>
      <c r="FD93" s="141"/>
      <c r="FE93" s="141"/>
      <c r="FF93" s="141"/>
      <c r="FG93" s="141"/>
      <c r="FH93" s="141"/>
      <c r="FI93" s="141"/>
      <c r="FJ93" s="141"/>
      <c r="FK93" s="141"/>
      <c r="FL93" s="141"/>
      <c r="FM93" s="141"/>
      <c r="FN93" s="141"/>
      <c r="FO93" s="141"/>
      <c r="FP93" s="141"/>
      <c r="FQ93" s="141"/>
      <c r="FR93" s="141"/>
      <c r="FS93" s="141"/>
      <c r="FT93" s="141"/>
      <c r="FU93" s="141"/>
      <c r="FV93" s="141"/>
      <c r="FW93" s="141"/>
      <c r="FX93" s="141"/>
      <c r="FY93" s="141"/>
      <c r="FZ93" s="141"/>
      <c r="GA93" s="141"/>
      <c r="GB93" s="141"/>
      <c r="GC93" s="141"/>
      <c r="GD93" s="141"/>
      <c r="GE93" s="141"/>
      <c r="GF93" s="141"/>
      <c r="GG93" s="141"/>
      <c r="GH93" s="141"/>
      <c r="GI93" s="141"/>
      <c r="GJ93" s="141"/>
      <c r="GK93" s="141"/>
      <c r="GL93" s="141"/>
      <c r="GM93" s="141"/>
      <c r="GN93" s="141"/>
      <c r="GO93" s="141"/>
      <c r="GP93" s="141"/>
      <c r="GQ93" s="141"/>
      <c r="GR93" s="141"/>
      <c r="GS93" s="141"/>
      <c r="GT93" s="141"/>
      <c r="GU93" s="141"/>
      <c r="GV93" s="141"/>
      <c r="GW93" s="141"/>
      <c r="GX93" s="141"/>
      <c r="GY93" s="141"/>
      <c r="GZ93" s="141"/>
      <c r="HA93" s="141"/>
      <c r="HB93" s="141"/>
      <c r="HC93" s="141"/>
      <c r="HD93" s="141"/>
      <c r="HE93" s="141"/>
      <c r="HF93" s="141"/>
      <c r="HG93" s="141"/>
      <c r="HH93" s="141"/>
      <c r="HI93" s="141"/>
      <c r="HJ93" s="141"/>
      <c r="HK93" s="141"/>
      <c r="HL93" s="141"/>
      <c r="HM93" s="141"/>
      <c r="HN93" s="141"/>
      <c r="HO93" s="141"/>
      <c r="HP93" s="141"/>
      <c r="HQ93" s="141"/>
      <c r="HR93" s="141"/>
      <c r="HS93" s="141"/>
      <c r="HT93" s="141"/>
      <c r="HU93" s="141"/>
      <c r="HV93" s="141"/>
      <c r="HW93" s="141"/>
      <c r="HX93" s="141"/>
      <c r="HY93" s="141"/>
      <c r="HZ93" s="141"/>
      <c r="IA93" s="141"/>
      <c r="IB93" s="141"/>
      <c r="IC93" s="141"/>
      <c r="ID93" s="141"/>
      <c r="IE93" s="141"/>
      <c r="IF93" s="141"/>
      <c r="IG93" s="141"/>
      <c r="IH93" s="141"/>
      <c r="II93" s="141"/>
      <c r="IJ93" s="141"/>
      <c r="IK93" s="141"/>
      <c r="IL93" s="141"/>
      <c r="IM93" s="141"/>
      <c r="IN93" s="141"/>
      <c r="IO93" s="141"/>
      <c r="IP93" s="141"/>
      <c r="IQ93" s="141"/>
      <c r="IR93" s="141"/>
      <c r="IS93" s="141"/>
      <c r="IT93" s="141"/>
      <c r="IU93" s="141"/>
      <c r="IV93" s="141"/>
      <c r="IW93" s="141"/>
      <c r="IX93" s="141"/>
      <c r="IY93" s="141"/>
      <c r="IZ93" s="141"/>
      <c r="JA93" s="141"/>
      <c r="JB93" s="141"/>
      <c r="JC93" s="141"/>
      <c r="JD93" s="141"/>
      <c r="JE93" s="141"/>
      <c r="JF93" s="141"/>
      <c r="JG93" s="141"/>
      <c r="JH93" s="141"/>
      <c r="JI93" s="141"/>
      <c r="JJ93" s="141"/>
      <c r="JK93" s="141"/>
      <c r="JL93" s="141"/>
      <c r="JM93" s="141"/>
      <c r="JN93" s="141"/>
      <c r="JO93" s="141"/>
      <c r="JP93" s="141"/>
      <c r="JQ93" s="141"/>
      <c r="JR93" s="141"/>
      <c r="JS93" s="141"/>
      <c r="JT93" s="141"/>
      <c r="JU93" s="141"/>
      <c r="JV93" s="141"/>
      <c r="JW93" s="141"/>
      <c r="JX93" s="141"/>
      <c r="JY93" s="141"/>
      <c r="JZ93" s="141"/>
      <c r="KA93" s="141"/>
      <c r="KB93" s="141"/>
      <c r="KC93" s="141"/>
      <c r="KD93" s="141"/>
      <c r="KE93" s="141"/>
      <c r="KF93" s="141"/>
      <c r="KG93" s="141"/>
      <c r="KH93" s="141"/>
      <c r="KI93" s="141"/>
      <c r="KJ93" s="141"/>
      <c r="KK93" s="141"/>
      <c r="KL93" s="141"/>
      <c r="KM93" s="141"/>
      <c r="KN93" s="141"/>
    </row>
    <row r="94" spans="1:300" s="3" customFormat="1" ht="31.5" customHeight="1">
      <c r="A94" s="148"/>
      <c r="B94" s="8"/>
      <c r="C94" s="36"/>
      <c r="D94" s="36"/>
      <c r="E94" s="35"/>
      <c r="F94" s="35"/>
      <c r="G94" s="35"/>
      <c r="H94" s="151"/>
      <c r="I94" s="154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BZ94" s="141"/>
      <c r="CA94" s="141"/>
      <c r="CB94" s="141"/>
      <c r="CC94" s="141"/>
      <c r="CD94" s="141"/>
      <c r="CE94" s="141"/>
      <c r="CF94" s="141"/>
      <c r="CG94" s="141"/>
      <c r="CH94" s="141"/>
      <c r="CI94" s="141"/>
      <c r="CJ94" s="141"/>
      <c r="CK94" s="141"/>
      <c r="CL94" s="141"/>
      <c r="CM94" s="141"/>
      <c r="CN94" s="141"/>
      <c r="CO94" s="141"/>
      <c r="CP94" s="141"/>
      <c r="CQ94" s="141"/>
      <c r="CR94" s="141"/>
      <c r="CS94" s="141"/>
      <c r="CT94" s="141"/>
      <c r="CU94" s="141"/>
      <c r="CV94" s="141"/>
      <c r="CW94" s="141"/>
      <c r="CX94" s="141"/>
      <c r="CY94" s="141"/>
      <c r="CZ94" s="141"/>
      <c r="DA94" s="141"/>
      <c r="DB94" s="141"/>
      <c r="DC94" s="141"/>
      <c r="DD94" s="141"/>
      <c r="DE94" s="141"/>
      <c r="DF94" s="141"/>
      <c r="DG94" s="141"/>
      <c r="DH94" s="141"/>
      <c r="DI94" s="141"/>
      <c r="DJ94" s="141"/>
      <c r="DK94" s="141"/>
      <c r="DL94" s="141"/>
      <c r="DM94" s="141"/>
      <c r="DN94" s="141"/>
      <c r="DO94" s="141"/>
      <c r="DP94" s="141"/>
      <c r="DQ94" s="141"/>
      <c r="DR94" s="141"/>
      <c r="DS94" s="141"/>
      <c r="DT94" s="141"/>
      <c r="DU94" s="141"/>
      <c r="DV94" s="141"/>
      <c r="DW94" s="141"/>
      <c r="DX94" s="141"/>
      <c r="DY94" s="141"/>
      <c r="DZ94" s="141"/>
      <c r="EA94" s="141"/>
      <c r="EB94" s="141"/>
      <c r="EC94" s="141"/>
      <c r="ED94" s="141"/>
      <c r="EE94" s="141"/>
      <c r="EF94" s="141"/>
      <c r="EG94" s="141"/>
      <c r="EH94" s="141"/>
      <c r="EI94" s="141"/>
      <c r="EJ94" s="141"/>
      <c r="EK94" s="141"/>
      <c r="EL94" s="141"/>
      <c r="EM94" s="141"/>
      <c r="EN94" s="141"/>
      <c r="EO94" s="141"/>
      <c r="EP94" s="141"/>
      <c r="EQ94" s="141"/>
      <c r="ER94" s="141"/>
      <c r="ES94" s="141"/>
      <c r="ET94" s="141"/>
      <c r="EU94" s="141"/>
      <c r="EV94" s="141"/>
      <c r="EW94" s="141"/>
      <c r="EX94" s="141"/>
      <c r="EY94" s="141"/>
      <c r="EZ94" s="141"/>
      <c r="FA94" s="141"/>
      <c r="FB94" s="141"/>
      <c r="FC94" s="141"/>
      <c r="FD94" s="141"/>
      <c r="FE94" s="141"/>
      <c r="FF94" s="141"/>
      <c r="FG94" s="141"/>
      <c r="FH94" s="141"/>
      <c r="FI94" s="141"/>
      <c r="FJ94" s="141"/>
      <c r="FK94" s="141"/>
      <c r="FL94" s="141"/>
      <c r="FM94" s="141"/>
      <c r="FN94" s="141"/>
      <c r="FO94" s="141"/>
      <c r="FP94" s="141"/>
      <c r="FQ94" s="141"/>
      <c r="FR94" s="141"/>
      <c r="FS94" s="141"/>
      <c r="FT94" s="141"/>
      <c r="FU94" s="141"/>
      <c r="FV94" s="141"/>
      <c r="FW94" s="141"/>
      <c r="FX94" s="141"/>
      <c r="FY94" s="141"/>
      <c r="FZ94" s="141"/>
      <c r="GA94" s="141"/>
      <c r="GB94" s="141"/>
      <c r="GC94" s="141"/>
      <c r="GD94" s="141"/>
      <c r="GE94" s="141"/>
      <c r="GF94" s="141"/>
      <c r="GG94" s="141"/>
      <c r="GH94" s="141"/>
      <c r="GI94" s="141"/>
      <c r="GJ94" s="141"/>
      <c r="GK94" s="141"/>
      <c r="GL94" s="141"/>
      <c r="GM94" s="141"/>
      <c r="GN94" s="141"/>
      <c r="GO94" s="141"/>
      <c r="GP94" s="141"/>
      <c r="GQ94" s="141"/>
      <c r="GR94" s="141"/>
      <c r="GS94" s="141"/>
      <c r="GT94" s="141"/>
      <c r="GU94" s="141"/>
      <c r="GV94" s="141"/>
      <c r="GW94" s="141"/>
      <c r="GX94" s="141"/>
      <c r="GY94" s="141"/>
      <c r="GZ94" s="141"/>
      <c r="HA94" s="141"/>
      <c r="HB94" s="141"/>
      <c r="HC94" s="141"/>
      <c r="HD94" s="141"/>
      <c r="HE94" s="141"/>
      <c r="HF94" s="141"/>
      <c r="HG94" s="141"/>
      <c r="HH94" s="141"/>
      <c r="HI94" s="141"/>
      <c r="HJ94" s="141"/>
      <c r="HK94" s="141"/>
      <c r="HL94" s="141"/>
      <c r="HM94" s="141"/>
      <c r="HN94" s="141"/>
      <c r="HO94" s="141"/>
      <c r="HP94" s="141"/>
      <c r="HQ94" s="141"/>
      <c r="HR94" s="141"/>
      <c r="HS94" s="141"/>
      <c r="HT94" s="141"/>
      <c r="HU94" s="141"/>
      <c r="HV94" s="141"/>
      <c r="HW94" s="141"/>
      <c r="HX94" s="141"/>
      <c r="HY94" s="141"/>
      <c r="HZ94" s="141"/>
      <c r="IA94" s="141"/>
      <c r="IB94" s="141"/>
      <c r="IC94" s="141"/>
      <c r="ID94" s="141"/>
      <c r="IE94" s="141"/>
      <c r="IF94" s="141"/>
      <c r="IG94" s="141"/>
      <c r="IH94" s="141"/>
      <c r="II94" s="141"/>
      <c r="IJ94" s="141"/>
      <c r="IK94" s="141"/>
      <c r="IL94" s="141"/>
      <c r="IM94" s="141"/>
      <c r="IN94" s="141"/>
      <c r="IO94" s="141"/>
      <c r="IP94" s="141"/>
      <c r="IQ94" s="141"/>
      <c r="IR94" s="141"/>
      <c r="IS94" s="141"/>
      <c r="IT94" s="141"/>
      <c r="IU94" s="141"/>
      <c r="IV94" s="141"/>
      <c r="IW94" s="141"/>
      <c r="IX94" s="141"/>
      <c r="IY94" s="141"/>
      <c r="IZ94" s="141"/>
      <c r="JA94" s="141"/>
      <c r="JB94" s="141"/>
      <c r="JC94" s="141"/>
      <c r="JD94" s="141"/>
      <c r="JE94" s="141"/>
      <c r="JF94" s="141"/>
      <c r="JG94" s="141"/>
      <c r="JH94" s="141"/>
      <c r="JI94" s="141"/>
      <c r="JJ94" s="141"/>
      <c r="JK94" s="141"/>
      <c r="JL94" s="141"/>
      <c r="JM94" s="141"/>
      <c r="JN94" s="141"/>
      <c r="JO94" s="141"/>
      <c r="JP94" s="141"/>
      <c r="JQ94" s="141"/>
      <c r="JR94" s="141"/>
      <c r="JS94" s="141"/>
      <c r="JT94" s="141"/>
      <c r="JU94" s="141"/>
      <c r="JV94" s="141"/>
      <c r="JW94" s="141"/>
      <c r="JX94" s="141"/>
      <c r="JY94" s="141"/>
      <c r="JZ94" s="141"/>
      <c r="KA94" s="141"/>
      <c r="KB94" s="141"/>
      <c r="KC94" s="141"/>
      <c r="KD94" s="141"/>
      <c r="KE94" s="141"/>
      <c r="KF94" s="141"/>
      <c r="KG94" s="141"/>
      <c r="KH94" s="141"/>
      <c r="KI94" s="141"/>
      <c r="KJ94" s="141"/>
      <c r="KK94" s="141"/>
      <c r="KL94" s="141"/>
      <c r="KM94" s="141"/>
      <c r="KN94" s="141"/>
    </row>
    <row r="95" spans="1:300" s="3" customFormat="1" ht="31.5" customHeight="1">
      <c r="A95" s="148"/>
      <c r="B95" s="8"/>
      <c r="C95" s="36"/>
      <c r="D95" s="36"/>
      <c r="E95" s="35"/>
      <c r="F95" s="35"/>
      <c r="G95" s="35"/>
      <c r="H95" s="151"/>
      <c r="I95" s="154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  <c r="BZ95" s="141"/>
      <c r="CA95" s="141"/>
      <c r="CB95" s="141"/>
      <c r="CC95" s="141"/>
      <c r="CD95" s="141"/>
      <c r="CE95" s="141"/>
      <c r="CF95" s="141"/>
      <c r="CG95" s="141"/>
      <c r="CH95" s="141"/>
      <c r="CI95" s="141"/>
      <c r="CJ95" s="141"/>
      <c r="CK95" s="141"/>
      <c r="CL95" s="141"/>
      <c r="CM95" s="141"/>
      <c r="CN95" s="141"/>
      <c r="CO95" s="141"/>
      <c r="CP95" s="141"/>
      <c r="CQ95" s="141"/>
      <c r="CR95" s="141"/>
      <c r="CS95" s="141"/>
      <c r="CT95" s="141"/>
      <c r="CU95" s="141"/>
      <c r="CV95" s="141"/>
      <c r="CW95" s="141"/>
      <c r="CX95" s="141"/>
      <c r="CY95" s="141"/>
      <c r="CZ95" s="141"/>
      <c r="DA95" s="141"/>
      <c r="DB95" s="141"/>
      <c r="DC95" s="141"/>
      <c r="DD95" s="141"/>
      <c r="DE95" s="141"/>
      <c r="DF95" s="141"/>
      <c r="DG95" s="141"/>
      <c r="DH95" s="141"/>
      <c r="DI95" s="141"/>
      <c r="DJ95" s="141"/>
      <c r="DK95" s="141"/>
      <c r="DL95" s="141"/>
      <c r="DM95" s="141"/>
      <c r="DN95" s="141"/>
      <c r="DO95" s="141"/>
      <c r="DP95" s="141"/>
      <c r="DQ95" s="141"/>
      <c r="DR95" s="141"/>
      <c r="DS95" s="141"/>
      <c r="DT95" s="141"/>
      <c r="DU95" s="141"/>
      <c r="DV95" s="141"/>
      <c r="DW95" s="141"/>
      <c r="DX95" s="141"/>
      <c r="DY95" s="141"/>
      <c r="DZ95" s="141"/>
      <c r="EA95" s="141"/>
      <c r="EB95" s="141"/>
      <c r="EC95" s="141"/>
      <c r="ED95" s="141"/>
      <c r="EE95" s="141"/>
      <c r="EF95" s="141"/>
      <c r="EG95" s="141"/>
      <c r="EH95" s="141"/>
      <c r="EI95" s="141"/>
      <c r="EJ95" s="141"/>
      <c r="EK95" s="141"/>
      <c r="EL95" s="141"/>
      <c r="EM95" s="141"/>
      <c r="EN95" s="141"/>
      <c r="EO95" s="141"/>
      <c r="EP95" s="141"/>
      <c r="EQ95" s="141"/>
      <c r="ER95" s="141"/>
      <c r="ES95" s="141"/>
      <c r="ET95" s="141"/>
      <c r="EU95" s="141"/>
      <c r="EV95" s="141"/>
      <c r="EW95" s="141"/>
      <c r="EX95" s="141"/>
      <c r="EY95" s="141"/>
      <c r="EZ95" s="141"/>
      <c r="FA95" s="141"/>
      <c r="FB95" s="141"/>
      <c r="FC95" s="141"/>
      <c r="FD95" s="141"/>
      <c r="FE95" s="141"/>
      <c r="FF95" s="141"/>
      <c r="FG95" s="141"/>
      <c r="FH95" s="141"/>
      <c r="FI95" s="141"/>
      <c r="FJ95" s="141"/>
      <c r="FK95" s="141"/>
      <c r="FL95" s="141"/>
      <c r="FM95" s="141"/>
      <c r="FN95" s="141"/>
      <c r="FO95" s="141"/>
      <c r="FP95" s="141"/>
      <c r="FQ95" s="141"/>
      <c r="FR95" s="141"/>
      <c r="FS95" s="141"/>
      <c r="FT95" s="141"/>
      <c r="FU95" s="141"/>
      <c r="FV95" s="141"/>
      <c r="FW95" s="141"/>
      <c r="FX95" s="141"/>
      <c r="FY95" s="141"/>
      <c r="FZ95" s="141"/>
      <c r="GA95" s="141"/>
      <c r="GB95" s="141"/>
      <c r="GC95" s="141"/>
      <c r="GD95" s="141"/>
      <c r="GE95" s="141"/>
      <c r="GF95" s="141"/>
      <c r="GG95" s="141"/>
      <c r="GH95" s="141"/>
      <c r="GI95" s="141"/>
      <c r="GJ95" s="141"/>
      <c r="GK95" s="141"/>
      <c r="GL95" s="141"/>
      <c r="GM95" s="141"/>
      <c r="GN95" s="141"/>
      <c r="GO95" s="141"/>
      <c r="GP95" s="141"/>
      <c r="GQ95" s="141"/>
      <c r="GR95" s="141"/>
      <c r="GS95" s="141"/>
      <c r="GT95" s="141"/>
      <c r="GU95" s="141"/>
      <c r="GV95" s="141"/>
      <c r="GW95" s="141"/>
      <c r="GX95" s="141"/>
      <c r="GY95" s="141"/>
      <c r="GZ95" s="141"/>
      <c r="HA95" s="141"/>
      <c r="HB95" s="141"/>
      <c r="HC95" s="141"/>
      <c r="HD95" s="141"/>
      <c r="HE95" s="141"/>
      <c r="HF95" s="141"/>
      <c r="HG95" s="141"/>
      <c r="HH95" s="141"/>
      <c r="HI95" s="141"/>
      <c r="HJ95" s="141"/>
      <c r="HK95" s="141"/>
      <c r="HL95" s="141"/>
      <c r="HM95" s="141"/>
      <c r="HN95" s="141"/>
      <c r="HO95" s="141"/>
      <c r="HP95" s="141"/>
      <c r="HQ95" s="141"/>
      <c r="HR95" s="141"/>
      <c r="HS95" s="141"/>
      <c r="HT95" s="141"/>
      <c r="HU95" s="141"/>
      <c r="HV95" s="141"/>
      <c r="HW95" s="141"/>
      <c r="HX95" s="141"/>
      <c r="HY95" s="141"/>
      <c r="HZ95" s="141"/>
      <c r="IA95" s="141"/>
      <c r="IB95" s="141"/>
      <c r="IC95" s="141"/>
      <c r="ID95" s="141"/>
      <c r="IE95" s="141"/>
      <c r="IF95" s="141"/>
      <c r="IG95" s="141"/>
      <c r="IH95" s="141"/>
      <c r="II95" s="141"/>
      <c r="IJ95" s="141"/>
      <c r="IK95" s="141"/>
      <c r="IL95" s="141"/>
      <c r="IM95" s="141"/>
      <c r="IN95" s="141"/>
      <c r="IO95" s="141"/>
      <c r="IP95" s="141"/>
      <c r="IQ95" s="141"/>
      <c r="IR95" s="141"/>
      <c r="IS95" s="141"/>
      <c r="IT95" s="141"/>
      <c r="IU95" s="141"/>
      <c r="IV95" s="141"/>
      <c r="IW95" s="141"/>
      <c r="IX95" s="141"/>
      <c r="IY95" s="141"/>
      <c r="IZ95" s="141"/>
      <c r="JA95" s="141"/>
      <c r="JB95" s="141"/>
      <c r="JC95" s="141"/>
      <c r="JD95" s="141"/>
      <c r="JE95" s="141"/>
      <c r="JF95" s="141"/>
      <c r="JG95" s="141"/>
      <c r="JH95" s="141"/>
      <c r="JI95" s="141"/>
      <c r="JJ95" s="141"/>
      <c r="JK95" s="141"/>
      <c r="JL95" s="141"/>
      <c r="JM95" s="141"/>
      <c r="JN95" s="141"/>
      <c r="JO95" s="141"/>
      <c r="JP95" s="141"/>
      <c r="JQ95" s="141"/>
      <c r="JR95" s="141"/>
      <c r="JS95" s="141"/>
      <c r="JT95" s="141"/>
      <c r="JU95" s="141"/>
      <c r="JV95" s="141"/>
      <c r="JW95" s="141"/>
      <c r="JX95" s="141"/>
      <c r="JY95" s="141"/>
      <c r="JZ95" s="141"/>
      <c r="KA95" s="141"/>
      <c r="KB95" s="141"/>
      <c r="KC95" s="141"/>
      <c r="KD95" s="141"/>
      <c r="KE95" s="141"/>
      <c r="KF95" s="141"/>
      <c r="KG95" s="141"/>
      <c r="KH95" s="141"/>
      <c r="KI95" s="141"/>
      <c r="KJ95" s="141"/>
      <c r="KK95" s="141"/>
      <c r="KL95" s="141"/>
      <c r="KM95" s="141"/>
      <c r="KN95" s="141"/>
    </row>
    <row r="96" spans="1:300" s="3" customFormat="1" ht="31.5" customHeight="1">
      <c r="A96" s="148"/>
      <c r="B96" s="8"/>
      <c r="C96" s="36"/>
      <c r="D96" s="36"/>
      <c r="E96" s="35"/>
      <c r="F96" s="35"/>
      <c r="G96" s="35"/>
      <c r="H96" s="151"/>
      <c r="I96" s="154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  <c r="CA96" s="141"/>
      <c r="CB96" s="141"/>
      <c r="CC96" s="141"/>
      <c r="CD96" s="141"/>
      <c r="CE96" s="141"/>
      <c r="CF96" s="141"/>
      <c r="CG96" s="141"/>
      <c r="CH96" s="141"/>
      <c r="CI96" s="141"/>
      <c r="CJ96" s="141"/>
      <c r="CK96" s="141"/>
      <c r="CL96" s="141"/>
      <c r="CM96" s="141"/>
      <c r="CN96" s="141"/>
      <c r="CO96" s="141"/>
      <c r="CP96" s="141"/>
      <c r="CQ96" s="141"/>
      <c r="CR96" s="141"/>
      <c r="CS96" s="141"/>
      <c r="CT96" s="141"/>
      <c r="CU96" s="141"/>
      <c r="CV96" s="141"/>
      <c r="CW96" s="141"/>
      <c r="CX96" s="141"/>
      <c r="CY96" s="141"/>
      <c r="CZ96" s="141"/>
      <c r="DA96" s="141"/>
      <c r="DB96" s="141"/>
      <c r="DC96" s="141"/>
      <c r="DD96" s="141"/>
      <c r="DE96" s="141"/>
      <c r="DF96" s="141"/>
      <c r="DG96" s="141"/>
      <c r="DH96" s="141"/>
      <c r="DI96" s="141"/>
      <c r="DJ96" s="141"/>
      <c r="DK96" s="141"/>
      <c r="DL96" s="141"/>
      <c r="DM96" s="141"/>
      <c r="DN96" s="141"/>
      <c r="DO96" s="141"/>
      <c r="DP96" s="141"/>
      <c r="DQ96" s="141"/>
      <c r="DR96" s="141"/>
      <c r="DS96" s="141"/>
      <c r="DT96" s="141"/>
      <c r="DU96" s="141"/>
      <c r="DV96" s="141"/>
      <c r="DW96" s="141"/>
      <c r="DX96" s="141"/>
      <c r="DY96" s="141"/>
      <c r="DZ96" s="141"/>
      <c r="EA96" s="141"/>
      <c r="EB96" s="141"/>
      <c r="EC96" s="141"/>
      <c r="ED96" s="141"/>
      <c r="EE96" s="141"/>
      <c r="EF96" s="141"/>
      <c r="EG96" s="141"/>
      <c r="EH96" s="141"/>
      <c r="EI96" s="141"/>
      <c r="EJ96" s="141"/>
      <c r="EK96" s="141"/>
      <c r="EL96" s="141"/>
      <c r="EM96" s="141"/>
      <c r="EN96" s="141"/>
      <c r="EO96" s="141"/>
      <c r="EP96" s="141"/>
      <c r="EQ96" s="141"/>
      <c r="ER96" s="141"/>
      <c r="ES96" s="141"/>
      <c r="ET96" s="141"/>
      <c r="EU96" s="141"/>
      <c r="EV96" s="141"/>
      <c r="EW96" s="141"/>
      <c r="EX96" s="141"/>
      <c r="EY96" s="141"/>
      <c r="EZ96" s="141"/>
      <c r="FA96" s="141"/>
      <c r="FB96" s="141"/>
      <c r="FC96" s="141"/>
      <c r="FD96" s="141"/>
      <c r="FE96" s="141"/>
      <c r="FF96" s="141"/>
      <c r="FG96" s="141"/>
      <c r="FH96" s="141"/>
      <c r="FI96" s="141"/>
      <c r="FJ96" s="141"/>
      <c r="FK96" s="141"/>
      <c r="FL96" s="141"/>
      <c r="FM96" s="141"/>
      <c r="FN96" s="141"/>
      <c r="FO96" s="141"/>
      <c r="FP96" s="141"/>
      <c r="FQ96" s="141"/>
      <c r="FR96" s="141"/>
      <c r="FS96" s="141"/>
      <c r="FT96" s="141"/>
      <c r="FU96" s="141"/>
      <c r="FV96" s="141"/>
      <c r="FW96" s="141"/>
      <c r="FX96" s="141"/>
      <c r="FY96" s="141"/>
      <c r="FZ96" s="141"/>
      <c r="GA96" s="141"/>
      <c r="GB96" s="141"/>
      <c r="GC96" s="141"/>
      <c r="GD96" s="141"/>
      <c r="GE96" s="141"/>
      <c r="GF96" s="141"/>
      <c r="GG96" s="141"/>
      <c r="GH96" s="141"/>
      <c r="GI96" s="141"/>
      <c r="GJ96" s="141"/>
      <c r="GK96" s="141"/>
      <c r="GL96" s="141"/>
      <c r="GM96" s="141"/>
      <c r="GN96" s="141"/>
      <c r="GO96" s="141"/>
      <c r="GP96" s="141"/>
      <c r="GQ96" s="141"/>
      <c r="GR96" s="141"/>
      <c r="GS96" s="141"/>
      <c r="GT96" s="141"/>
      <c r="GU96" s="141"/>
      <c r="GV96" s="141"/>
      <c r="GW96" s="141"/>
      <c r="GX96" s="141"/>
      <c r="GY96" s="141"/>
      <c r="GZ96" s="141"/>
      <c r="HA96" s="141"/>
      <c r="HB96" s="141"/>
      <c r="HC96" s="141"/>
      <c r="HD96" s="141"/>
      <c r="HE96" s="141"/>
      <c r="HF96" s="141"/>
      <c r="HG96" s="141"/>
      <c r="HH96" s="141"/>
      <c r="HI96" s="141"/>
      <c r="HJ96" s="141"/>
      <c r="HK96" s="141"/>
      <c r="HL96" s="141"/>
      <c r="HM96" s="141"/>
      <c r="HN96" s="141"/>
      <c r="HO96" s="141"/>
      <c r="HP96" s="141"/>
      <c r="HQ96" s="141"/>
      <c r="HR96" s="141"/>
      <c r="HS96" s="141"/>
      <c r="HT96" s="141"/>
      <c r="HU96" s="141"/>
      <c r="HV96" s="141"/>
      <c r="HW96" s="141"/>
      <c r="HX96" s="141"/>
      <c r="HY96" s="141"/>
      <c r="HZ96" s="141"/>
      <c r="IA96" s="141"/>
      <c r="IB96" s="141"/>
      <c r="IC96" s="141"/>
      <c r="ID96" s="141"/>
      <c r="IE96" s="141"/>
      <c r="IF96" s="141"/>
      <c r="IG96" s="141"/>
      <c r="IH96" s="141"/>
      <c r="II96" s="141"/>
      <c r="IJ96" s="141"/>
      <c r="IK96" s="141"/>
      <c r="IL96" s="141"/>
      <c r="IM96" s="141"/>
      <c r="IN96" s="141"/>
      <c r="IO96" s="141"/>
      <c r="IP96" s="141"/>
      <c r="IQ96" s="141"/>
      <c r="IR96" s="141"/>
      <c r="IS96" s="141"/>
      <c r="IT96" s="141"/>
      <c r="IU96" s="141"/>
      <c r="IV96" s="141"/>
      <c r="IW96" s="141"/>
      <c r="IX96" s="141"/>
      <c r="IY96" s="141"/>
      <c r="IZ96" s="141"/>
      <c r="JA96" s="141"/>
      <c r="JB96" s="141"/>
      <c r="JC96" s="141"/>
      <c r="JD96" s="141"/>
      <c r="JE96" s="141"/>
      <c r="JF96" s="141"/>
      <c r="JG96" s="141"/>
      <c r="JH96" s="141"/>
      <c r="JI96" s="141"/>
      <c r="JJ96" s="141"/>
      <c r="JK96" s="141"/>
      <c r="JL96" s="141"/>
      <c r="JM96" s="141"/>
      <c r="JN96" s="141"/>
      <c r="JO96" s="141"/>
      <c r="JP96" s="141"/>
      <c r="JQ96" s="141"/>
      <c r="JR96" s="141"/>
      <c r="JS96" s="141"/>
      <c r="JT96" s="141"/>
      <c r="JU96" s="141"/>
      <c r="JV96" s="141"/>
      <c r="JW96" s="141"/>
      <c r="JX96" s="141"/>
      <c r="JY96" s="141"/>
      <c r="JZ96" s="141"/>
      <c r="KA96" s="141"/>
      <c r="KB96" s="141"/>
      <c r="KC96" s="141"/>
      <c r="KD96" s="141"/>
      <c r="KE96" s="141"/>
      <c r="KF96" s="141"/>
      <c r="KG96" s="141"/>
      <c r="KH96" s="141"/>
      <c r="KI96" s="141"/>
      <c r="KJ96" s="141"/>
      <c r="KK96" s="141"/>
      <c r="KL96" s="141"/>
      <c r="KM96" s="141"/>
      <c r="KN96" s="141"/>
    </row>
    <row r="97" spans="1:300" s="3" customFormat="1" ht="31.5" customHeight="1">
      <c r="A97" s="148"/>
      <c r="B97" s="8"/>
      <c r="C97" s="36"/>
      <c r="D97" s="36"/>
      <c r="E97" s="35"/>
      <c r="F97" s="35"/>
      <c r="G97" s="35"/>
      <c r="H97" s="151"/>
      <c r="I97" s="154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  <c r="BZ97" s="141"/>
      <c r="CA97" s="141"/>
      <c r="CB97" s="141"/>
      <c r="CC97" s="141"/>
      <c r="CD97" s="141"/>
      <c r="CE97" s="141"/>
      <c r="CF97" s="141"/>
      <c r="CG97" s="141"/>
      <c r="CH97" s="141"/>
      <c r="CI97" s="141"/>
      <c r="CJ97" s="141"/>
      <c r="CK97" s="141"/>
      <c r="CL97" s="141"/>
      <c r="CM97" s="141"/>
      <c r="CN97" s="141"/>
      <c r="CO97" s="141"/>
      <c r="CP97" s="141"/>
      <c r="CQ97" s="141"/>
      <c r="CR97" s="141"/>
      <c r="CS97" s="141"/>
      <c r="CT97" s="141"/>
      <c r="CU97" s="141"/>
      <c r="CV97" s="141"/>
      <c r="CW97" s="141"/>
      <c r="CX97" s="141"/>
      <c r="CY97" s="141"/>
      <c r="CZ97" s="141"/>
      <c r="DA97" s="141"/>
      <c r="DB97" s="141"/>
      <c r="DC97" s="141"/>
      <c r="DD97" s="141"/>
      <c r="DE97" s="141"/>
      <c r="DF97" s="141"/>
      <c r="DG97" s="141"/>
      <c r="DH97" s="141"/>
      <c r="DI97" s="141"/>
      <c r="DJ97" s="141"/>
      <c r="DK97" s="141"/>
      <c r="DL97" s="141"/>
      <c r="DM97" s="141"/>
      <c r="DN97" s="141"/>
      <c r="DO97" s="141"/>
      <c r="DP97" s="141"/>
      <c r="DQ97" s="141"/>
      <c r="DR97" s="141"/>
      <c r="DS97" s="141"/>
      <c r="DT97" s="141"/>
      <c r="DU97" s="141"/>
      <c r="DV97" s="141"/>
      <c r="DW97" s="141"/>
      <c r="DX97" s="141"/>
      <c r="DY97" s="141"/>
      <c r="DZ97" s="141"/>
      <c r="EA97" s="141"/>
      <c r="EB97" s="141"/>
      <c r="EC97" s="141"/>
      <c r="ED97" s="141"/>
      <c r="EE97" s="141"/>
      <c r="EF97" s="141"/>
      <c r="EG97" s="141"/>
      <c r="EH97" s="141"/>
      <c r="EI97" s="141"/>
      <c r="EJ97" s="141"/>
      <c r="EK97" s="141"/>
      <c r="EL97" s="141"/>
      <c r="EM97" s="141"/>
      <c r="EN97" s="141"/>
      <c r="EO97" s="141"/>
      <c r="EP97" s="141"/>
      <c r="EQ97" s="141"/>
      <c r="ER97" s="141"/>
      <c r="ES97" s="141"/>
      <c r="ET97" s="141"/>
      <c r="EU97" s="141"/>
      <c r="EV97" s="141"/>
      <c r="EW97" s="141"/>
      <c r="EX97" s="141"/>
      <c r="EY97" s="141"/>
      <c r="EZ97" s="141"/>
      <c r="FA97" s="141"/>
      <c r="FB97" s="141"/>
      <c r="FC97" s="141"/>
      <c r="FD97" s="141"/>
      <c r="FE97" s="141"/>
      <c r="FF97" s="141"/>
      <c r="FG97" s="141"/>
      <c r="FH97" s="141"/>
      <c r="FI97" s="141"/>
      <c r="FJ97" s="141"/>
      <c r="FK97" s="141"/>
      <c r="FL97" s="141"/>
      <c r="FM97" s="141"/>
      <c r="FN97" s="141"/>
      <c r="FO97" s="141"/>
      <c r="FP97" s="141"/>
      <c r="FQ97" s="141"/>
      <c r="FR97" s="141"/>
      <c r="FS97" s="141"/>
      <c r="FT97" s="141"/>
      <c r="FU97" s="141"/>
      <c r="FV97" s="141"/>
      <c r="FW97" s="141"/>
      <c r="FX97" s="141"/>
      <c r="FY97" s="141"/>
      <c r="FZ97" s="141"/>
      <c r="GA97" s="141"/>
      <c r="GB97" s="141"/>
      <c r="GC97" s="141"/>
      <c r="GD97" s="141"/>
      <c r="GE97" s="141"/>
      <c r="GF97" s="141"/>
      <c r="GG97" s="141"/>
      <c r="GH97" s="141"/>
      <c r="GI97" s="141"/>
      <c r="GJ97" s="141"/>
      <c r="GK97" s="141"/>
      <c r="GL97" s="141"/>
      <c r="GM97" s="141"/>
      <c r="GN97" s="141"/>
      <c r="GO97" s="141"/>
      <c r="GP97" s="141"/>
      <c r="GQ97" s="141"/>
      <c r="GR97" s="141"/>
      <c r="GS97" s="141"/>
      <c r="GT97" s="141"/>
      <c r="GU97" s="141"/>
      <c r="GV97" s="141"/>
      <c r="GW97" s="141"/>
      <c r="GX97" s="141"/>
      <c r="GY97" s="141"/>
      <c r="GZ97" s="141"/>
      <c r="HA97" s="141"/>
      <c r="HB97" s="141"/>
      <c r="HC97" s="141"/>
      <c r="HD97" s="141"/>
      <c r="HE97" s="141"/>
      <c r="HF97" s="141"/>
      <c r="HG97" s="141"/>
      <c r="HH97" s="141"/>
      <c r="HI97" s="141"/>
      <c r="HJ97" s="141"/>
      <c r="HK97" s="141"/>
      <c r="HL97" s="141"/>
      <c r="HM97" s="141"/>
      <c r="HN97" s="141"/>
      <c r="HO97" s="141"/>
      <c r="HP97" s="141"/>
      <c r="HQ97" s="141"/>
      <c r="HR97" s="141"/>
      <c r="HS97" s="141"/>
      <c r="HT97" s="141"/>
      <c r="HU97" s="141"/>
      <c r="HV97" s="141"/>
      <c r="HW97" s="141"/>
      <c r="HX97" s="141"/>
      <c r="HY97" s="141"/>
      <c r="HZ97" s="141"/>
      <c r="IA97" s="141"/>
      <c r="IB97" s="141"/>
      <c r="IC97" s="141"/>
      <c r="ID97" s="141"/>
      <c r="IE97" s="141"/>
      <c r="IF97" s="141"/>
      <c r="IG97" s="141"/>
      <c r="IH97" s="141"/>
      <c r="II97" s="141"/>
      <c r="IJ97" s="141"/>
      <c r="IK97" s="141"/>
      <c r="IL97" s="141"/>
      <c r="IM97" s="141"/>
      <c r="IN97" s="141"/>
      <c r="IO97" s="141"/>
      <c r="IP97" s="141"/>
      <c r="IQ97" s="141"/>
      <c r="IR97" s="141"/>
      <c r="IS97" s="141"/>
      <c r="IT97" s="141"/>
      <c r="IU97" s="141"/>
      <c r="IV97" s="141"/>
      <c r="IW97" s="141"/>
      <c r="IX97" s="141"/>
      <c r="IY97" s="141"/>
      <c r="IZ97" s="141"/>
      <c r="JA97" s="141"/>
      <c r="JB97" s="141"/>
      <c r="JC97" s="141"/>
      <c r="JD97" s="141"/>
      <c r="JE97" s="141"/>
      <c r="JF97" s="141"/>
      <c r="JG97" s="141"/>
      <c r="JH97" s="141"/>
      <c r="JI97" s="141"/>
      <c r="JJ97" s="141"/>
      <c r="JK97" s="141"/>
      <c r="JL97" s="141"/>
      <c r="JM97" s="141"/>
      <c r="JN97" s="141"/>
      <c r="JO97" s="141"/>
      <c r="JP97" s="141"/>
      <c r="JQ97" s="141"/>
      <c r="JR97" s="141"/>
      <c r="JS97" s="141"/>
      <c r="JT97" s="141"/>
      <c r="JU97" s="141"/>
      <c r="JV97" s="141"/>
      <c r="JW97" s="141"/>
      <c r="JX97" s="141"/>
      <c r="JY97" s="141"/>
      <c r="JZ97" s="141"/>
      <c r="KA97" s="141"/>
      <c r="KB97" s="141"/>
      <c r="KC97" s="141"/>
      <c r="KD97" s="141"/>
      <c r="KE97" s="141"/>
      <c r="KF97" s="141"/>
      <c r="KG97" s="141"/>
      <c r="KH97" s="141"/>
      <c r="KI97" s="141"/>
      <c r="KJ97" s="141"/>
      <c r="KK97" s="141"/>
      <c r="KL97" s="141"/>
      <c r="KM97" s="141"/>
      <c r="KN97" s="141"/>
    </row>
    <row r="98" spans="1:300" s="3" customFormat="1" ht="31.5" customHeight="1">
      <c r="A98" s="148"/>
      <c r="B98" s="8"/>
      <c r="C98" s="36"/>
      <c r="D98" s="36"/>
      <c r="E98" s="35"/>
      <c r="F98" s="35"/>
      <c r="G98" s="35"/>
      <c r="H98" s="151"/>
      <c r="I98" s="154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  <c r="BZ98" s="141"/>
      <c r="CA98" s="141"/>
      <c r="CB98" s="141"/>
      <c r="CC98" s="141"/>
      <c r="CD98" s="141"/>
      <c r="CE98" s="141"/>
      <c r="CF98" s="141"/>
      <c r="CG98" s="141"/>
      <c r="CH98" s="141"/>
      <c r="CI98" s="141"/>
      <c r="CJ98" s="141"/>
      <c r="CK98" s="141"/>
      <c r="CL98" s="141"/>
      <c r="CM98" s="141"/>
      <c r="CN98" s="141"/>
      <c r="CO98" s="141"/>
      <c r="CP98" s="141"/>
      <c r="CQ98" s="141"/>
      <c r="CR98" s="141"/>
      <c r="CS98" s="141"/>
      <c r="CT98" s="141"/>
      <c r="CU98" s="141"/>
      <c r="CV98" s="141"/>
      <c r="CW98" s="141"/>
      <c r="CX98" s="141"/>
      <c r="CY98" s="141"/>
      <c r="CZ98" s="141"/>
      <c r="DA98" s="141"/>
      <c r="DB98" s="141"/>
      <c r="DC98" s="141"/>
      <c r="DD98" s="141"/>
      <c r="DE98" s="141"/>
      <c r="DF98" s="141"/>
      <c r="DG98" s="141"/>
      <c r="DH98" s="141"/>
      <c r="DI98" s="141"/>
      <c r="DJ98" s="141"/>
      <c r="DK98" s="141"/>
      <c r="DL98" s="141"/>
      <c r="DM98" s="141"/>
      <c r="DN98" s="141"/>
      <c r="DO98" s="141"/>
      <c r="DP98" s="141"/>
      <c r="DQ98" s="141"/>
      <c r="DR98" s="141"/>
      <c r="DS98" s="141"/>
      <c r="DT98" s="141"/>
      <c r="DU98" s="141"/>
      <c r="DV98" s="141"/>
      <c r="DW98" s="141"/>
      <c r="DX98" s="141"/>
      <c r="DY98" s="141"/>
      <c r="DZ98" s="141"/>
      <c r="EA98" s="141"/>
      <c r="EB98" s="141"/>
      <c r="EC98" s="141"/>
      <c r="ED98" s="141"/>
      <c r="EE98" s="141"/>
      <c r="EF98" s="141"/>
      <c r="EG98" s="141"/>
      <c r="EH98" s="141"/>
      <c r="EI98" s="141"/>
      <c r="EJ98" s="141"/>
      <c r="EK98" s="141"/>
      <c r="EL98" s="141"/>
      <c r="EM98" s="141"/>
      <c r="EN98" s="141"/>
      <c r="EO98" s="141"/>
      <c r="EP98" s="141"/>
      <c r="EQ98" s="141"/>
      <c r="ER98" s="141"/>
      <c r="ES98" s="141"/>
      <c r="ET98" s="141"/>
      <c r="EU98" s="141"/>
      <c r="EV98" s="141"/>
      <c r="EW98" s="141"/>
      <c r="EX98" s="141"/>
      <c r="EY98" s="141"/>
      <c r="EZ98" s="141"/>
      <c r="FA98" s="141"/>
      <c r="FB98" s="141"/>
      <c r="FC98" s="141"/>
      <c r="FD98" s="141"/>
      <c r="FE98" s="141"/>
      <c r="FF98" s="141"/>
      <c r="FG98" s="141"/>
      <c r="FH98" s="141"/>
      <c r="FI98" s="141"/>
      <c r="FJ98" s="141"/>
      <c r="FK98" s="141"/>
      <c r="FL98" s="141"/>
      <c r="FM98" s="141"/>
      <c r="FN98" s="141"/>
      <c r="FO98" s="141"/>
      <c r="FP98" s="141"/>
      <c r="FQ98" s="141"/>
      <c r="FR98" s="141"/>
      <c r="FS98" s="141"/>
      <c r="FT98" s="141"/>
      <c r="FU98" s="141"/>
      <c r="FV98" s="141"/>
      <c r="FW98" s="141"/>
      <c r="FX98" s="141"/>
      <c r="FY98" s="141"/>
      <c r="FZ98" s="141"/>
      <c r="GA98" s="141"/>
      <c r="GB98" s="141"/>
      <c r="GC98" s="141"/>
      <c r="GD98" s="141"/>
      <c r="GE98" s="141"/>
      <c r="GF98" s="141"/>
      <c r="GG98" s="141"/>
      <c r="GH98" s="141"/>
      <c r="GI98" s="141"/>
      <c r="GJ98" s="141"/>
      <c r="GK98" s="141"/>
      <c r="GL98" s="141"/>
      <c r="GM98" s="141"/>
      <c r="GN98" s="141"/>
      <c r="GO98" s="141"/>
      <c r="GP98" s="141"/>
      <c r="GQ98" s="141"/>
      <c r="GR98" s="141"/>
      <c r="GS98" s="141"/>
      <c r="GT98" s="141"/>
      <c r="GU98" s="141"/>
      <c r="GV98" s="141"/>
      <c r="GW98" s="141"/>
      <c r="GX98" s="141"/>
      <c r="GY98" s="141"/>
      <c r="GZ98" s="141"/>
      <c r="HA98" s="141"/>
      <c r="HB98" s="141"/>
      <c r="HC98" s="141"/>
      <c r="HD98" s="141"/>
      <c r="HE98" s="141"/>
      <c r="HF98" s="141"/>
      <c r="HG98" s="141"/>
      <c r="HH98" s="141"/>
      <c r="HI98" s="141"/>
      <c r="HJ98" s="141"/>
      <c r="HK98" s="141"/>
      <c r="HL98" s="141"/>
      <c r="HM98" s="141"/>
      <c r="HN98" s="141"/>
      <c r="HO98" s="141"/>
      <c r="HP98" s="141"/>
      <c r="HQ98" s="141"/>
      <c r="HR98" s="141"/>
      <c r="HS98" s="141"/>
      <c r="HT98" s="141"/>
      <c r="HU98" s="141"/>
      <c r="HV98" s="141"/>
      <c r="HW98" s="141"/>
      <c r="HX98" s="141"/>
      <c r="HY98" s="141"/>
      <c r="HZ98" s="141"/>
      <c r="IA98" s="141"/>
      <c r="IB98" s="141"/>
      <c r="IC98" s="141"/>
      <c r="ID98" s="141"/>
      <c r="IE98" s="141"/>
      <c r="IF98" s="141"/>
      <c r="IG98" s="141"/>
      <c r="IH98" s="141"/>
      <c r="II98" s="141"/>
      <c r="IJ98" s="141"/>
      <c r="IK98" s="141"/>
      <c r="IL98" s="141"/>
      <c r="IM98" s="141"/>
      <c r="IN98" s="141"/>
      <c r="IO98" s="141"/>
      <c r="IP98" s="141"/>
      <c r="IQ98" s="141"/>
      <c r="IR98" s="141"/>
      <c r="IS98" s="141"/>
      <c r="IT98" s="141"/>
      <c r="IU98" s="141"/>
      <c r="IV98" s="141"/>
      <c r="IW98" s="141"/>
      <c r="IX98" s="141"/>
      <c r="IY98" s="141"/>
      <c r="IZ98" s="141"/>
      <c r="JA98" s="141"/>
      <c r="JB98" s="141"/>
      <c r="JC98" s="141"/>
      <c r="JD98" s="141"/>
      <c r="JE98" s="141"/>
      <c r="JF98" s="141"/>
      <c r="JG98" s="141"/>
      <c r="JH98" s="141"/>
      <c r="JI98" s="141"/>
      <c r="JJ98" s="141"/>
      <c r="JK98" s="141"/>
      <c r="JL98" s="141"/>
      <c r="JM98" s="141"/>
      <c r="JN98" s="141"/>
      <c r="JO98" s="141"/>
      <c r="JP98" s="141"/>
      <c r="JQ98" s="141"/>
      <c r="JR98" s="141"/>
      <c r="JS98" s="141"/>
      <c r="JT98" s="141"/>
      <c r="JU98" s="141"/>
      <c r="JV98" s="141"/>
      <c r="JW98" s="141"/>
      <c r="JX98" s="141"/>
      <c r="JY98" s="141"/>
      <c r="JZ98" s="141"/>
      <c r="KA98" s="141"/>
      <c r="KB98" s="141"/>
      <c r="KC98" s="141"/>
      <c r="KD98" s="141"/>
      <c r="KE98" s="141"/>
      <c r="KF98" s="141"/>
      <c r="KG98" s="141"/>
      <c r="KH98" s="141"/>
      <c r="KI98" s="141"/>
      <c r="KJ98" s="141"/>
      <c r="KK98" s="141"/>
      <c r="KL98" s="141"/>
      <c r="KM98" s="141"/>
      <c r="KN98" s="141"/>
    </row>
    <row r="99" spans="1:300" s="3" customFormat="1" ht="31.5" customHeight="1">
      <c r="A99" s="148"/>
      <c r="B99" s="8"/>
      <c r="C99" s="36"/>
      <c r="D99" s="36"/>
      <c r="E99" s="35"/>
      <c r="F99" s="35"/>
      <c r="G99" s="35"/>
      <c r="H99" s="151"/>
      <c r="I99" s="154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  <c r="BZ99" s="141"/>
      <c r="CA99" s="141"/>
      <c r="CB99" s="141"/>
      <c r="CC99" s="141"/>
      <c r="CD99" s="141"/>
      <c r="CE99" s="141"/>
      <c r="CF99" s="141"/>
      <c r="CG99" s="141"/>
      <c r="CH99" s="141"/>
      <c r="CI99" s="141"/>
      <c r="CJ99" s="141"/>
      <c r="CK99" s="141"/>
      <c r="CL99" s="141"/>
      <c r="CM99" s="141"/>
      <c r="CN99" s="141"/>
      <c r="CO99" s="141"/>
      <c r="CP99" s="141"/>
      <c r="CQ99" s="141"/>
      <c r="CR99" s="141"/>
      <c r="CS99" s="141"/>
      <c r="CT99" s="141"/>
      <c r="CU99" s="141"/>
      <c r="CV99" s="141"/>
      <c r="CW99" s="141"/>
      <c r="CX99" s="141"/>
      <c r="CY99" s="141"/>
      <c r="CZ99" s="141"/>
      <c r="DA99" s="141"/>
      <c r="DB99" s="141"/>
      <c r="DC99" s="141"/>
      <c r="DD99" s="141"/>
      <c r="DE99" s="141"/>
      <c r="DF99" s="141"/>
      <c r="DG99" s="141"/>
      <c r="DH99" s="141"/>
      <c r="DI99" s="141"/>
      <c r="DJ99" s="141"/>
      <c r="DK99" s="141"/>
      <c r="DL99" s="141"/>
      <c r="DM99" s="141"/>
      <c r="DN99" s="141"/>
      <c r="DO99" s="141"/>
      <c r="DP99" s="141"/>
      <c r="DQ99" s="141"/>
      <c r="DR99" s="141"/>
      <c r="DS99" s="141"/>
      <c r="DT99" s="141"/>
      <c r="DU99" s="141"/>
      <c r="DV99" s="141"/>
      <c r="DW99" s="141"/>
      <c r="DX99" s="141"/>
      <c r="DY99" s="141"/>
      <c r="DZ99" s="141"/>
      <c r="EA99" s="141"/>
      <c r="EB99" s="141"/>
      <c r="EC99" s="141"/>
      <c r="ED99" s="141"/>
      <c r="EE99" s="141"/>
      <c r="EF99" s="141"/>
      <c r="EG99" s="141"/>
      <c r="EH99" s="141"/>
      <c r="EI99" s="141"/>
      <c r="EJ99" s="141"/>
      <c r="EK99" s="141"/>
      <c r="EL99" s="141"/>
      <c r="EM99" s="141"/>
      <c r="EN99" s="141"/>
      <c r="EO99" s="141"/>
      <c r="EP99" s="141"/>
      <c r="EQ99" s="141"/>
      <c r="ER99" s="141"/>
      <c r="ES99" s="141"/>
      <c r="ET99" s="141"/>
      <c r="EU99" s="141"/>
      <c r="EV99" s="141"/>
      <c r="EW99" s="141"/>
      <c r="EX99" s="141"/>
      <c r="EY99" s="141"/>
      <c r="EZ99" s="141"/>
      <c r="FA99" s="141"/>
      <c r="FB99" s="141"/>
      <c r="FC99" s="141"/>
      <c r="FD99" s="141"/>
      <c r="FE99" s="141"/>
      <c r="FF99" s="141"/>
      <c r="FG99" s="141"/>
      <c r="FH99" s="141"/>
      <c r="FI99" s="141"/>
      <c r="FJ99" s="141"/>
      <c r="FK99" s="141"/>
      <c r="FL99" s="141"/>
      <c r="FM99" s="141"/>
      <c r="FN99" s="141"/>
      <c r="FO99" s="141"/>
      <c r="FP99" s="141"/>
      <c r="FQ99" s="141"/>
      <c r="FR99" s="141"/>
      <c r="FS99" s="141"/>
      <c r="FT99" s="141"/>
      <c r="FU99" s="141"/>
      <c r="FV99" s="141"/>
      <c r="FW99" s="141"/>
      <c r="FX99" s="141"/>
      <c r="FY99" s="141"/>
      <c r="FZ99" s="141"/>
      <c r="GA99" s="141"/>
      <c r="GB99" s="141"/>
      <c r="GC99" s="141"/>
      <c r="GD99" s="141"/>
      <c r="GE99" s="141"/>
      <c r="GF99" s="141"/>
      <c r="GG99" s="141"/>
      <c r="GH99" s="141"/>
      <c r="GI99" s="141"/>
      <c r="GJ99" s="141"/>
      <c r="GK99" s="141"/>
      <c r="GL99" s="141"/>
      <c r="GM99" s="141"/>
      <c r="GN99" s="141"/>
      <c r="GO99" s="141"/>
      <c r="GP99" s="141"/>
      <c r="GQ99" s="141"/>
      <c r="GR99" s="141"/>
      <c r="GS99" s="141"/>
      <c r="GT99" s="141"/>
      <c r="GU99" s="141"/>
      <c r="GV99" s="141"/>
      <c r="GW99" s="141"/>
      <c r="GX99" s="141"/>
      <c r="GY99" s="141"/>
      <c r="GZ99" s="141"/>
      <c r="HA99" s="141"/>
      <c r="HB99" s="141"/>
      <c r="HC99" s="141"/>
      <c r="HD99" s="141"/>
      <c r="HE99" s="141"/>
      <c r="HF99" s="141"/>
      <c r="HG99" s="141"/>
      <c r="HH99" s="141"/>
      <c r="HI99" s="141"/>
      <c r="HJ99" s="141"/>
      <c r="HK99" s="141"/>
      <c r="HL99" s="141"/>
      <c r="HM99" s="141"/>
      <c r="HN99" s="141"/>
      <c r="HO99" s="141"/>
      <c r="HP99" s="141"/>
      <c r="HQ99" s="141"/>
      <c r="HR99" s="141"/>
      <c r="HS99" s="141"/>
      <c r="HT99" s="141"/>
      <c r="HU99" s="141"/>
      <c r="HV99" s="141"/>
      <c r="HW99" s="141"/>
      <c r="HX99" s="141"/>
      <c r="HY99" s="141"/>
      <c r="HZ99" s="141"/>
      <c r="IA99" s="141"/>
      <c r="IB99" s="141"/>
      <c r="IC99" s="141"/>
      <c r="ID99" s="141"/>
      <c r="IE99" s="141"/>
      <c r="IF99" s="141"/>
      <c r="IG99" s="141"/>
      <c r="IH99" s="141"/>
      <c r="II99" s="141"/>
      <c r="IJ99" s="141"/>
      <c r="IK99" s="141"/>
      <c r="IL99" s="141"/>
      <c r="IM99" s="141"/>
      <c r="IN99" s="141"/>
      <c r="IO99" s="141"/>
      <c r="IP99" s="141"/>
      <c r="IQ99" s="141"/>
      <c r="IR99" s="141"/>
      <c r="IS99" s="141"/>
      <c r="IT99" s="141"/>
      <c r="IU99" s="141"/>
      <c r="IV99" s="141"/>
      <c r="IW99" s="141"/>
      <c r="IX99" s="141"/>
      <c r="IY99" s="141"/>
      <c r="IZ99" s="141"/>
      <c r="JA99" s="141"/>
      <c r="JB99" s="141"/>
      <c r="JC99" s="141"/>
      <c r="JD99" s="141"/>
      <c r="JE99" s="141"/>
      <c r="JF99" s="141"/>
      <c r="JG99" s="141"/>
      <c r="JH99" s="141"/>
      <c r="JI99" s="141"/>
      <c r="JJ99" s="141"/>
      <c r="JK99" s="141"/>
      <c r="JL99" s="141"/>
      <c r="JM99" s="141"/>
      <c r="JN99" s="141"/>
      <c r="JO99" s="141"/>
      <c r="JP99" s="141"/>
      <c r="JQ99" s="141"/>
      <c r="JR99" s="141"/>
      <c r="JS99" s="141"/>
      <c r="JT99" s="141"/>
      <c r="JU99" s="141"/>
      <c r="JV99" s="141"/>
      <c r="JW99" s="141"/>
      <c r="JX99" s="141"/>
      <c r="JY99" s="141"/>
      <c r="JZ99" s="141"/>
      <c r="KA99" s="141"/>
      <c r="KB99" s="141"/>
      <c r="KC99" s="141"/>
      <c r="KD99" s="141"/>
      <c r="KE99" s="141"/>
      <c r="KF99" s="141"/>
      <c r="KG99" s="141"/>
      <c r="KH99" s="141"/>
      <c r="KI99" s="141"/>
      <c r="KJ99" s="141"/>
      <c r="KK99" s="141"/>
      <c r="KL99" s="141"/>
      <c r="KM99" s="141"/>
      <c r="KN99" s="141"/>
    </row>
    <row r="100" spans="1:300" s="3" customFormat="1" ht="31.5" customHeight="1">
      <c r="A100" s="148"/>
      <c r="B100" s="8"/>
      <c r="C100" s="36"/>
      <c r="D100" s="36"/>
      <c r="E100" s="35"/>
      <c r="F100" s="35"/>
      <c r="G100" s="35"/>
      <c r="H100" s="151"/>
      <c r="I100" s="154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  <c r="BZ100" s="141"/>
      <c r="CA100" s="141"/>
      <c r="CB100" s="141"/>
      <c r="CC100" s="141"/>
      <c r="CD100" s="141"/>
      <c r="CE100" s="141"/>
      <c r="CF100" s="141"/>
      <c r="CG100" s="141"/>
      <c r="CH100" s="141"/>
      <c r="CI100" s="141"/>
      <c r="CJ100" s="141"/>
      <c r="CK100" s="141"/>
      <c r="CL100" s="141"/>
      <c r="CM100" s="141"/>
      <c r="CN100" s="141"/>
      <c r="CO100" s="141"/>
      <c r="CP100" s="141"/>
      <c r="CQ100" s="141"/>
      <c r="CR100" s="141"/>
      <c r="CS100" s="141"/>
      <c r="CT100" s="141"/>
      <c r="CU100" s="141"/>
      <c r="CV100" s="141"/>
      <c r="CW100" s="141"/>
      <c r="CX100" s="141"/>
      <c r="CY100" s="141"/>
      <c r="CZ100" s="141"/>
      <c r="DA100" s="141"/>
      <c r="DB100" s="141"/>
      <c r="DC100" s="141"/>
      <c r="DD100" s="141"/>
      <c r="DE100" s="141"/>
      <c r="DF100" s="141"/>
      <c r="DG100" s="141"/>
      <c r="DH100" s="141"/>
      <c r="DI100" s="141"/>
      <c r="DJ100" s="141"/>
      <c r="DK100" s="141"/>
      <c r="DL100" s="141"/>
      <c r="DM100" s="141"/>
      <c r="DN100" s="141"/>
      <c r="DO100" s="141"/>
      <c r="DP100" s="141"/>
      <c r="DQ100" s="141"/>
      <c r="DR100" s="141"/>
      <c r="DS100" s="141"/>
      <c r="DT100" s="141"/>
      <c r="DU100" s="141"/>
      <c r="DV100" s="141"/>
      <c r="DW100" s="141"/>
      <c r="DX100" s="141"/>
      <c r="DY100" s="141"/>
      <c r="DZ100" s="141"/>
      <c r="EA100" s="141"/>
      <c r="EB100" s="141"/>
      <c r="EC100" s="141"/>
      <c r="ED100" s="141"/>
      <c r="EE100" s="141"/>
      <c r="EF100" s="141"/>
      <c r="EG100" s="141"/>
      <c r="EH100" s="141"/>
      <c r="EI100" s="141"/>
      <c r="EJ100" s="141"/>
      <c r="EK100" s="141"/>
      <c r="EL100" s="141"/>
      <c r="EM100" s="141"/>
      <c r="EN100" s="141"/>
      <c r="EO100" s="141"/>
      <c r="EP100" s="141"/>
      <c r="EQ100" s="141"/>
      <c r="ER100" s="141"/>
      <c r="ES100" s="141"/>
      <c r="ET100" s="141"/>
      <c r="EU100" s="141"/>
      <c r="EV100" s="141"/>
      <c r="EW100" s="141"/>
      <c r="EX100" s="141"/>
      <c r="EY100" s="141"/>
      <c r="EZ100" s="141"/>
      <c r="FA100" s="141"/>
      <c r="FB100" s="141"/>
      <c r="FC100" s="141"/>
      <c r="FD100" s="141"/>
      <c r="FE100" s="141"/>
      <c r="FF100" s="141"/>
      <c r="FG100" s="141"/>
      <c r="FH100" s="141"/>
      <c r="FI100" s="141"/>
      <c r="FJ100" s="141"/>
      <c r="FK100" s="141"/>
      <c r="FL100" s="141"/>
      <c r="FM100" s="141"/>
      <c r="FN100" s="141"/>
      <c r="FO100" s="141"/>
      <c r="FP100" s="141"/>
      <c r="FQ100" s="141"/>
      <c r="FR100" s="141"/>
      <c r="FS100" s="141"/>
      <c r="FT100" s="141"/>
      <c r="FU100" s="141"/>
      <c r="FV100" s="141"/>
      <c r="FW100" s="141"/>
      <c r="FX100" s="141"/>
      <c r="FY100" s="141"/>
      <c r="FZ100" s="141"/>
      <c r="GA100" s="141"/>
      <c r="GB100" s="141"/>
      <c r="GC100" s="141"/>
      <c r="GD100" s="141"/>
      <c r="GE100" s="141"/>
      <c r="GF100" s="141"/>
      <c r="GG100" s="141"/>
      <c r="GH100" s="141"/>
      <c r="GI100" s="141"/>
      <c r="GJ100" s="141"/>
      <c r="GK100" s="141"/>
      <c r="GL100" s="141"/>
      <c r="GM100" s="141"/>
      <c r="GN100" s="141"/>
      <c r="GO100" s="141"/>
      <c r="GP100" s="141"/>
      <c r="GQ100" s="141"/>
      <c r="GR100" s="141"/>
      <c r="GS100" s="141"/>
      <c r="GT100" s="141"/>
      <c r="GU100" s="141"/>
      <c r="GV100" s="141"/>
      <c r="GW100" s="141"/>
      <c r="GX100" s="141"/>
      <c r="GY100" s="141"/>
      <c r="GZ100" s="141"/>
      <c r="HA100" s="141"/>
      <c r="HB100" s="141"/>
      <c r="HC100" s="141"/>
      <c r="HD100" s="141"/>
      <c r="HE100" s="141"/>
      <c r="HF100" s="141"/>
      <c r="HG100" s="141"/>
      <c r="HH100" s="141"/>
      <c r="HI100" s="141"/>
      <c r="HJ100" s="141"/>
      <c r="HK100" s="141"/>
      <c r="HL100" s="141"/>
      <c r="HM100" s="141"/>
      <c r="HN100" s="141"/>
      <c r="HO100" s="141"/>
      <c r="HP100" s="141"/>
      <c r="HQ100" s="141"/>
      <c r="HR100" s="141"/>
      <c r="HS100" s="141"/>
      <c r="HT100" s="141"/>
      <c r="HU100" s="141"/>
      <c r="HV100" s="141"/>
      <c r="HW100" s="141"/>
      <c r="HX100" s="141"/>
      <c r="HY100" s="141"/>
      <c r="HZ100" s="141"/>
      <c r="IA100" s="141"/>
      <c r="IB100" s="141"/>
      <c r="IC100" s="141"/>
      <c r="ID100" s="141"/>
      <c r="IE100" s="141"/>
      <c r="IF100" s="141"/>
      <c r="IG100" s="141"/>
      <c r="IH100" s="141"/>
      <c r="II100" s="141"/>
      <c r="IJ100" s="141"/>
      <c r="IK100" s="141"/>
      <c r="IL100" s="141"/>
      <c r="IM100" s="141"/>
      <c r="IN100" s="141"/>
      <c r="IO100" s="141"/>
      <c r="IP100" s="141"/>
      <c r="IQ100" s="141"/>
      <c r="IR100" s="141"/>
      <c r="IS100" s="141"/>
      <c r="IT100" s="141"/>
      <c r="IU100" s="141"/>
      <c r="IV100" s="141"/>
      <c r="IW100" s="141"/>
      <c r="IX100" s="141"/>
      <c r="IY100" s="141"/>
      <c r="IZ100" s="141"/>
      <c r="JA100" s="141"/>
      <c r="JB100" s="141"/>
      <c r="JC100" s="141"/>
      <c r="JD100" s="141"/>
      <c r="JE100" s="141"/>
      <c r="JF100" s="141"/>
      <c r="JG100" s="141"/>
      <c r="JH100" s="141"/>
      <c r="JI100" s="141"/>
      <c r="JJ100" s="141"/>
      <c r="JK100" s="141"/>
      <c r="JL100" s="141"/>
      <c r="JM100" s="141"/>
      <c r="JN100" s="141"/>
      <c r="JO100" s="141"/>
      <c r="JP100" s="141"/>
      <c r="JQ100" s="141"/>
      <c r="JR100" s="141"/>
      <c r="JS100" s="141"/>
      <c r="JT100" s="141"/>
      <c r="JU100" s="141"/>
      <c r="JV100" s="141"/>
      <c r="JW100" s="141"/>
      <c r="JX100" s="141"/>
      <c r="JY100" s="141"/>
      <c r="JZ100" s="141"/>
      <c r="KA100" s="141"/>
      <c r="KB100" s="141"/>
      <c r="KC100" s="141"/>
      <c r="KD100" s="141"/>
      <c r="KE100" s="141"/>
      <c r="KF100" s="141"/>
      <c r="KG100" s="141"/>
      <c r="KH100" s="141"/>
      <c r="KI100" s="141"/>
      <c r="KJ100" s="141"/>
      <c r="KK100" s="141"/>
      <c r="KL100" s="141"/>
      <c r="KM100" s="141"/>
      <c r="KN100" s="141"/>
    </row>
    <row r="101" spans="1:300" ht="40.5" customHeight="1">
      <c r="A101" s="148"/>
      <c r="B101" s="8"/>
      <c r="C101" s="36"/>
      <c r="D101" s="36"/>
      <c r="E101" s="35"/>
      <c r="F101" s="35"/>
      <c r="G101" s="35"/>
      <c r="H101" s="151"/>
    </row>
    <row r="102" spans="1:300" ht="40.5" customHeight="1">
      <c r="A102" s="148"/>
      <c r="B102" s="8"/>
      <c r="C102" s="36"/>
      <c r="D102" s="36"/>
      <c r="E102" s="35"/>
      <c r="F102" s="35"/>
      <c r="G102" s="35"/>
      <c r="H102" s="151"/>
    </row>
    <row r="103" spans="1:300" ht="40.5" customHeight="1">
      <c r="A103" s="148"/>
      <c r="B103" s="8"/>
      <c r="C103" s="36"/>
      <c r="D103" s="36"/>
      <c r="E103" s="35"/>
      <c r="F103" s="35"/>
      <c r="G103" s="35"/>
      <c r="H103" s="151"/>
    </row>
    <row r="104" spans="1:300" ht="40.5" customHeight="1">
      <c r="A104" s="148"/>
      <c r="B104" s="8"/>
      <c r="C104" s="36"/>
      <c r="D104" s="36"/>
      <c r="E104" s="35"/>
      <c r="F104" s="35"/>
      <c r="G104" s="35"/>
      <c r="H104" s="151"/>
    </row>
    <row r="105" spans="1:300" ht="40.5" customHeight="1">
      <c r="A105" s="148"/>
      <c r="B105" s="8"/>
      <c r="C105" s="36"/>
      <c r="D105" s="36"/>
      <c r="E105" s="35"/>
      <c r="F105" s="35"/>
      <c r="G105" s="35"/>
      <c r="H105" s="151"/>
    </row>
    <row r="106" spans="1:300" ht="40.5" customHeight="1">
      <c r="A106" s="148"/>
      <c r="B106" s="8"/>
      <c r="C106" s="36"/>
      <c r="D106" s="36"/>
      <c r="E106" s="35"/>
      <c r="F106" s="35"/>
      <c r="G106" s="35"/>
      <c r="H106" s="151"/>
    </row>
    <row r="107" spans="1:300" ht="40.5" customHeight="1">
      <c r="A107" s="148"/>
      <c r="B107" s="8"/>
      <c r="C107" s="36"/>
      <c r="D107" s="36"/>
      <c r="E107" s="35"/>
      <c r="F107" s="35"/>
      <c r="G107" s="35"/>
      <c r="H107" s="151"/>
    </row>
    <row r="108" spans="1:300" ht="40.5" customHeight="1">
      <c r="A108" s="148"/>
      <c r="B108" s="8"/>
      <c r="C108" s="36"/>
      <c r="D108" s="36"/>
      <c r="E108" s="35"/>
      <c r="F108" s="35"/>
      <c r="G108" s="35"/>
      <c r="H108" s="151"/>
    </row>
    <row r="109" spans="1:300" ht="40.5" customHeight="1">
      <c r="A109" s="148"/>
      <c r="B109" s="8"/>
      <c r="C109" s="36"/>
      <c r="D109" s="36"/>
      <c r="E109" s="35"/>
      <c r="F109" s="35"/>
      <c r="G109" s="35"/>
      <c r="H109" s="151"/>
    </row>
    <row r="110" spans="1:300" ht="40.5" customHeight="1">
      <c r="A110" s="148"/>
      <c r="B110" s="8"/>
      <c r="C110" s="36"/>
      <c r="D110" s="36"/>
      <c r="E110" s="35"/>
      <c r="F110" s="35"/>
      <c r="G110" s="35"/>
      <c r="H110" s="151"/>
    </row>
    <row r="111" spans="1:300" ht="40.5" customHeight="1">
      <c r="A111" s="148"/>
      <c r="B111" s="8"/>
      <c r="C111" s="36"/>
      <c r="D111" s="36"/>
      <c r="E111" s="35"/>
      <c r="F111" s="35"/>
      <c r="G111" s="35"/>
      <c r="H111" s="151"/>
    </row>
    <row r="112" spans="1:300" ht="40.5" customHeight="1">
      <c r="A112" s="148"/>
      <c r="B112" s="8"/>
      <c r="C112" s="36"/>
      <c r="D112" s="36"/>
      <c r="E112" s="35"/>
      <c r="F112" s="35"/>
      <c r="G112" s="35"/>
      <c r="H112" s="151"/>
    </row>
    <row r="113" spans="1:8" ht="40.5" customHeight="1">
      <c r="A113" s="148"/>
      <c r="B113" s="8"/>
      <c r="C113" s="36"/>
      <c r="D113" s="36"/>
      <c r="E113" s="35"/>
      <c r="F113" s="35"/>
      <c r="G113" s="35"/>
      <c r="H113" s="151"/>
    </row>
    <row r="114" spans="1:8" ht="40.5" customHeight="1">
      <c r="A114" s="148"/>
      <c r="B114" s="8"/>
      <c r="C114" s="36"/>
      <c r="D114" s="36"/>
      <c r="E114" s="35"/>
      <c r="F114" s="35"/>
      <c r="G114" s="35"/>
      <c r="H114" s="151"/>
    </row>
    <row r="115" spans="1:8" ht="40.5" customHeight="1">
      <c r="A115" s="148"/>
      <c r="B115" s="8"/>
      <c r="C115" s="36"/>
      <c r="D115" s="36"/>
      <c r="E115" s="35"/>
      <c r="F115" s="35"/>
      <c r="G115" s="35"/>
      <c r="H115" s="151"/>
    </row>
    <row r="116" spans="1:8" ht="40.5" customHeight="1">
      <c r="A116" s="148"/>
      <c r="B116" s="8"/>
      <c r="C116" s="36"/>
      <c r="D116" s="36"/>
      <c r="E116" s="35"/>
      <c r="F116" s="35"/>
      <c r="G116" s="35"/>
      <c r="H116" s="151"/>
    </row>
    <row r="117" spans="1:8" ht="40.5" customHeight="1">
      <c r="A117" s="148"/>
      <c r="B117" s="8"/>
      <c r="C117" s="36"/>
      <c r="D117" s="36"/>
      <c r="E117" s="35"/>
      <c r="F117" s="35"/>
      <c r="G117" s="35"/>
      <c r="H117" s="151"/>
    </row>
    <row r="118" spans="1:8" ht="40.5" customHeight="1">
      <c r="A118" s="148"/>
      <c r="B118" s="8"/>
      <c r="C118" s="36"/>
      <c r="D118" s="36"/>
      <c r="E118" s="35"/>
      <c r="F118" s="35"/>
      <c r="G118" s="35"/>
      <c r="H118" s="151"/>
    </row>
    <row r="119" spans="1:8" ht="40.5" customHeight="1">
      <c r="A119" s="148"/>
      <c r="B119" s="8"/>
      <c r="C119" s="36"/>
      <c r="D119" s="36"/>
      <c r="E119" s="35"/>
      <c r="F119" s="35"/>
      <c r="G119" s="35"/>
      <c r="H119" s="151"/>
    </row>
    <row r="120" spans="1:8" ht="40.5" customHeight="1">
      <c r="A120" s="148"/>
      <c r="B120" s="8"/>
      <c r="C120" s="36"/>
      <c r="D120" s="36"/>
      <c r="E120" s="35"/>
      <c r="F120" s="35"/>
      <c r="G120" s="35"/>
      <c r="H120" s="151"/>
    </row>
    <row r="121" spans="1:8" ht="40.5" customHeight="1">
      <c r="A121" s="148"/>
      <c r="B121" s="8"/>
      <c r="C121" s="36"/>
      <c r="D121" s="36"/>
      <c r="E121" s="35"/>
      <c r="F121" s="35"/>
      <c r="G121" s="35"/>
      <c r="H121" s="151"/>
    </row>
    <row r="122" spans="1:8" ht="40.5" customHeight="1">
      <c r="A122" s="148"/>
      <c r="B122" s="8"/>
      <c r="C122" s="36"/>
      <c r="D122" s="36"/>
      <c r="E122" s="35"/>
      <c r="F122" s="35"/>
      <c r="G122" s="35"/>
      <c r="H122" s="151"/>
    </row>
    <row r="123" spans="1:8" ht="40.5" customHeight="1">
      <c r="A123" s="148"/>
      <c r="B123" s="8"/>
      <c r="C123" s="36"/>
      <c r="D123" s="36"/>
      <c r="E123" s="35"/>
      <c r="F123" s="35"/>
      <c r="G123" s="35"/>
      <c r="H123" s="151"/>
    </row>
    <row r="124" spans="1:8" ht="40.5" customHeight="1">
      <c r="A124" s="148"/>
      <c r="B124" s="8"/>
      <c r="C124" s="36"/>
      <c r="D124" s="36"/>
      <c r="E124" s="35"/>
      <c r="F124" s="35"/>
      <c r="G124" s="35"/>
      <c r="H124" s="151"/>
    </row>
    <row r="125" spans="1:8" ht="40.5" customHeight="1">
      <c r="A125" s="148"/>
      <c r="B125" s="8"/>
      <c r="C125" s="36"/>
      <c r="D125" s="36"/>
      <c r="E125" s="35"/>
      <c r="F125" s="35"/>
      <c r="G125" s="35"/>
      <c r="H125" s="151"/>
    </row>
    <row r="126" spans="1:8" ht="40.5" customHeight="1">
      <c r="A126" s="148"/>
      <c r="B126" s="8"/>
      <c r="C126" s="36"/>
      <c r="D126" s="36"/>
      <c r="E126" s="35"/>
      <c r="F126" s="35"/>
      <c r="G126" s="35"/>
      <c r="H126" s="151"/>
    </row>
    <row r="127" spans="1:8" ht="40.5" customHeight="1">
      <c r="A127" s="148"/>
      <c r="B127" s="8"/>
      <c r="C127" s="36"/>
      <c r="D127" s="36"/>
      <c r="E127" s="35"/>
      <c r="F127" s="35"/>
      <c r="G127" s="35"/>
      <c r="H127" s="151"/>
    </row>
    <row r="128" spans="1:8" ht="40.5" customHeight="1">
      <c r="A128" s="148"/>
      <c r="B128" s="8"/>
      <c r="C128" s="36"/>
      <c r="D128" s="36"/>
      <c r="E128" s="35"/>
      <c r="F128" s="35"/>
      <c r="G128" s="35"/>
      <c r="H128" s="151"/>
    </row>
    <row r="129" spans="1:8" ht="40.5" customHeight="1">
      <c r="A129" s="148"/>
      <c r="B129" s="8"/>
      <c r="C129" s="36"/>
      <c r="D129" s="36"/>
      <c r="E129" s="35"/>
      <c r="F129" s="35"/>
      <c r="G129" s="35"/>
      <c r="H129" s="151"/>
    </row>
    <row r="130" spans="1:8" ht="40.5" customHeight="1">
      <c r="A130" s="148"/>
      <c r="B130" s="8"/>
      <c r="C130" s="36"/>
      <c r="D130" s="36"/>
      <c r="E130" s="35"/>
      <c r="F130" s="35"/>
      <c r="G130" s="35"/>
      <c r="H130" s="151"/>
    </row>
    <row r="131" spans="1:8" ht="40.5" customHeight="1">
      <c r="A131" s="148"/>
      <c r="B131" s="8"/>
      <c r="C131" s="36"/>
      <c r="D131" s="36"/>
      <c r="E131" s="35"/>
      <c r="F131" s="35"/>
      <c r="G131" s="35"/>
      <c r="H131" s="151"/>
    </row>
    <row r="132" spans="1:8" ht="40.5" customHeight="1">
      <c r="A132" s="148"/>
      <c r="B132" s="8"/>
      <c r="C132" s="36"/>
      <c r="D132" s="36"/>
      <c r="E132" s="35"/>
      <c r="F132" s="35"/>
      <c r="G132" s="35"/>
      <c r="H132" s="151"/>
    </row>
    <row r="133" spans="1:8" ht="40.5" customHeight="1">
      <c r="A133" s="148"/>
      <c r="B133" s="8"/>
      <c r="C133" s="36"/>
      <c r="D133" s="36"/>
      <c r="E133" s="35"/>
      <c r="F133" s="35"/>
      <c r="G133" s="35"/>
      <c r="H133" s="151"/>
    </row>
    <row r="134" spans="1:8" ht="40.5" customHeight="1">
      <c r="A134" s="148"/>
      <c r="B134" s="8"/>
      <c r="C134" s="36"/>
      <c r="D134" s="36"/>
      <c r="E134" s="35"/>
      <c r="F134" s="35"/>
      <c r="G134" s="35"/>
      <c r="H134" s="151"/>
    </row>
    <row r="135" spans="1:8" ht="40.5" customHeight="1">
      <c r="A135" s="148"/>
      <c r="B135" s="8"/>
      <c r="C135" s="36"/>
      <c r="D135" s="36"/>
      <c r="E135" s="35"/>
      <c r="F135" s="35"/>
      <c r="G135" s="35"/>
      <c r="H135" s="151"/>
    </row>
    <row r="136" spans="1:8" ht="40.5" customHeight="1">
      <c r="A136" s="148"/>
      <c r="B136" s="8"/>
      <c r="C136" s="36"/>
      <c r="D136" s="36"/>
      <c r="E136" s="35"/>
      <c r="F136" s="35"/>
      <c r="G136" s="35"/>
      <c r="H136" s="151"/>
    </row>
    <row r="137" spans="1:8" ht="40.5" customHeight="1">
      <c r="A137" s="148"/>
      <c r="B137" s="8"/>
      <c r="C137" s="36"/>
      <c r="D137" s="36"/>
      <c r="E137" s="35"/>
      <c r="F137" s="35"/>
      <c r="G137" s="35"/>
      <c r="H137" s="151"/>
    </row>
    <row r="138" spans="1:8" ht="40.5" customHeight="1">
      <c r="A138" s="148"/>
      <c r="B138" s="8"/>
      <c r="C138" s="36"/>
      <c r="D138" s="36"/>
      <c r="E138" s="35"/>
      <c r="F138" s="35"/>
      <c r="G138" s="35"/>
      <c r="H138" s="151"/>
    </row>
    <row r="139" spans="1:8" ht="40.5" customHeight="1">
      <c r="A139" s="148"/>
      <c r="B139" s="8"/>
      <c r="C139" s="36"/>
      <c r="D139" s="36"/>
      <c r="E139" s="35"/>
      <c r="F139" s="35"/>
      <c r="G139" s="35"/>
      <c r="H139" s="151"/>
    </row>
    <row r="140" spans="1:8" ht="40.5" customHeight="1">
      <c r="A140" s="148"/>
      <c r="B140" s="8"/>
      <c r="C140" s="36"/>
      <c r="D140" s="36"/>
      <c r="E140" s="35"/>
      <c r="F140" s="35"/>
      <c r="G140" s="35"/>
      <c r="H140" s="151"/>
    </row>
    <row r="141" spans="1:8" ht="40.5" customHeight="1">
      <c r="A141" s="148"/>
      <c r="B141" s="8"/>
      <c r="C141" s="36"/>
      <c r="D141" s="36"/>
      <c r="E141" s="35"/>
      <c r="F141" s="35"/>
      <c r="G141" s="35"/>
      <c r="H141" s="151"/>
    </row>
    <row r="142" spans="1:8" ht="40.5" customHeight="1">
      <c r="A142" s="148"/>
      <c r="B142" s="8"/>
      <c r="C142" s="36"/>
      <c r="D142" s="36"/>
      <c r="E142" s="35"/>
      <c r="F142" s="35"/>
      <c r="G142" s="35"/>
      <c r="H142" s="151"/>
    </row>
    <row r="143" spans="1:8" ht="40.5" customHeight="1">
      <c r="A143" s="148"/>
      <c r="B143" s="8"/>
      <c r="C143" s="36"/>
      <c r="D143" s="36"/>
      <c r="E143" s="35"/>
      <c r="F143" s="35"/>
      <c r="G143" s="35"/>
      <c r="H143" s="151"/>
    </row>
    <row r="144" spans="1:8" ht="40.5" customHeight="1">
      <c r="A144" s="148"/>
      <c r="B144" s="8"/>
      <c r="C144" s="36"/>
      <c r="D144" s="36"/>
      <c r="E144" s="35"/>
      <c r="F144" s="35"/>
      <c r="G144" s="35"/>
      <c r="H144" s="151"/>
    </row>
    <row r="145" spans="1:8" ht="40.5" customHeight="1">
      <c r="A145" s="148"/>
      <c r="B145" s="8"/>
      <c r="C145" s="36"/>
      <c r="D145" s="36"/>
      <c r="E145" s="35"/>
      <c r="F145" s="35"/>
      <c r="G145" s="35"/>
      <c r="H145" s="151"/>
    </row>
    <row r="146" spans="1:8" ht="40.5" customHeight="1">
      <c r="A146" s="148"/>
      <c r="B146" s="8"/>
      <c r="C146" s="36"/>
      <c r="D146" s="36"/>
      <c r="E146" s="35"/>
      <c r="F146" s="35"/>
      <c r="G146" s="35"/>
      <c r="H146" s="151"/>
    </row>
    <row r="147" spans="1:8" ht="40.5" customHeight="1">
      <c r="A147" s="148"/>
      <c r="B147" s="8"/>
      <c r="C147" s="36"/>
      <c r="D147" s="36"/>
      <c r="E147" s="35"/>
      <c r="F147" s="35"/>
      <c r="G147" s="35"/>
      <c r="H147" s="151"/>
    </row>
    <row r="148" spans="1:8" ht="40.5" customHeight="1">
      <c r="A148" s="148"/>
      <c r="B148" s="8"/>
      <c r="C148" s="36"/>
      <c r="D148" s="36"/>
      <c r="E148" s="35"/>
      <c r="F148" s="35"/>
      <c r="G148" s="35"/>
      <c r="H148" s="151"/>
    </row>
    <row r="149" spans="1:8" ht="40.5" customHeight="1">
      <c r="A149" s="148"/>
      <c r="B149" s="8"/>
      <c r="C149" s="36"/>
      <c r="D149" s="36"/>
      <c r="E149" s="35"/>
      <c r="F149" s="35"/>
      <c r="G149" s="35"/>
      <c r="H149" s="151"/>
    </row>
    <row r="150" spans="1:8" ht="40.5" customHeight="1">
      <c r="A150" s="148"/>
      <c r="B150" s="8"/>
      <c r="C150" s="36"/>
      <c r="D150" s="36"/>
      <c r="E150" s="35"/>
      <c r="F150" s="35"/>
      <c r="G150" s="35"/>
      <c r="H150" s="151"/>
    </row>
    <row r="151" spans="1:8" ht="40.5" customHeight="1">
      <c r="A151" s="148"/>
      <c r="B151" s="8"/>
      <c r="C151" s="36"/>
      <c r="D151" s="36"/>
      <c r="E151" s="35"/>
      <c r="F151" s="35"/>
      <c r="G151" s="35"/>
      <c r="H151" s="151"/>
    </row>
    <row r="152" spans="1:8" ht="40.5" customHeight="1">
      <c r="A152" s="148"/>
      <c r="B152" s="8"/>
      <c r="C152" s="36"/>
      <c r="D152" s="36"/>
      <c r="E152" s="35"/>
      <c r="F152" s="35"/>
      <c r="G152" s="35"/>
      <c r="H152" s="151"/>
    </row>
    <row r="153" spans="1:8" ht="40.5" customHeight="1">
      <c r="A153" s="148"/>
      <c r="B153" s="8"/>
      <c r="C153" s="36"/>
      <c r="D153" s="36"/>
      <c r="E153" s="35"/>
      <c r="F153" s="35"/>
      <c r="G153" s="35"/>
      <c r="H153" s="151"/>
    </row>
    <row r="154" spans="1:8" ht="40.5" customHeight="1">
      <c r="A154" s="148"/>
      <c r="B154" s="8"/>
      <c r="C154" s="36"/>
      <c r="D154" s="36"/>
      <c r="E154" s="35"/>
      <c r="F154" s="35"/>
      <c r="G154" s="35"/>
      <c r="H154" s="151"/>
    </row>
    <row r="155" spans="1:8" ht="40.5" customHeight="1">
      <c r="A155" s="148"/>
      <c r="B155" s="8"/>
      <c r="C155" s="36"/>
      <c r="D155" s="36"/>
      <c r="E155" s="35"/>
      <c r="F155" s="35"/>
      <c r="G155" s="35"/>
      <c r="H155" s="151"/>
    </row>
    <row r="156" spans="1:8" ht="40.5" customHeight="1">
      <c r="A156" s="148"/>
      <c r="B156" s="8"/>
      <c r="C156" s="36"/>
      <c r="D156" s="36"/>
      <c r="E156" s="35"/>
      <c r="F156" s="35"/>
      <c r="G156" s="35"/>
      <c r="H156" s="151"/>
    </row>
    <row r="157" spans="1:8" ht="40.5" customHeight="1">
      <c r="A157" s="148"/>
      <c r="B157" s="8"/>
      <c r="C157" s="36"/>
      <c r="D157" s="36"/>
      <c r="E157" s="35"/>
      <c r="F157" s="35"/>
      <c r="G157" s="35"/>
      <c r="H157" s="151"/>
    </row>
    <row r="158" spans="1:8" ht="40.5" customHeight="1">
      <c r="A158" s="148"/>
      <c r="B158" s="8"/>
      <c r="C158" s="36"/>
      <c r="D158" s="36"/>
      <c r="E158" s="35"/>
      <c r="F158" s="35"/>
      <c r="G158" s="35"/>
      <c r="H158" s="151"/>
    </row>
    <row r="159" spans="1:8" ht="40.5" customHeight="1">
      <c r="A159" s="148"/>
      <c r="B159" s="8"/>
      <c r="C159" s="36"/>
      <c r="D159" s="36"/>
      <c r="E159" s="35"/>
      <c r="F159" s="35"/>
      <c r="G159" s="35"/>
      <c r="H159" s="151"/>
    </row>
    <row r="160" spans="1:8" ht="40.5" customHeight="1">
      <c r="A160" s="148"/>
      <c r="B160" s="8"/>
      <c r="C160" s="36"/>
      <c r="D160" s="36"/>
      <c r="E160" s="35"/>
      <c r="F160" s="35"/>
      <c r="G160" s="35"/>
      <c r="H160" s="151"/>
    </row>
    <row r="161" spans="1:8" ht="40.5" customHeight="1">
      <c r="A161" s="148"/>
      <c r="B161" s="8"/>
      <c r="C161" s="36"/>
      <c r="D161" s="36"/>
      <c r="E161" s="35"/>
      <c r="F161" s="35"/>
      <c r="G161" s="35"/>
      <c r="H161" s="151"/>
    </row>
    <row r="162" spans="1:8" ht="40.5" customHeight="1">
      <c r="A162" s="148"/>
      <c r="B162" s="8"/>
      <c r="C162" s="36"/>
      <c r="D162" s="36"/>
      <c r="E162" s="35"/>
      <c r="F162" s="35"/>
      <c r="G162" s="35"/>
      <c r="H162" s="151"/>
    </row>
    <row r="163" spans="1:8" ht="40.5" customHeight="1">
      <c r="A163" s="148"/>
      <c r="B163" s="8"/>
      <c r="C163" s="36"/>
      <c r="D163" s="36"/>
      <c r="E163" s="35"/>
      <c r="F163" s="35"/>
      <c r="G163" s="35"/>
      <c r="H163" s="151"/>
    </row>
    <row r="164" spans="1:8" ht="40.5" customHeight="1">
      <c r="A164" s="148"/>
      <c r="B164" s="8"/>
      <c r="C164" s="36"/>
      <c r="D164" s="36"/>
      <c r="E164" s="35"/>
      <c r="F164" s="35"/>
      <c r="G164" s="35"/>
      <c r="H164" s="151"/>
    </row>
    <row r="165" spans="1:8" ht="40.5" customHeight="1">
      <c r="A165" s="148"/>
      <c r="B165" s="8"/>
      <c r="C165" s="36"/>
      <c r="D165" s="36"/>
      <c r="E165" s="35"/>
      <c r="F165" s="35"/>
      <c r="G165" s="35"/>
      <c r="H165" s="151"/>
    </row>
    <row r="166" spans="1:8" ht="40.5" customHeight="1">
      <c r="A166" s="148"/>
      <c r="B166" s="8"/>
      <c r="C166" s="36"/>
      <c r="D166" s="36"/>
      <c r="E166" s="35"/>
      <c r="F166" s="35"/>
      <c r="G166" s="35"/>
      <c r="H166" s="151"/>
    </row>
    <row r="167" spans="1:8" ht="40.5" customHeight="1">
      <c r="A167" s="148"/>
      <c r="B167" s="8"/>
      <c r="C167" s="36"/>
      <c r="D167" s="36"/>
      <c r="E167" s="35"/>
      <c r="F167" s="35"/>
      <c r="G167" s="35"/>
      <c r="H167" s="151"/>
    </row>
    <row r="168" spans="1:8" ht="40.5" customHeight="1">
      <c r="A168" s="148"/>
      <c r="B168" s="8"/>
      <c r="C168" s="36"/>
      <c r="D168" s="36"/>
      <c r="E168" s="35"/>
      <c r="F168" s="35"/>
      <c r="G168" s="35"/>
      <c r="H168" s="151"/>
    </row>
    <row r="169" spans="1:8" ht="40.5" customHeight="1">
      <c r="A169" s="148"/>
      <c r="B169" s="8"/>
      <c r="C169" s="36"/>
      <c r="D169" s="36"/>
      <c r="E169" s="35"/>
      <c r="F169" s="35"/>
      <c r="G169" s="35"/>
      <c r="H169" s="151"/>
    </row>
    <row r="170" spans="1:8" ht="40.5" customHeight="1">
      <c r="A170" s="148"/>
      <c r="B170" s="8"/>
      <c r="C170" s="36"/>
      <c r="D170" s="36"/>
      <c r="E170" s="35"/>
      <c r="F170" s="35"/>
      <c r="G170" s="35"/>
      <c r="H170" s="151"/>
    </row>
    <row r="171" spans="1:8" ht="40.5" customHeight="1">
      <c r="A171" s="148"/>
      <c r="B171" s="8"/>
      <c r="C171" s="36"/>
      <c r="D171" s="36"/>
      <c r="E171" s="35"/>
      <c r="F171" s="35"/>
      <c r="G171" s="35"/>
      <c r="H171" s="151"/>
    </row>
    <row r="172" spans="1:8" ht="40.5" customHeight="1">
      <c r="A172" s="148"/>
      <c r="B172" s="8"/>
      <c r="C172" s="36"/>
      <c r="D172" s="36"/>
      <c r="E172" s="35"/>
      <c r="F172" s="35"/>
      <c r="G172" s="35"/>
      <c r="H172" s="151"/>
    </row>
    <row r="173" spans="1:8" ht="40.5" customHeight="1">
      <c r="A173" s="148"/>
      <c r="B173" s="8"/>
      <c r="C173" s="36"/>
      <c r="D173" s="36"/>
      <c r="E173" s="35"/>
      <c r="F173" s="35"/>
      <c r="G173" s="35"/>
      <c r="H173" s="151"/>
    </row>
    <row r="174" spans="1:8" ht="40.5" customHeight="1">
      <c r="A174" s="148"/>
      <c r="B174" s="8"/>
      <c r="C174" s="36"/>
      <c r="D174" s="36"/>
      <c r="E174" s="35"/>
      <c r="F174" s="35"/>
      <c r="G174" s="35"/>
      <c r="H174" s="151"/>
    </row>
    <row r="175" spans="1:8" ht="40.5" customHeight="1">
      <c r="A175" s="148"/>
      <c r="B175" s="8"/>
      <c r="C175" s="36"/>
      <c r="D175" s="36"/>
      <c r="E175" s="35"/>
      <c r="F175" s="35"/>
      <c r="G175" s="35"/>
      <c r="H175" s="151"/>
    </row>
    <row r="176" spans="1:8" ht="40.5" customHeight="1">
      <c r="A176" s="148"/>
      <c r="B176" s="8"/>
      <c r="C176" s="36"/>
      <c r="D176" s="36"/>
      <c r="E176" s="35"/>
      <c r="F176" s="35"/>
      <c r="G176" s="35"/>
      <c r="H176" s="151"/>
    </row>
    <row r="177" spans="1:8" ht="40.5" customHeight="1">
      <c r="A177" s="148"/>
      <c r="B177" s="8"/>
      <c r="C177" s="36"/>
      <c r="D177" s="36"/>
      <c r="E177" s="35"/>
      <c r="F177" s="35"/>
      <c r="G177" s="35"/>
      <c r="H177" s="151"/>
    </row>
    <row r="178" spans="1:8" ht="40.5" customHeight="1">
      <c r="A178" s="148"/>
      <c r="B178" s="8"/>
      <c r="C178" s="36"/>
      <c r="D178" s="36"/>
      <c r="E178" s="35"/>
      <c r="F178" s="35"/>
      <c r="G178" s="35"/>
      <c r="H178" s="151"/>
    </row>
    <row r="179" spans="1:8" ht="40.5" customHeight="1">
      <c r="A179" s="148"/>
      <c r="B179" s="8"/>
      <c r="C179" s="36"/>
      <c r="D179" s="36"/>
      <c r="E179" s="35"/>
      <c r="F179" s="35"/>
      <c r="G179" s="35"/>
      <c r="H179" s="151"/>
    </row>
    <row r="180" spans="1:8" ht="40.5" customHeight="1">
      <c r="A180" s="148"/>
      <c r="B180" s="8"/>
      <c r="C180" s="36"/>
      <c r="D180" s="36"/>
      <c r="E180" s="35"/>
      <c r="F180" s="35"/>
      <c r="G180" s="35"/>
      <c r="H180" s="151"/>
    </row>
    <row r="181" spans="1:8" ht="40.5" customHeight="1">
      <c r="A181" s="148"/>
      <c r="B181" s="8"/>
      <c r="C181" s="36"/>
      <c r="D181" s="36"/>
      <c r="E181" s="35"/>
      <c r="F181" s="35"/>
      <c r="G181" s="35"/>
      <c r="H181" s="151"/>
    </row>
    <row r="182" spans="1:8" ht="40.5" customHeight="1">
      <c r="A182" s="148"/>
      <c r="B182" s="8"/>
      <c r="C182" s="36"/>
      <c r="D182" s="36"/>
      <c r="E182" s="35"/>
      <c r="F182" s="35"/>
      <c r="G182" s="35"/>
      <c r="H182" s="151"/>
    </row>
    <row r="183" spans="1:8" ht="40.5" customHeight="1">
      <c r="A183" s="148"/>
      <c r="B183" s="8"/>
      <c r="C183" s="36"/>
      <c r="D183" s="36"/>
      <c r="E183" s="35"/>
      <c r="F183" s="35"/>
      <c r="G183" s="35"/>
      <c r="H183" s="151"/>
    </row>
    <row r="184" spans="1:8" ht="40.5" customHeight="1">
      <c r="A184" s="148"/>
      <c r="B184" s="8"/>
      <c r="C184" s="36"/>
      <c r="D184" s="36"/>
      <c r="E184" s="35"/>
      <c r="F184" s="35"/>
      <c r="G184" s="35"/>
      <c r="H184" s="151"/>
    </row>
    <row r="185" spans="1:8" ht="40.5" customHeight="1">
      <c r="A185" s="148"/>
      <c r="B185" s="8"/>
      <c r="C185" s="36"/>
      <c r="D185" s="36"/>
      <c r="E185" s="35"/>
      <c r="F185" s="35"/>
      <c r="G185" s="35"/>
      <c r="H185" s="151"/>
    </row>
    <row r="186" spans="1:8" ht="40.5" customHeight="1">
      <c r="A186" s="148"/>
      <c r="B186" s="8"/>
      <c r="C186" s="36"/>
      <c r="D186" s="36"/>
      <c r="E186" s="35"/>
      <c r="F186" s="35"/>
      <c r="G186" s="35"/>
      <c r="H186" s="151"/>
    </row>
    <row r="187" spans="1:8" ht="40.5" customHeight="1">
      <c r="A187" s="148"/>
      <c r="B187" s="8"/>
      <c r="C187" s="36"/>
      <c r="D187" s="36"/>
      <c r="E187" s="35"/>
      <c r="F187" s="35"/>
      <c r="G187" s="35"/>
      <c r="H187" s="151"/>
    </row>
    <row r="188" spans="1:8" ht="40.5" customHeight="1">
      <c r="A188" s="148"/>
      <c r="B188" s="8"/>
      <c r="C188" s="36"/>
      <c r="D188" s="36"/>
      <c r="E188" s="35"/>
      <c r="F188" s="35"/>
      <c r="G188" s="35"/>
      <c r="H188" s="151"/>
    </row>
    <row r="189" spans="1:8" ht="40.5" customHeight="1">
      <c r="A189" s="148"/>
      <c r="B189" s="8"/>
      <c r="C189" s="36"/>
      <c r="D189" s="36"/>
      <c r="E189" s="35"/>
      <c r="F189" s="35"/>
      <c r="G189" s="35"/>
      <c r="H189" s="151"/>
    </row>
    <row r="190" spans="1:8" ht="40.5" customHeight="1">
      <c r="A190" s="148"/>
      <c r="B190" s="8"/>
      <c r="C190" s="36"/>
      <c r="D190" s="36"/>
      <c r="E190" s="35"/>
      <c r="F190" s="35"/>
      <c r="G190" s="35"/>
      <c r="H190" s="151"/>
    </row>
    <row r="191" spans="1:8" ht="40.5" customHeight="1">
      <c r="A191" s="148"/>
      <c r="B191" s="8"/>
      <c r="C191" s="36"/>
      <c r="D191" s="36"/>
      <c r="E191" s="35"/>
      <c r="F191" s="35"/>
      <c r="G191" s="35"/>
      <c r="H191" s="151"/>
    </row>
    <row r="192" spans="1:8" ht="40.5" customHeight="1">
      <c r="A192" s="148"/>
      <c r="B192" s="8"/>
      <c r="C192" s="36"/>
      <c r="D192" s="36"/>
      <c r="E192" s="35"/>
      <c r="F192" s="35"/>
      <c r="G192" s="35"/>
      <c r="H192" s="151"/>
    </row>
    <row r="193" spans="1:8" ht="40.5" customHeight="1">
      <c r="A193" s="148"/>
      <c r="B193" s="8"/>
      <c r="C193" s="36"/>
      <c r="D193" s="36"/>
      <c r="E193" s="35"/>
      <c r="F193" s="35"/>
      <c r="G193" s="35"/>
      <c r="H193" s="151"/>
    </row>
    <row r="194" spans="1:8" ht="40.5" customHeight="1">
      <c r="A194" s="148"/>
      <c r="B194" s="8"/>
      <c r="C194" s="36"/>
      <c r="D194" s="36"/>
      <c r="E194" s="35"/>
      <c r="F194" s="35"/>
      <c r="G194" s="35"/>
      <c r="H194" s="151"/>
    </row>
    <row r="195" spans="1:8" ht="40.5" customHeight="1">
      <c r="A195" s="148"/>
      <c r="B195" s="8"/>
      <c r="C195" s="36"/>
      <c r="D195" s="36"/>
      <c r="E195" s="35"/>
      <c r="F195" s="35"/>
      <c r="G195" s="35"/>
      <c r="H195" s="151"/>
    </row>
    <row r="196" spans="1:8" ht="40.5" customHeight="1">
      <c r="A196" s="148"/>
      <c r="B196" s="8"/>
      <c r="C196" s="36"/>
      <c r="D196" s="36"/>
      <c r="E196" s="35"/>
      <c r="F196" s="35"/>
      <c r="G196" s="35"/>
      <c r="H196" s="151"/>
    </row>
    <row r="197" spans="1:8" ht="40.5" customHeight="1">
      <c r="A197" s="148"/>
      <c r="B197" s="8"/>
      <c r="C197" s="36"/>
      <c r="D197" s="36"/>
      <c r="E197" s="35"/>
      <c r="F197" s="35"/>
      <c r="G197" s="35"/>
      <c r="H197" s="151"/>
    </row>
    <row r="198" spans="1:8" ht="40.5" customHeight="1">
      <c r="A198" s="148"/>
      <c r="B198" s="8"/>
      <c r="C198" s="36"/>
      <c r="D198" s="36"/>
      <c r="E198" s="35"/>
      <c r="F198" s="35"/>
      <c r="G198" s="35"/>
      <c r="H198" s="151"/>
    </row>
    <row r="199" spans="1:8" ht="40.5" customHeight="1">
      <c r="A199" s="148"/>
      <c r="B199" s="8"/>
      <c r="C199" s="36"/>
      <c r="D199" s="36"/>
      <c r="E199" s="35"/>
      <c r="F199" s="35"/>
      <c r="G199" s="35"/>
      <c r="H199" s="151"/>
    </row>
    <row r="200" spans="1:8" ht="40.5" customHeight="1">
      <c r="A200" s="148"/>
      <c r="B200" s="8"/>
      <c r="C200" s="36"/>
      <c r="D200" s="36"/>
      <c r="E200" s="35"/>
      <c r="F200" s="35"/>
      <c r="G200" s="35"/>
      <c r="H200" s="151"/>
    </row>
    <row r="201" spans="1:8" ht="40.5" customHeight="1">
      <c r="A201" s="148"/>
      <c r="B201" s="8"/>
      <c r="C201" s="36"/>
      <c r="D201" s="36"/>
      <c r="E201" s="35"/>
      <c r="F201" s="35"/>
      <c r="G201" s="35"/>
      <c r="H201" s="151"/>
    </row>
    <row r="202" spans="1:8" ht="40.5" customHeight="1">
      <c r="A202" s="148"/>
      <c r="B202" s="8"/>
      <c r="C202" s="36"/>
      <c r="D202" s="36"/>
      <c r="E202" s="35"/>
      <c r="F202" s="35"/>
      <c r="G202" s="35"/>
      <c r="H202" s="151"/>
    </row>
    <row r="203" spans="1:8" ht="40.5" customHeight="1">
      <c r="A203" s="148"/>
      <c r="B203" s="8"/>
      <c r="C203" s="36"/>
      <c r="D203" s="36"/>
      <c r="E203" s="35"/>
      <c r="F203" s="35"/>
      <c r="G203" s="35"/>
      <c r="H203" s="151"/>
    </row>
    <row r="204" spans="1:8" ht="40.5" customHeight="1">
      <c r="A204" s="148"/>
      <c r="B204" s="8"/>
      <c r="C204" s="36"/>
      <c r="D204" s="36"/>
      <c r="E204" s="35"/>
      <c r="F204" s="35"/>
      <c r="G204" s="35"/>
      <c r="H204" s="151"/>
    </row>
    <row r="205" spans="1:8" ht="40.5" customHeight="1">
      <c r="A205" s="148"/>
      <c r="B205" s="8"/>
      <c r="C205" s="36"/>
      <c r="D205" s="36"/>
      <c r="E205" s="35"/>
      <c r="F205" s="35"/>
      <c r="G205" s="35"/>
      <c r="H205" s="151"/>
    </row>
    <row r="206" spans="1:8" ht="40.5" customHeight="1">
      <c r="A206" s="148"/>
      <c r="B206" s="8"/>
      <c r="C206" s="36"/>
      <c r="D206" s="36"/>
      <c r="E206" s="35"/>
      <c r="F206" s="35"/>
      <c r="G206" s="35"/>
      <c r="H206" s="151"/>
    </row>
    <row r="207" spans="1:8" ht="40.5" customHeight="1">
      <c r="A207" s="148"/>
      <c r="B207" s="8"/>
      <c r="C207" s="36"/>
      <c r="D207" s="36"/>
      <c r="E207" s="35"/>
      <c r="F207" s="35"/>
      <c r="G207" s="35"/>
      <c r="H207" s="151"/>
    </row>
    <row r="208" spans="1:8" ht="40.5" customHeight="1">
      <c r="A208" s="148"/>
      <c r="B208" s="8"/>
      <c r="C208" s="36"/>
      <c r="D208" s="36"/>
      <c r="E208" s="35"/>
      <c r="F208" s="35"/>
      <c r="G208" s="35"/>
      <c r="H208" s="151"/>
    </row>
    <row r="209" spans="1:8" ht="40.5" customHeight="1">
      <c r="A209" s="148"/>
      <c r="B209" s="8"/>
      <c r="C209" s="36"/>
      <c r="D209" s="36"/>
      <c r="E209" s="35"/>
      <c r="F209" s="35"/>
      <c r="G209" s="35"/>
      <c r="H209" s="151"/>
    </row>
    <row r="210" spans="1:8" ht="40.5" customHeight="1">
      <c r="A210" s="148"/>
      <c r="B210" s="8"/>
      <c r="C210" s="36"/>
      <c r="D210" s="36"/>
      <c r="E210" s="35"/>
      <c r="F210" s="35"/>
      <c r="G210" s="35"/>
      <c r="H210" s="151"/>
    </row>
    <row r="211" spans="1:8" ht="40.5" customHeight="1">
      <c r="A211" s="148"/>
      <c r="B211" s="8"/>
      <c r="C211" s="36"/>
      <c r="D211" s="36"/>
      <c r="E211" s="35"/>
      <c r="F211" s="35"/>
      <c r="G211" s="35"/>
      <c r="H211" s="151"/>
    </row>
    <row r="212" spans="1:8" ht="40.5" customHeight="1">
      <c r="A212" s="148"/>
      <c r="B212" s="8"/>
      <c r="C212" s="36"/>
      <c r="D212" s="36"/>
      <c r="E212" s="35"/>
      <c r="F212" s="35"/>
      <c r="G212" s="35"/>
      <c r="H212" s="151"/>
    </row>
    <row r="213" spans="1:8" ht="40.5" customHeight="1">
      <c r="A213" s="148"/>
      <c r="B213" s="8"/>
      <c r="C213" s="36"/>
      <c r="D213" s="36"/>
      <c r="E213" s="35"/>
      <c r="F213" s="35"/>
      <c r="G213" s="35"/>
      <c r="H213" s="151"/>
    </row>
    <row r="214" spans="1:8" ht="40.5" customHeight="1">
      <c r="A214" s="148"/>
      <c r="B214" s="8"/>
      <c r="C214" s="36"/>
      <c r="D214" s="36"/>
      <c r="E214" s="35"/>
      <c r="F214" s="35"/>
      <c r="G214" s="35"/>
      <c r="H214" s="151"/>
    </row>
    <row r="215" spans="1:8" ht="40.5" customHeight="1">
      <c r="A215" s="148"/>
      <c r="B215" s="8"/>
      <c r="C215" s="36"/>
      <c r="D215" s="36"/>
      <c r="E215" s="35"/>
      <c r="F215" s="35"/>
      <c r="G215" s="35"/>
      <c r="H215" s="151"/>
    </row>
    <row r="216" spans="1:8" ht="40.5" customHeight="1">
      <c r="A216" s="148"/>
      <c r="B216" s="8"/>
      <c r="C216" s="36"/>
      <c r="D216" s="36"/>
      <c r="E216" s="35"/>
      <c r="F216" s="35"/>
      <c r="G216" s="35"/>
      <c r="H216" s="151"/>
    </row>
    <row r="217" spans="1:8" ht="40.5" customHeight="1">
      <c r="A217" s="148"/>
      <c r="B217" s="8"/>
      <c r="C217" s="36"/>
      <c r="D217" s="36"/>
      <c r="E217" s="35"/>
      <c r="F217" s="35"/>
      <c r="G217" s="35"/>
      <c r="H217" s="151"/>
    </row>
    <row r="218" spans="1:8" ht="25.8">
      <c r="A218" s="148"/>
      <c r="B218" s="8"/>
      <c r="C218" s="36"/>
      <c r="D218" s="36"/>
      <c r="E218" s="35"/>
      <c r="F218" s="35"/>
      <c r="G218" s="35"/>
      <c r="H218" s="151"/>
    </row>
    <row r="219" spans="1:8" ht="25.8">
      <c r="A219" s="148"/>
      <c r="B219" s="8"/>
      <c r="C219" s="36"/>
      <c r="D219" s="36"/>
      <c r="E219" s="35"/>
      <c r="F219" s="35"/>
      <c r="G219" s="35"/>
      <c r="H219" s="151"/>
    </row>
    <row r="220" spans="1:8" ht="25.8">
      <c r="A220" s="148"/>
      <c r="B220" s="8"/>
      <c r="C220" s="36"/>
      <c r="D220" s="36"/>
      <c r="E220" s="35"/>
      <c r="F220" s="35"/>
      <c r="G220" s="35"/>
      <c r="H220" s="151"/>
    </row>
    <row r="221" spans="1:8" ht="25.8">
      <c r="A221" s="148"/>
      <c r="B221" s="8"/>
      <c r="C221" s="36"/>
      <c r="D221" s="36"/>
      <c r="E221" s="35"/>
      <c r="F221" s="35"/>
      <c r="G221" s="35"/>
      <c r="H221" s="151"/>
    </row>
    <row r="222" spans="1:8" ht="25.8">
      <c r="A222" s="148"/>
      <c r="B222" s="8"/>
      <c r="C222" s="36"/>
      <c r="D222" s="36"/>
      <c r="E222" s="35"/>
      <c r="F222" s="35"/>
      <c r="G222" s="35"/>
      <c r="H222" s="151"/>
    </row>
    <row r="223" spans="1:8" ht="25.8">
      <c r="A223" s="148"/>
      <c r="B223" s="8"/>
      <c r="C223" s="36"/>
      <c r="D223" s="36"/>
      <c r="E223" s="35"/>
      <c r="F223" s="35"/>
      <c r="G223" s="35"/>
      <c r="H223" s="151"/>
    </row>
    <row r="224" spans="1:8" ht="25.8">
      <c r="A224" s="148"/>
      <c r="B224" s="8"/>
      <c r="C224" s="36"/>
      <c r="D224" s="36"/>
      <c r="E224" s="35"/>
      <c r="F224" s="35"/>
      <c r="G224" s="35"/>
      <c r="H224" s="151"/>
    </row>
    <row r="225" spans="1:8" ht="25.8">
      <c r="A225" s="148"/>
      <c r="B225" s="8"/>
      <c r="C225" s="36"/>
      <c r="D225" s="36"/>
      <c r="E225" s="35"/>
      <c r="F225" s="35"/>
      <c r="G225" s="35"/>
      <c r="H225" s="151"/>
    </row>
    <row r="226" spans="1:8" ht="25.8">
      <c r="A226" s="148"/>
      <c r="B226" s="8"/>
      <c r="C226" s="36"/>
      <c r="D226" s="36"/>
      <c r="E226" s="35"/>
      <c r="F226" s="35"/>
      <c r="G226" s="35"/>
      <c r="H226" s="151"/>
    </row>
    <row r="227" spans="1:8" ht="25.8">
      <c r="A227" s="148"/>
      <c r="B227" s="8"/>
      <c r="C227" s="36"/>
      <c r="D227" s="36"/>
      <c r="E227" s="35"/>
      <c r="F227" s="35"/>
      <c r="G227" s="35"/>
      <c r="H227" s="151"/>
    </row>
    <row r="228" spans="1:8" ht="25.8">
      <c r="A228" s="148"/>
      <c r="B228" s="8"/>
      <c r="C228" s="36"/>
      <c r="D228" s="36"/>
      <c r="E228" s="35"/>
      <c r="F228" s="35"/>
      <c r="G228" s="35"/>
      <c r="H228" s="151"/>
    </row>
    <row r="229" spans="1:8" ht="25.8">
      <c r="A229" s="148"/>
      <c r="B229" s="8"/>
      <c r="C229" s="36"/>
      <c r="D229" s="36"/>
      <c r="E229" s="35"/>
      <c r="F229" s="35"/>
      <c r="G229" s="35"/>
      <c r="H229" s="151"/>
    </row>
    <row r="230" spans="1:8" ht="25.8">
      <c r="A230" s="148"/>
      <c r="B230" s="8"/>
      <c r="C230" s="36"/>
      <c r="D230" s="36"/>
      <c r="E230" s="35"/>
      <c r="F230" s="35"/>
      <c r="G230" s="35"/>
      <c r="H230" s="151"/>
    </row>
    <row r="231" spans="1:8" ht="25.8">
      <c r="A231" s="148"/>
      <c r="B231" s="8"/>
      <c r="C231" s="36"/>
      <c r="D231" s="36"/>
      <c r="E231" s="35"/>
      <c r="F231" s="35"/>
      <c r="G231" s="35"/>
      <c r="H231" s="151"/>
    </row>
    <row r="232" spans="1:8" ht="25.8">
      <c r="A232" s="148"/>
      <c r="B232" s="8"/>
      <c r="C232" s="36"/>
      <c r="D232" s="36"/>
      <c r="E232" s="35"/>
      <c r="F232" s="35"/>
      <c r="G232" s="35"/>
      <c r="H232" s="151"/>
    </row>
    <row r="233" spans="1:8" ht="25.8">
      <c r="A233" s="148"/>
      <c r="B233" s="8"/>
      <c r="C233" s="36"/>
      <c r="D233" s="36"/>
      <c r="E233" s="35"/>
      <c r="F233" s="35"/>
      <c r="G233" s="35"/>
      <c r="H233" s="151"/>
    </row>
    <row r="234" spans="1:8" ht="25.8">
      <c r="A234" s="148"/>
      <c r="B234" s="8"/>
      <c r="C234" s="36"/>
      <c r="D234" s="36"/>
      <c r="E234" s="35"/>
      <c r="F234" s="35"/>
      <c r="G234" s="35"/>
      <c r="H234" s="151"/>
    </row>
    <row r="235" spans="1:8" ht="25.8">
      <c r="A235" s="148"/>
      <c r="B235" s="8"/>
      <c r="C235" s="36"/>
      <c r="D235" s="36"/>
      <c r="E235" s="35"/>
      <c r="F235" s="35"/>
      <c r="G235" s="35"/>
      <c r="H235" s="151"/>
    </row>
    <row r="236" spans="1:8" ht="25.8">
      <c r="A236" s="148"/>
      <c r="B236" s="8"/>
      <c r="C236" s="36"/>
      <c r="D236" s="36"/>
      <c r="E236" s="35"/>
      <c r="F236" s="35"/>
      <c r="G236" s="35"/>
      <c r="H236" s="151"/>
    </row>
    <row r="237" spans="1:8" ht="25.8">
      <c r="A237" s="148"/>
      <c r="B237" s="8"/>
      <c r="C237" s="36"/>
      <c r="D237" s="36"/>
      <c r="E237" s="35"/>
      <c r="F237" s="35"/>
      <c r="G237" s="35"/>
      <c r="H237" s="151"/>
    </row>
    <row r="238" spans="1:8" ht="25.8">
      <c r="A238" s="148"/>
      <c r="B238" s="8"/>
      <c r="C238" s="36"/>
      <c r="D238" s="36"/>
      <c r="E238" s="35"/>
      <c r="F238" s="35"/>
      <c r="G238" s="35"/>
      <c r="H238" s="151"/>
    </row>
    <row r="239" spans="1:8" ht="25.8">
      <c r="A239" s="148"/>
      <c r="B239" s="8"/>
      <c r="C239" s="36"/>
      <c r="D239" s="36"/>
      <c r="E239" s="35"/>
      <c r="F239" s="35"/>
      <c r="G239" s="35"/>
      <c r="H239" s="151"/>
    </row>
    <row r="240" spans="1:8" ht="25.8">
      <c r="A240" s="148"/>
      <c r="B240" s="8"/>
      <c r="C240" s="36"/>
      <c r="D240" s="36"/>
      <c r="E240" s="35"/>
      <c r="F240" s="35"/>
      <c r="G240" s="35"/>
      <c r="H240" s="151"/>
    </row>
    <row r="241" spans="1:8" ht="25.8">
      <c r="A241" s="148"/>
      <c r="B241" s="8"/>
      <c r="C241" s="36"/>
      <c r="D241" s="36"/>
      <c r="E241" s="35"/>
      <c r="F241" s="35"/>
      <c r="G241" s="35"/>
      <c r="H241" s="151"/>
    </row>
    <row r="242" spans="1:8" ht="25.8">
      <c r="A242" s="148"/>
      <c r="B242" s="8"/>
      <c r="C242" s="36"/>
      <c r="D242" s="36"/>
      <c r="E242" s="35"/>
      <c r="F242" s="35"/>
      <c r="G242" s="35"/>
      <c r="H242" s="151"/>
    </row>
    <row r="243" spans="1:8" ht="25.8">
      <c r="A243" s="148"/>
      <c r="B243" s="8"/>
      <c r="C243" s="36"/>
      <c r="D243" s="36"/>
      <c r="E243" s="35"/>
      <c r="F243" s="35"/>
      <c r="G243" s="35"/>
      <c r="H243" s="151"/>
    </row>
    <row r="244" spans="1:8" ht="25.8">
      <c r="A244" s="35"/>
      <c r="B244" s="8"/>
      <c r="C244" s="36"/>
      <c r="D244" s="36"/>
      <c r="E244" s="35"/>
      <c r="F244" s="35"/>
      <c r="G244" s="35"/>
      <c r="H244" s="151"/>
    </row>
    <row r="245" spans="1:8" ht="25.8">
      <c r="A245" s="35"/>
      <c r="B245" s="8"/>
      <c r="C245" s="36"/>
      <c r="D245" s="36"/>
      <c r="E245" s="35"/>
      <c r="F245" s="35"/>
      <c r="G245" s="35"/>
      <c r="H245" s="151"/>
    </row>
    <row r="246" spans="1:8" ht="25.8">
      <c r="A246" s="35"/>
      <c r="B246" s="8"/>
      <c r="C246" s="36"/>
      <c r="D246" s="36"/>
      <c r="E246" s="35"/>
      <c r="F246" s="35"/>
      <c r="G246" s="35"/>
      <c r="H246" s="151"/>
    </row>
    <row r="247" spans="1:8" ht="25.8">
      <c r="A247" s="35"/>
      <c r="B247" s="8"/>
      <c r="C247" s="36"/>
      <c r="D247" s="36"/>
      <c r="E247" s="35"/>
      <c r="F247" s="35"/>
      <c r="G247" s="35"/>
      <c r="H247" s="151"/>
    </row>
    <row r="248" spans="1:8" ht="25.8">
      <c r="A248" s="35"/>
      <c r="B248" s="8"/>
      <c r="C248" s="36"/>
      <c r="D248" s="36"/>
      <c r="E248" s="35"/>
      <c r="F248" s="35"/>
      <c r="G248" s="35"/>
      <c r="H248" s="151"/>
    </row>
    <row r="249" spans="1:8" ht="25.8">
      <c r="A249" s="35"/>
      <c r="B249" s="8"/>
      <c r="C249" s="36"/>
      <c r="D249" s="36"/>
      <c r="E249" s="35"/>
      <c r="F249" s="35"/>
      <c r="G249" s="35"/>
      <c r="H249" s="151"/>
    </row>
    <row r="250" spans="1:8" ht="25.8">
      <c r="A250" s="35"/>
      <c r="B250" s="8"/>
      <c r="C250" s="36"/>
      <c r="D250" s="36"/>
      <c r="E250" s="35"/>
      <c r="F250" s="35"/>
      <c r="G250" s="35"/>
      <c r="H250" s="151"/>
    </row>
    <row r="251" spans="1:8" ht="25.8">
      <c r="A251" s="35"/>
      <c r="B251" s="8"/>
      <c r="C251" s="36"/>
      <c r="D251" s="36"/>
      <c r="E251" s="35"/>
      <c r="F251" s="35"/>
      <c r="G251" s="35"/>
      <c r="H251" s="151"/>
    </row>
    <row r="252" spans="1:8" ht="25.8">
      <c r="A252" s="35"/>
      <c r="B252" s="8"/>
      <c r="C252" s="36"/>
      <c r="D252" s="36"/>
      <c r="E252" s="35"/>
      <c r="F252" s="35"/>
      <c r="G252" s="35"/>
      <c r="H252" s="151"/>
    </row>
    <row r="253" spans="1:8" ht="25.8">
      <c r="A253" s="35"/>
      <c r="B253" s="8"/>
      <c r="C253" s="36"/>
      <c r="D253" s="36"/>
      <c r="E253" s="35"/>
      <c r="F253" s="35"/>
      <c r="G253" s="35"/>
      <c r="H253" s="151"/>
    </row>
    <row r="254" spans="1:8" ht="25.8">
      <c r="A254" s="35"/>
      <c r="B254" s="8"/>
      <c r="C254" s="36"/>
      <c r="D254" s="36"/>
      <c r="E254" s="35"/>
      <c r="F254" s="35"/>
      <c r="G254" s="35"/>
      <c r="H254" s="151"/>
    </row>
    <row r="255" spans="1:8" ht="25.8">
      <c r="A255" s="35"/>
      <c r="B255" s="8"/>
      <c r="C255" s="36"/>
      <c r="D255" s="36"/>
      <c r="E255" s="35"/>
      <c r="F255" s="35"/>
      <c r="G255" s="35"/>
      <c r="H255" s="151"/>
    </row>
    <row r="256" spans="1:8" ht="25.8">
      <c r="A256" s="35"/>
      <c r="B256" s="8"/>
      <c r="C256" s="36"/>
      <c r="D256" s="36"/>
      <c r="E256" s="35"/>
      <c r="F256" s="35"/>
      <c r="G256" s="35"/>
      <c r="H256" s="151"/>
    </row>
    <row r="257" spans="1:8" ht="25.8">
      <c r="A257" s="35"/>
      <c r="B257" s="8"/>
      <c r="C257" s="36"/>
      <c r="D257" s="36"/>
      <c r="E257" s="35"/>
      <c r="F257" s="35"/>
      <c r="G257" s="35"/>
      <c r="H257" s="151"/>
    </row>
    <row r="258" spans="1:8" ht="25.8">
      <c r="A258" s="35"/>
      <c r="B258" s="8"/>
      <c r="C258" s="36"/>
      <c r="D258" s="36"/>
      <c r="E258" s="35"/>
      <c r="F258" s="35"/>
      <c r="G258" s="35"/>
      <c r="H258" s="151"/>
    </row>
    <row r="259" spans="1:8" ht="25.8">
      <c r="A259" s="35"/>
      <c r="B259" s="8"/>
      <c r="C259" s="36"/>
      <c r="D259" s="36"/>
      <c r="E259" s="35"/>
      <c r="F259" s="35"/>
      <c r="G259" s="35"/>
      <c r="H259" s="151"/>
    </row>
    <row r="260" spans="1:8" ht="25.8">
      <c r="A260" s="35"/>
      <c r="B260" s="8"/>
      <c r="C260" s="36"/>
      <c r="D260" s="36"/>
      <c r="E260" s="35"/>
      <c r="F260" s="35"/>
      <c r="G260" s="35"/>
      <c r="H260" s="151"/>
    </row>
    <row r="261" spans="1:8" ht="25.8">
      <c r="A261" s="35"/>
      <c r="B261" s="8"/>
      <c r="C261" s="36"/>
      <c r="D261" s="36"/>
      <c r="E261" s="35"/>
      <c r="F261" s="35"/>
      <c r="G261" s="35"/>
      <c r="H261" s="151"/>
    </row>
    <row r="262" spans="1:8" ht="25.8">
      <c r="A262" s="35"/>
      <c r="B262" s="8"/>
      <c r="C262" s="36"/>
      <c r="D262" s="36"/>
      <c r="E262" s="35"/>
      <c r="F262" s="35"/>
      <c r="G262" s="35"/>
      <c r="H262" s="151"/>
    </row>
    <row r="263" spans="1:8" ht="25.8">
      <c r="A263" s="35"/>
      <c r="B263" s="8"/>
      <c r="C263" s="36"/>
      <c r="D263" s="36"/>
      <c r="E263" s="35"/>
      <c r="F263" s="35"/>
      <c r="G263" s="35"/>
      <c r="H263" s="151"/>
    </row>
    <row r="264" spans="1:8" ht="25.8">
      <c r="A264" s="35"/>
      <c r="B264" s="8"/>
      <c r="C264" s="36"/>
      <c r="D264" s="36"/>
      <c r="E264" s="35"/>
      <c r="F264" s="35"/>
      <c r="G264" s="35"/>
      <c r="H264" s="151"/>
    </row>
    <row r="265" spans="1:8" ht="25.8">
      <c r="A265" s="35"/>
      <c r="B265" s="8"/>
      <c r="C265" s="36"/>
      <c r="D265" s="36"/>
      <c r="E265" s="35"/>
      <c r="F265" s="35"/>
      <c r="G265" s="35"/>
      <c r="H265" s="151"/>
    </row>
    <row r="266" spans="1:8" ht="25.8">
      <c r="A266" s="35"/>
      <c r="B266" s="8"/>
      <c r="C266" s="36"/>
      <c r="D266" s="36"/>
      <c r="E266" s="35"/>
      <c r="F266" s="35"/>
      <c r="G266" s="35"/>
      <c r="H266" s="151"/>
    </row>
    <row r="267" spans="1:8" ht="25.8">
      <c r="A267" s="35"/>
      <c r="B267" s="8"/>
      <c r="C267" s="36"/>
      <c r="D267" s="36"/>
      <c r="E267" s="35"/>
      <c r="F267" s="35"/>
      <c r="G267" s="35"/>
      <c r="H267" s="151"/>
    </row>
    <row r="268" spans="1:8" ht="25.8">
      <c r="A268" s="35"/>
      <c r="B268" s="8"/>
      <c r="C268" s="36"/>
      <c r="D268" s="36"/>
      <c r="E268" s="35"/>
      <c r="F268" s="35"/>
      <c r="G268" s="35"/>
      <c r="H268" s="151"/>
    </row>
    <row r="269" spans="1:8" ht="25.8">
      <c r="A269" s="35"/>
      <c r="B269" s="8"/>
      <c r="C269" s="36"/>
      <c r="D269" s="36"/>
      <c r="E269" s="35"/>
      <c r="F269" s="35"/>
      <c r="G269" s="35"/>
      <c r="H269" s="151"/>
    </row>
    <row r="270" spans="1:8" ht="25.8">
      <c r="A270" s="35"/>
      <c r="B270" s="8"/>
      <c r="C270" s="36"/>
      <c r="D270" s="36"/>
      <c r="E270" s="35"/>
      <c r="F270" s="35"/>
      <c r="G270" s="35"/>
      <c r="H270" s="151"/>
    </row>
    <row r="271" spans="1:8" ht="25.8">
      <c r="A271" s="35"/>
      <c r="B271" s="8"/>
      <c r="C271" s="36"/>
      <c r="D271" s="36"/>
      <c r="E271" s="35"/>
      <c r="F271" s="35"/>
      <c r="G271" s="35"/>
      <c r="H271" s="151"/>
    </row>
    <row r="272" spans="1:8" ht="25.8">
      <c r="A272" s="35"/>
      <c r="B272" s="8"/>
      <c r="C272" s="36"/>
      <c r="D272" s="36"/>
      <c r="E272" s="35"/>
      <c r="F272" s="35"/>
      <c r="G272" s="35"/>
      <c r="H272" s="151"/>
    </row>
    <row r="273" spans="1:8" ht="25.8">
      <c r="A273" s="35"/>
      <c r="B273" s="8"/>
      <c r="C273" s="36"/>
      <c r="D273" s="36"/>
      <c r="E273" s="35"/>
      <c r="F273" s="35"/>
      <c r="G273" s="35"/>
      <c r="H273" s="151"/>
    </row>
    <row r="274" spans="1:8" ht="25.8">
      <c r="A274" s="35"/>
      <c r="B274" s="8"/>
      <c r="C274" s="36"/>
      <c r="D274" s="36"/>
      <c r="E274" s="35"/>
      <c r="F274" s="35"/>
      <c r="G274" s="35"/>
      <c r="H274" s="151"/>
    </row>
    <row r="275" spans="1:8" ht="25.8">
      <c r="A275" s="35"/>
      <c r="B275" s="8"/>
      <c r="C275" s="36"/>
      <c r="D275" s="36"/>
      <c r="E275" s="35"/>
      <c r="F275" s="35"/>
      <c r="G275" s="35"/>
      <c r="H275" s="151"/>
    </row>
    <row r="276" spans="1:8" ht="25.8">
      <c r="A276" s="35"/>
      <c r="B276" s="8"/>
      <c r="C276" s="36"/>
      <c r="D276" s="36"/>
      <c r="E276" s="35"/>
      <c r="F276" s="35"/>
      <c r="G276" s="35"/>
      <c r="H276" s="151"/>
    </row>
    <row r="277" spans="1:8" ht="25.8">
      <c r="A277" s="35"/>
      <c r="B277" s="8"/>
      <c r="C277" s="36"/>
      <c r="D277" s="36"/>
      <c r="E277" s="35"/>
      <c r="F277" s="35"/>
      <c r="G277" s="35"/>
      <c r="H277" s="151"/>
    </row>
    <row r="278" spans="1:8" ht="25.8">
      <c r="A278" s="35"/>
      <c r="B278" s="8"/>
      <c r="C278" s="36"/>
      <c r="D278" s="36"/>
      <c r="E278" s="35"/>
      <c r="F278" s="35"/>
      <c r="G278" s="35"/>
      <c r="H278" s="151"/>
    </row>
    <row r="279" spans="1:8" ht="25.8">
      <c r="A279" s="35"/>
      <c r="B279" s="8"/>
      <c r="C279" s="36"/>
      <c r="D279" s="36"/>
      <c r="E279" s="35"/>
      <c r="F279" s="35"/>
      <c r="G279" s="35"/>
      <c r="H279" s="151"/>
    </row>
    <row r="280" spans="1:8" ht="25.8">
      <c r="A280" s="35"/>
      <c r="B280" s="8"/>
      <c r="C280" s="36"/>
      <c r="D280" s="36"/>
      <c r="E280" s="35"/>
      <c r="F280" s="35"/>
      <c r="G280" s="35"/>
      <c r="H280" s="151"/>
    </row>
    <row r="281" spans="1:8" ht="25.8">
      <c r="A281" s="35"/>
      <c r="B281" s="8"/>
      <c r="C281" s="36"/>
      <c r="D281" s="36"/>
      <c r="E281" s="35"/>
      <c r="F281" s="35"/>
      <c r="G281" s="35"/>
      <c r="H281" s="151"/>
    </row>
    <row r="282" spans="1:8" ht="25.8">
      <c r="A282" s="35"/>
      <c r="B282" s="8"/>
      <c r="C282" s="36"/>
      <c r="D282" s="36"/>
      <c r="E282" s="35"/>
      <c r="F282" s="35"/>
      <c r="G282" s="35"/>
      <c r="H282" s="151"/>
    </row>
    <row r="283" spans="1:8" ht="25.8">
      <c r="A283" s="35"/>
      <c r="B283" s="8"/>
      <c r="C283" s="36"/>
      <c r="D283" s="36"/>
      <c r="E283" s="35"/>
      <c r="F283" s="35"/>
      <c r="G283" s="35"/>
      <c r="H283" s="151"/>
    </row>
    <row r="284" spans="1:8" ht="25.8">
      <c r="A284" s="35"/>
      <c r="B284" s="8"/>
      <c r="C284" s="36"/>
      <c r="D284" s="36"/>
      <c r="E284" s="35"/>
      <c r="F284" s="35"/>
      <c r="G284" s="35"/>
      <c r="H284" s="151"/>
    </row>
    <row r="285" spans="1:8" ht="25.8">
      <c r="A285" s="35"/>
      <c r="B285" s="8"/>
      <c r="C285" s="36"/>
      <c r="D285" s="36"/>
      <c r="E285" s="35"/>
      <c r="F285" s="35"/>
      <c r="G285" s="35"/>
      <c r="H285" s="151"/>
    </row>
    <row r="286" spans="1:8" ht="25.8">
      <c r="A286" s="35"/>
      <c r="B286" s="8"/>
      <c r="C286" s="36"/>
      <c r="D286" s="36"/>
      <c r="E286" s="35"/>
      <c r="F286" s="35"/>
      <c r="G286" s="35"/>
      <c r="H286" s="151"/>
    </row>
    <row r="287" spans="1:8" ht="25.8">
      <c r="A287" s="35"/>
      <c r="B287" s="8"/>
      <c r="C287" s="36"/>
      <c r="D287" s="36"/>
      <c r="E287" s="35"/>
      <c r="F287" s="35"/>
      <c r="G287" s="35"/>
      <c r="H287" s="151"/>
    </row>
    <row r="288" spans="1:8" ht="25.8">
      <c r="A288" s="35"/>
      <c r="B288" s="8"/>
      <c r="C288" s="36"/>
      <c r="D288" s="36"/>
      <c r="E288" s="35"/>
      <c r="F288" s="35"/>
      <c r="G288" s="35"/>
      <c r="H288" s="151"/>
    </row>
    <row r="289" spans="1:8" ht="25.8">
      <c r="A289" s="35"/>
      <c r="B289" s="8"/>
      <c r="C289" s="36"/>
      <c r="D289" s="36"/>
      <c r="E289" s="35"/>
      <c r="F289" s="35"/>
      <c r="G289" s="35"/>
      <c r="H289" s="151"/>
    </row>
    <row r="290" spans="1:8" ht="25.8">
      <c r="A290" s="35"/>
      <c r="B290" s="8"/>
      <c r="C290" s="36"/>
      <c r="D290" s="36"/>
      <c r="E290" s="35"/>
      <c r="F290" s="35"/>
      <c r="G290" s="35"/>
      <c r="H290" s="151"/>
    </row>
    <row r="291" spans="1:8" ht="25.8">
      <c r="A291" s="35"/>
      <c r="B291" s="8"/>
      <c r="C291" s="36"/>
      <c r="D291" s="36"/>
      <c r="E291" s="35"/>
      <c r="F291" s="35"/>
      <c r="G291" s="35"/>
      <c r="H291" s="151"/>
    </row>
    <row r="292" spans="1:8" ht="25.8">
      <c r="A292" s="35"/>
      <c r="B292" s="8"/>
      <c r="C292" s="36"/>
      <c r="D292" s="36"/>
      <c r="E292" s="35"/>
      <c r="F292" s="35"/>
      <c r="G292" s="35"/>
      <c r="H292" s="151"/>
    </row>
    <row r="293" spans="1:8" ht="25.8">
      <c r="A293" s="35"/>
      <c r="B293" s="8"/>
      <c r="C293" s="36"/>
      <c r="D293" s="36"/>
      <c r="E293" s="35"/>
      <c r="F293" s="35"/>
      <c r="G293" s="35"/>
      <c r="H293" s="151"/>
    </row>
    <row r="294" spans="1:8" ht="25.8">
      <c r="A294" s="35"/>
      <c r="B294" s="8"/>
      <c r="C294" s="36"/>
      <c r="D294" s="36"/>
      <c r="E294" s="35"/>
      <c r="F294" s="35"/>
      <c r="G294" s="35"/>
      <c r="H294" s="151"/>
    </row>
    <row r="295" spans="1:8" ht="25.8">
      <c r="A295" s="35"/>
      <c r="B295" s="8"/>
      <c r="C295" s="36"/>
      <c r="D295" s="36"/>
      <c r="E295" s="35"/>
      <c r="F295" s="35"/>
      <c r="G295" s="35"/>
      <c r="H295" s="151"/>
    </row>
    <row r="296" spans="1:8" ht="25.8">
      <c r="A296" s="35"/>
      <c r="B296" s="8"/>
      <c r="C296" s="36"/>
      <c r="D296" s="36"/>
      <c r="E296" s="35"/>
      <c r="F296" s="35"/>
      <c r="G296" s="35"/>
      <c r="H296" s="151"/>
    </row>
    <row r="297" spans="1:8" ht="25.8">
      <c r="A297" s="35"/>
      <c r="B297" s="8"/>
      <c r="C297" s="36"/>
      <c r="D297" s="36"/>
      <c r="E297" s="35"/>
      <c r="F297" s="35"/>
      <c r="G297" s="35"/>
      <c r="H297" s="151"/>
    </row>
    <row r="298" spans="1:8" ht="25.8">
      <c r="A298" s="35"/>
      <c r="B298" s="8"/>
      <c r="C298" s="36"/>
      <c r="D298" s="36"/>
      <c r="E298" s="35"/>
      <c r="F298" s="35"/>
      <c r="G298" s="35"/>
      <c r="H298" s="151"/>
    </row>
    <row r="299" spans="1:8" ht="25.8">
      <c r="A299" s="35"/>
      <c r="B299" s="8"/>
      <c r="C299" s="36"/>
      <c r="D299" s="36"/>
      <c r="E299" s="35"/>
      <c r="F299" s="35"/>
      <c r="G299" s="35"/>
      <c r="H299" s="151"/>
    </row>
    <row r="300" spans="1:8" ht="25.8">
      <c r="A300" s="35"/>
      <c r="B300" s="8"/>
      <c r="C300" s="36"/>
      <c r="D300" s="36"/>
      <c r="E300" s="35"/>
      <c r="F300" s="35"/>
      <c r="G300" s="35"/>
      <c r="H300" s="151"/>
    </row>
    <row r="301" spans="1:8" ht="25.8">
      <c r="A301" s="35"/>
      <c r="B301" s="8"/>
      <c r="C301" s="36"/>
      <c r="D301" s="36"/>
      <c r="E301" s="35"/>
      <c r="F301" s="35"/>
      <c r="G301" s="35"/>
      <c r="H301" s="151"/>
    </row>
    <row r="302" spans="1:8" ht="25.8">
      <c r="A302" s="35"/>
      <c r="B302" s="8"/>
      <c r="C302" s="36"/>
      <c r="D302" s="36"/>
      <c r="E302" s="35"/>
      <c r="F302" s="35"/>
      <c r="G302" s="35"/>
      <c r="H302" s="151"/>
    </row>
    <row r="303" spans="1:8" ht="25.8">
      <c r="A303" s="35"/>
      <c r="B303" s="8"/>
      <c r="C303" s="36"/>
      <c r="D303" s="36"/>
      <c r="E303" s="35"/>
      <c r="F303" s="35"/>
      <c r="G303" s="35"/>
      <c r="H303" s="151"/>
    </row>
    <row r="304" spans="1:8" ht="25.8">
      <c r="A304" s="35"/>
      <c r="B304" s="8"/>
      <c r="C304" s="36"/>
      <c r="D304" s="36"/>
      <c r="E304" s="35"/>
      <c r="F304" s="35"/>
      <c r="G304" s="35"/>
      <c r="H304" s="151"/>
    </row>
    <row r="305" spans="1:8" ht="25.8">
      <c r="A305" s="35"/>
      <c r="B305" s="8"/>
      <c r="C305" s="36"/>
      <c r="D305" s="36"/>
      <c r="E305" s="35"/>
      <c r="F305" s="35"/>
      <c r="G305" s="35"/>
      <c r="H305" s="151"/>
    </row>
    <row r="306" spans="1:8" ht="25.8">
      <c r="A306" s="35"/>
      <c r="B306" s="8"/>
      <c r="C306" s="36"/>
      <c r="D306" s="36"/>
      <c r="E306" s="35"/>
      <c r="F306" s="35"/>
      <c r="G306" s="35"/>
      <c r="H306" s="151"/>
    </row>
    <row r="307" spans="1:8" ht="25.8">
      <c r="A307" s="35"/>
      <c r="B307" s="8"/>
      <c r="C307" s="36"/>
      <c r="D307" s="36"/>
      <c r="E307" s="35"/>
      <c r="F307" s="35"/>
      <c r="G307" s="35"/>
      <c r="H307" s="151"/>
    </row>
    <row r="308" spans="1:8" ht="25.8">
      <c r="A308" s="35"/>
      <c r="B308" s="8"/>
      <c r="C308" s="36"/>
      <c r="D308" s="36"/>
      <c r="E308" s="35"/>
      <c r="F308" s="35"/>
      <c r="G308" s="35"/>
      <c r="H308" s="151"/>
    </row>
    <row r="309" spans="1:8" ht="25.8">
      <c r="A309" s="35"/>
      <c r="B309" s="8"/>
      <c r="C309" s="36"/>
      <c r="D309" s="36"/>
      <c r="E309" s="35"/>
      <c r="F309" s="35"/>
      <c r="G309" s="35"/>
      <c r="H309" s="151"/>
    </row>
    <row r="310" spans="1:8" ht="25.8">
      <c r="A310" s="35"/>
      <c r="B310" s="8"/>
      <c r="C310" s="36"/>
      <c r="D310" s="36"/>
      <c r="E310" s="35"/>
      <c r="F310" s="35"/>
      <c r="G310" s="35"/>
      <c r="H310" s="151"/>
    </row>
    <row r="311" spans="1:8" ht="25.8">
      <c r="A311" s="35"/>
      <c r="B311" s="8"/>
      <c r="C311" s="36"/>
      <c r="D311" s="36"/>
      <c r="E311" s="35"/>
      <c r="F311" s="35"/>
      <c r="G311" s="35"/>
      <c r="H311" s="151"/>
    </row>
    <row r="312" spans="1:8" ht="25.8">
      <c r="A312" s="35"/>
      <c r="B312" s="8"/>
      <c r="C312" s="36"/>
      <c r="D312" s="36"/>
      <c r="E312" s="35"/>
      <c r="F312" s="35"/>
      <c r="G312" s="35"/>
      <c r="H312" s="151"/>
    </row>
    <row r="313" spans="1:8" ht="25.8">
      <c r="A313" s="35"/>
      <c r="B313" s="8"/>
      <c r="C313" s="36"/>
      <c r="D313" s="36"/>
      <c r="E313" s="35"/>
      <c r="F313" s="35"/>
      <c r="G313" s="35"/>
      <c r="H313" s="151"/>
    </row>
    <row r="314" spans="1:8" ht="25.8">
      <c r="A314" s="35"/>
      <c r="B314" s="8"/>
      <c r="C314" s="36"/>
      <c r="D314" s="36"/>
      <c r="E314" s="35"/>
      <c r="F314" s="35"/>
      <c r="G314" s="35"/>
      <c r="H314" s="151"/>
    </row>
    <row r="315" spans="1:8" ht="25.8">
      <c r="A315" s="35"/>
      <c r="B315" s="8"/>
      <c r="C315" s="36"/>
      <c r="D315" s="36"/>
      <c r="E315" s="35"/>
      <c r="F315" s="35"/>
      <c r="G315" s="35"/>
      <c r="H315" s="151"/>
    </row>
    <row r="316" spans="1:8" ht="25.8">
      <c r="A316" s="35"/>
      <c r="B316" s="8"/>
      <c r="C316" s="36"/>
      <c r="D316" s="36"/>
      <c r="E316" s="35"/>
      <c r="F316" s="35"/>
      <c r="G316" s="35"/>
      <c r="H316" s="151"/>
    </row>
    <row r="317" spans="1:8" ht="25.8">
      <c r="A317" s="35"/>
      <c r="B317" s="8"/>
      <c r="C317" s="36"/>
      <c r="D317" s="36"/>
      <c r="E317" s="35"/>
      <c r="F317" s="35"/>
      <c r="G317" s="35"/>
      <c r="H317" s="151"/>
    </row>
    <row r="318" spans="1:8" ht="25.8">
      <c r="A318" s="35"/>
      <c r="B318" s="8"/>
      <c r="C318" s="36"/>
      <c r="D318" s="36"/>
      <c r="E318" s="35"/>
      <c r="F318" s="35"/>
      <c r="G318" s="35"/>
      <c r="H318" s="151"/>
    </row>
    <row r="319" spans="1:8" ht="25.8">
      <c r="A319" s="35"/>
      <c r="B319" s="8"/>
      <c r="C319" s="36"/>
      <c r="D319" s="36"/>
      <c r="E319" s="35"/>
      <c r="F319" s="35"/>
      <c r="G319" s="35"/>
      <c r="H319" s="151"/>
    </row>
    <row r="320" spans="1:8" ht="25.8">
      <c r="A320" s="35"/>
      <c r="B320" s="8"/>
      <c r="C320" s="36"/>
      <c r="D320" s="36"/>
      <c r="E320" s="35"/>
      <c r="F320" s="35"/>
      <c r="G320" s="35"/>
      <c r="H320" s="151"/>
    </row>
    <row r="321" spans="1:8" ht="25.8">
      <c r="A321" s="35"/>
      <c r="B321" s="8"/>
      <c r="C321" s="36"/>
      <c r="D321" s="36"/>
      <c r="E321" s="35"/>
      <c r="F321" s="35"/>
      <c r="G321" s="35"/>
      <c r="H321" s="151"/>
    </row>
    <row r="322" spans="1:8" ht="25.8">
      <c r="A322" s="35"/>
      <c r="B322" s="8"/>
      <c r="C322" s="36"/>
      <c r="D322" s="36"/>
      <c r="E322" s="35"/>
      <c r="F322" s="35"/>
      <c r="G322" s="35"/>
      <c r="H322" s="151"/>
    </row>
    <row r="323" spans="1:8" ht="25.8">
      <c r="A323" s="35"/>
      <c r="B323" s="8"/>
      <c r="C323" s="36"/>
      <c r="D323" s="36"/>
      <c r="E323" s="35"/>
      <c r="F323" s="35"/>
      <c r="G323" s="35"/>
      <c r="H323" s="151"/>
    </row>
    <row r="324" spans="1:8" ht="25.8">
      <c r="A324" s="35"/>
      <c r="B324" s="8"/>
      <c r="C324" s="36"/>
      <c r="D324" s="36"/>
      <c r="E324" s="35"/>
      <c r="F324" s="35"/>
      <c r="G324" s="35"/>
      <c r="H324" s="151"/>
    </row>
    <row r="325" spans="1:8" ht="25.8">
      <c r="A325" s="35"/>
      <c r="B325" s="8"/>
      <c r="C325" s="36"/>
      <c r="D325" s="36"/>
      <c r="E325" s="35"/>
      <c r="F325" s="35"/>
      <c r="G325" s="35"/>
      <c r="H325" s="151"/>
    </row>
    <row r="326" spans="1:8" ht="25.8">
      <c r="A326" s="35"/>
      <c r="B326" s="8"/>
      <c r="C326" s="36"/>
      <c r="D326" s="36"/>
      <c r="E326" s="35"/>
      <c r="F326" s="35"/>
      <c r="G326" s="35"/>
      <c r="H326" s="151"/>
    </row>
    <row r="327" spans="1:8" ht="25.8">
      <c r="A327" s="35"/>
      <c r="B327" s="8"/>
      <c r="C327" s="36"/>
      <c r="D327" s="36"/>
      <c r="E327" s="35"/>
      <c r="F327" s="35"/>
      <c r="G327" s="35"/>
      <c r="H327" s="151"/>
    </row>
    <row r="328" spans="1:8" ht="25.8">
      <c r="A328" s="35"/>
      <c r="B328" s="8"/>
      <c r="C328" s="36"/>
      <c r="D328" s="36"/>
      <c r="E328" s="35"/>
      <c r="F328" s="35"/>
      <c r="G328" s="35"/>
      <c r="H328" s="151"/>
    </row>
    <row r="329" spans="1:8" ht="25.8">
      <c r="A329" s="35"/>
      <c r="B329" s="8"/>
      <c r="C329" s="36"/>
      <c r="D329" s="36"/>
      <c r="E329" s="35"/>
      <c r="F329" s="35"/>
      <c r="G329" s="35"/>
      <c r="H329" s="151"/>
    </row>
    <row r="330" spans="1:8" ht="25.8">
      <c r="A330" s="35"/>
      <c r="B330" s="8"/>
      <c r="C330" s="36"/>
      <c r="D330" s="36"/>
      <c r="E330" s="35"/>
      <c r="F330" s="35"/>
      <c r="G330" s="35"/>
      <c r="H330" s="151"/>
    </row>
    <row r="331" spans="1:8" ht="25.8">
      <c r="A331" s="35"/>
      <c r="B331" s="8"/>
      <c r="C331" s="36"/>
      <c r="D331" s="36"/>
      <c r="E331" s="35"/>
      <c r="F331" s="35"/>
      <c r="G331" s="35"/>
      <c r="H331" s="151"/>
    </row>
    <row r="332" spans="1:8" ht="25.8">
      <c r="A332" s="35"/>
      <c r="B332" s="8"/>
      <c r="C332" s="36"/>
      <c r="D332" s="36"/>
      <c r="E332" s="35"/>
      <c r="F332" s="35"/>
      <c r="G332" s="35"/>
      <c r="H332" s="151"/>
    </row>
    <row r="333" spans="1:8" ht="25.8">
      <c r="A333" s="35"/>
      <c r="B333" s="8"/>
      <c r="C333" s="36"/>
      <c r="D333" s="36"/>
      <c r="E333" s="35"/>
      <c r="F333" s="35"/>
      <c r="G333" s="35"/>
      <c r="H333" s="151"/>
    </row>
    <row r="334" spans="1:8" ht="25.8">
      <c r="A334" s="35"/>
      <c r="B334" s="8"/>
      <c r="C334" s="36"/>
      <c r="D334" s="36"/>
      <c r="E334" s="35"/>
      <c r="F334" s="35"/>
      <c r="G334" s="35"/>
      <c r="H334" s="151"/>
    </row>
    <row r="335" spans="1:8" ht="25.8">
      <c r="A335" s="35"/>
      <c r="B335" s="8"/>
      <c r="C335" s="36"/>
      <c r="D335" s="36"/>
      <c r="E335" s="35"/>
      <c r="F335" s="35"/>
      <c r="G335" s="35"/>
      <c r="H335" s="151"/>
    </row>
    <row r="336" spans="1:8" ht="25.8">
      <c r="A336" s="35"/>
      <c r="B336" s="8"/>
      <c r="C336" s="36"/>
      <c r="D336" s="36"/>
      <c r="E336" s="35"/>
      <c r="F336" s="35"/>
      <c r="G336" s="35"/>
      <c r="H336" s="151"/>
    </row>
    <row r="337" spans="1:8" ht="25.8">
      <c r="A337" s="35"/>
      <c r="B337" s="8"/>
      <c r="C337" s="36"/>
      <c r="D337" s="36"/>
      <c r="E337" s="35"/>
      <c r="F337" s="35"/>
      <c r="G337" s="35"/>
      <c r="H337" s="151"/>
    </row>
    <row r="338" spans="1:8" ht="25.8">
      <c r="A338" s="35"/>
      <c r="B338" s="8"/>
      <c r="C338" s="36"/>
      <c r="D338" s="36"/>
      <c r="E338" s="35"/>
      <c r="F338" s="35"/>
      <c r="G338" s="35"/>
      <c r="H338" s="151"/>
    </row>
    <row r="339" spans="1:8" ht="25.8">
      <c r="A339" s="35"/>
      <c r="B339" s="8"/>
      <c r="C339" s="36"/>
      <c r="D339" s="36"/>
      <c r="E339" s="35"/>
      <c r="F339" s="35"/>
      <c r="G339" s="35"/>
      <c r="H339" s="151"/>
    </row>
    <row r="340" spans="1:8" ht="25.8">
      <c r="A340" s="35"/>
      <c r="B340" s="8"/>
      <c r="C340" s="36"/>
      <c r="D340" s="36"/>
      <c r="E340" s="35"/>
      <c r="F340" s="35"/>
      <c r="G340" s="35"/>
      <c r="H340" s="151"/>
    </row>
    <row r="341" spans="1:8" ht="25.8">
      <c r="A341" s="35"/>
      <c r="B341" s="8"/>
      <c r="C341" s="36"/>
      <c r="D341" s="36"/>
      <c r="E341" s="35"/>
      <c r="F341" s="35"/>
      <c r="G341" s="35"/>
      <c r="H341" s="151"/>
    </row>
    <row r="342" spans="1:8" ht="25.8">
      <c r="A342" s="35"/>
      <c r="B342" s="8"/>
      <c r="C342" s="36"/>
      <c r="D342" s="36"/>
      <c r="E342" s="35"/>
      <c r="F342" s="35"/>
      <c r="G342" s="35"/>
      <c r="H342" s="151"/>
    </row>
    <row r="343" spans="1:8" ht="25.8">
      <c r="A343" s="35"/>
      <c r="B343" s="8"/>
      <c r="C343" s="36"/>
      <c r="D343" s="36"/>
      <c r="E343" s="35"/>
      <c r="F343" s="35"/>
      <c r="G343" s="35"/>
      <c r="H343" s="151"/>
    </row>
    <row r="344" spans="1:8" ht="25.8">
      <c r="A344" s="35"/>
      <c r="B344" s="8"/>
      <c r="C344" s="36"/>
      <c r="D344" s="36"/>
      <c r="E344" s="35"/>
      <c r="F344" s="35"/>
      <c r="G344" s="35"/>
      <c r="H344" s="151"/>
    </row>
    <row r="345" spans="1:8" ht="25.8">
      <c r="A345" s="35"/>
      <c r="B345" s="8"/>
      <c r="C345" s="36"/>
      <c r="D345" s="36"/>
      <c r="E345" s="35"/>
      <c r="F345" s="35"/>
      <c r="G345" s="35"/>
      <c r="H345" s="151"/>
    </row>
    <row r="346" spans="1:8" ht="25.8">
      <c r="A346" s="35"/>
      <c r="B346" s="8"/>
      <c r="C346" s="36"/>
      <c r="D346" s="36"/>
      <c r="E346" s="35"/>
      <c r="F346" s="35"/>
      <c r="G346" s="35"/>
      <c r="H346" s="151"/>
    </row>
    <row r="347" spans="1:8" ht="25.8">
      <c r="A347" s="35"/>
      <c r="B347" s="8"/>
      <c r="C347" s="36"/>
      <c r="D347" s="36"/>
      <c r="E347" s="35"/>
      <c r="F347" s="35"/>
      <c r="G347" s="35"/>
      <c r="H347" s="151"/>
    </row>
    <row r="348" spans="1:8" ht="25.8">
      <c r="A348" s="35"/>
      <c r="B348" s="8"/>
      <c r="C348" s="36"/>
      <c r="D348" s="36"/>
      <c r="E348" s="35"/>
      <c r="F348" s="35"/>
      <c r="G348" s="35"/>
      <c r="H348" s="151"/>
    </row>
    <row r="349" spans="1:8" ht="25.8">
      <c r="A349" s="35"/>
      <c r="B349" s="8"/>
      <c r="C349" s="36"/>
      <c r="D349" s="36"/>
      <c r="E349" s="35"/>
      <c r="F349" s="35"/>
      <c r="G349" s="35"/>
      <c r="H349" s="151"/>
    </row>
    <row r="350" spans="1:8" ht="25.8">
      <c r="A350" s="35"/>
      <c r="B350" s="8"/>
      <c r="C350" s="36"/>
      <c r="D350" s="36"/>
      <c r="E350" s="35"/>
      <c r="F350" s="35"/>
      <c r="G350" s="35"/>
      <c r="H350" s="151"/>
    </row>
    <row r="351" spans="1:8" ht="25.8">
      <c r="A351" s="35"/>
      <c r="B351" s="8"/>
      <c r="C351" s="36"/>
      <c r="D351" s="36"/>
      <c r="E351" s="35"/>
      <c r="F351" s="35"/>
      <c r="G351" s="35"/>
      <c r="H351" s="151"/>
    </row>
    <row r="352" spans="1:8" ht="25.8">
      <c r="A352" s="35"/>
      <c r="B352" s="8"/>
      <c r="C352" s="36"/>
      <c r="D352" s="36"/>
      <c r="E352" s="35"/>
      <c r="F352" s="35"/>
      <c r="G352" s="35"/>
      <c r="H352" s="151"/>
    </row>
    <row r="353" spans="1:8" ht="25.8">
      <c r="A353" s="35"/>
      <c r="B353" s="8"/>
      <c r="C353" s="36"/>
      <c r="D353" s="36"/>
      <c r="E353" s="35"/>
      <c r="F353" s="35"/>
      <c r="G353" s="35"/>
      <c r="H353" s="151"/>
    </row>
    <row r="354" spans="1:8" ht="25.8">
      <c r="A354" s="35"/>
      <c r="B354" s="8"/>
      <c r="C354" s="36"/>
      <c r="D354" s="36"/>
      <c r="E354" s="35"/>
      <c r="F354" s="35"/>
      <c r="G354" s="35"/>
      <c r="H354" s="151"/>
    </row>
    <row r="355" spans="1:8" ht="25.8">
      <c r="A355" s="35"/>
      <c r="B355" s="8"/>
      <c r="C355" s="36"/>
      <c r="D355" s="36"/>
      <c r="E355" s="35"/>
      <c r="F355" s="35"/>
      <c r="G355" s="35"/>
      <c r="H355" s="151"/>
    </row>
    <row r="356" spans="1:8" ht="25.8">
      <c r="A356" s="35"/>
      <c r="B356" s="8"/>
      <c r="C356" s="36"/>
      <c r="D356" s="36"/>
      <c r="E356" s="35"/>
      <c r="F356" s="35"/>
      <c r="G356" s="35"/>
      <c r="H356" s="151"/>
    </row>
    <row r="357" spans="1:8" ht="25.8">
      <c r="A357" s="35"/>
      <c r="B357" s="8"/>
      <c r="C357" s="36"/>
      <c r="D357" s="36"/>
      <c r="E357" s="35"/>
      <c r="F357" s="35"/>
      <c r="G357" s="35"/>
      <c r="H357" s="151"/>
    </row>
    <row r="358" spans="1:8" ht="25.8">
      <c r="A358" s="35"/>
      <c r="B358" s="8"/>
      <c r="C358" s="36"/>
      <c r="D358" s="36"/>
      <c r="E358" s="35"/>
      <c r="F358" s="35"/>
      <c r="G358" s="35"/>
      <c r="H358" s="151"/>
    </row>
    <row r="359" spans="1:8" ht="25.8">
      <c r="A359" s="35"/>
      <c r="B359" s="8"/>
      <c r="C359" s="36"/>
      <c r="D359" s="36"/>
      <c r="E359" s="35"/>
      <c r="F359" s="35"/>
      <c r="G359" s="35"/>
      <c r="H359" s="151"/>
    </row>
    <row r="360" spans="1:8" ht="25.8">
      <c r="A360" s="35"/>
      <c r="B360" s="8"/>
      <c r="C360" s="36"/>
      <c r="D360" s="36"/>
      <c r="E360" s="35"/>
      <c r="F360" s="35"/>
      <c r="G360" s="35"/>
      <c r="H360" s="151"/>
    </row>
    <row r="361" spans="1:8" ht="25.8">
      <c r="A361" s="35"/>
      <c r="B361" s="8"/>
      <c r="C361" s="36"/>
      <c r="D361" s="36"/>
      <c r="E361" s="35"/>
      <c r="F361" s="35"/>
      <c r="G361" s="35"/>
      <c r="H361" s="151"/>
    </row>
    <row r="362" spans="1:8" ht="25.8">
      <c r="A362" s="35"/>
      <c r="B362" s="8"/>
      <c r="C362" s="36"/>
      <c r="D362" s="36"/>
      <c r="E362" s="35"/>
      <c r="F362" s="35"/>
      <c r="G362" s="35"/>
      <c r="H362" s="151"/>
    </row>
    <row r="363" spans="1:8" ht="25.8">
      <c r="A363" s="35"/>
      <c r="B363" s="8"/>
      <c r="C363" s="36"/>
      <c r="D363" s="36"/>
      <c r="E363" s="35"/>
      <c r="F363" s="35"/>
      <c r="G363" s="35"/>
      <c r="H363" s="151"/>
    </row>
    <row r="364" spans="1:8" ht="25.8">
      <c r="A364" s="35"/>
      <c r="B364" s="8"/>
      <c r="C364" s="36"/>
      <c r="D364" s="36"/>
      <c r="E364" s="35"/>
      <c r="F364" s="35"/>
      <c r="G364" s="35"/>
      <c r="H364" s="151"/>
    </row>
    <row r="365" spans="1:8" ht="25.8">
      <c r="A365" s="35"/>
      <c r="B365" s="8"/>
      <c r="C365" s="36"/>
      <c r="D365" s="36"/>
      <c r="E365" s="35"/>
      <c r="F365" s="35"/>
      <c r="G365" s="35"/>
      <c r="H365" s="151"/>
    </row>
    <row r="366" spans="1:8" ht="25.8">
      <c r="A366" s="35"/>
      <c r="B366" s="8"/>
      <c r="C366" s="36"/>
      <c r="D366" s="36"/>
      <c r="E366" s="35"/>
      <c r="F366" s="35"/>
      <c r="G366" s="35"/>
      <c r="H366" s="151"/>
    </row>
    <row r="367" spans="1:8" ht="25.8">
      <c r="A367" s="35"/>
      <c r="B367" s="8"/>
      <c r="C367" s="36"/>
      <c r="D367" s="36"/>
      <c r="E367" s="35"/>
      <c r="F367" s="35"/>
      <c r="G367" s="35"/>
      <c r="H367" s="151"/>
    </row>
    <row r="368" spans="1:8" ht="25.8">
      <c r="A368" s="35"/>
      <c r="B368" s="8"/>
      <c r="C368" s="36"/>
      <c r="D368" s="36"/>
      <c r="E368" s="35"/>
      <c r="F368" s="35"/>
      <c r="G368" s="35"/>
      <c r="H368" s="151"/>
    </row>
    <row r="369" spans="1:8" ht="25.8">
      <c r="A369" s="35"/>
      <c r="B369" s="8"/>
      <c r="C369" s="36"/>
      <c r="D369" s="36"/>
      <c r="E369" s="35"/>
      <c r="F369" s="35"/>
      <c r="G369" s="35"/>
      <c r="H369" s="151"/>
    </row>
    <row r="370" spans="1:8" ht="25.8">
      <c r="A370" s="35"/>
      <c r="B370" s="8"/>
      <c r="C370" s="36"/>
      <c r="D370" s="36"/>
      <c r="E370" s="35"/>
      <c r="F370" s="35"/>
      <c r="G370" s="35"/>
      <c r="H370" s="151"/>
    </row>
    <row r="371" spans="1:8" ht="25.8">
      <c r="A371" s="35"/>
      <c r="B371" s="8"/>
      <c r="C371" s="36"/>
      <c r="D371" s="36"/>
      <c r="E371" s="35"/>
      <c r="F371" s="35"/>
      <c r="G371" s="35"/>
      <c r="H371" s="151"/>
    </row>
    <row r="372" spans="1:8" ht="25.8">
      <c r="A372" s="35"/>
      <c r="B372" s="8"/>
      <c r="C372" s="36"/>
      <c r="D372" s="36"/>
      <c r="E372" s="35"/>
      <c r="F372" s="35"/>
      <c r="G372" s="35"/>
      <c r="H372" s="151"/>
    </row>
    <row r="373" spans="1:8" ht="25.8">
      <c r="A373" s="35"/>
      <c r="B373" s="8"/>
      <c r="C373" s="36"/>
      <c r="D373" s="36"/>
      <c r="E373" s="35"/>
      <c r="F373" s="35"/>
      <c r="G373" s="35"/>
      <c r="H373" s="151"/>
    </row>
    <row r="374" spans="1:8" ht="25.8">
      <c r="A374" s="35"/>
      <c r="B374" s="8"/>
      <c r="C374" s="36"/>
      <c r="D374" s="36"/>
      <c r="E374" s="35"/>
      <c r="F374" s="35"/>
      <c r="G374" s="35"/>
      <c r="H374" s="151"/>
    </row>
    <row r="375" spans="1:8" ht="25.8">
      <c r="A375" s="35"/>
      <c r="B375" s="8"/>
      <c r="C375" s="36"/>
      <c r="D375" s="36"/>
      <c r="E375" s="35"/>
      <c r="F375" s="35"/>
      <c r="G375" s="35"/>
      <c r="H375" s="151"/>
    </row>
    <row r="376" spans="1:8" ht="25.8">
      <c r="A376" s="35"/>
      <c r="B376" s="8"/>
      <c r="C376" s="36"/>
      <c r="D376" s="36"/>
      <c r="E376" s="35"/>
      <c r="F376" s="35"/>
      <c r="G376" s="35"/>
      <c r="H376" s="151"/>
    </row>
    <row r="377" spans="1:8" ht="25.8">
      <c r="A377" s="35"/>
      <c r="B377" s="8"/>
      <c r="C377" s="36"/>
      <c r="D377" s="36"/>
      <c r="E377" s="35"/>
      <c r="F377" s="35"/>
      <c r="G377" s="35"/>
      <c r="H377" s="151"/>
    </row>
    <row r="378" spans="1:8" ht="25.8">
      <c r="A378" s="35"/>
      <c r="B378" s="8"/>
      <c r="C378" s="36"/>
      <c r="D378" s="36"/>
      <c r="E378" s="35"/>
      <c r="F378" s="35"/>
      <c r="G378" s="35"/>
      <c r="H378" s="151"/>
    </row>
    <row r="379" spans="1:8" ht="25.8">
      <c r="A379" s="35"/>
      <c r="B379" s="8"/>
      <c r="C379" s="36"/>
      <c r="D379" s="36"/>
      <c r="E379" s="35"/>
      <c r="F379" s="35"/>
      <c r="G379" s="35"/>
      <c r="H379" s="151"/>
    </row>
    <row r="380" spans="1:8" ht="25.8">
      <c r="A380" s="35"/>
      <c r="B380" s="8"/>
      <c r="C380" s="36"/>
      <c r="D380" s="36"/>
      <c r="E380" s="35"/>
      <c r="F380" s="35"/>
      <c r="G380" s="35"/>
      <c r="H380" s="151"/>
    </row>
    <row r="381" spans="1:8" ht="25.8">
      <c r="A381" s="35"/>
      <c r="B381" s="8"/>
      <c r="C381" s="36"/>
      <c r="D381" s="36"/>
      <c r="E381" s="35"/>
      <c r="F381" s="35"/>
      <c r="G381" s="35"/>
      <c r="H381" s="151"/>
    </row>
    <row r="382" spans="1:8" ht="25.8">
      <c r="A382" s="35"/>
      <c r="B382" s="8"/>
      <c r="C382" s="36"/>
      <c r="D382" s="36"/>
      <c r="E382" s="35"/>
      <c r="F382" s="35"/>
      <c r="G382" s="35"/>
      <c r="H382" s="151"/>
    </row>
    <row r="383" spans="1:8" ht="25.8">
      <c r="A383" s="35"/>
      <c r="B383" s="8"/>
      <c r="C383" s="36"/>
      <c r="D383" s="36"/>
      <c r="E383" s="35"/>
      <c r="F383" s="35"/>
      <c r="G383" s="35"/>
      <c r="H383" s="151"/>
    </row>
    <row r="384" spans="1:8" ht="25.8">
      <c r="A384" s="35"/>
      <c r="B384" s="8"/>
      <c r="C384" s="36"/>
      <c r="D384" s="36"/>
      <c r="E384" s="35"/>
      <c r="F384" s="35"/>
      <c r="G384" s="35"/>
      <c r="H384" s="151"/>
    </row>
    <row r="385" spans="1:8" ht="25.8">
      <c r="A385" s="35"/>
      <c r="B385" s="8"/>
      <c r="C385" s="36"/>
      <c r="D385" s="36"/>
      <c r="E385" s="35"/>
      <c r="F385" s="35"/>
      <c r="G385" s="35"/>
      <c r="H385" s="151"/>
    </row>
    <row r="386" spans="1:8" ht="25.8">
      <c r="A386" s="35"/>
      <c r="B386" s="8"/>
      <c r="C386" s="36"/>
      <c r="D386" s="36"/>
      <c r="E386" s="35"/>
      <c r="F386" s="35"/>
      <c r="G386" s="35"/>
      <c r="H386" s="151"/>
    </row>
    <row r="387" spans="1:8" ht="25.8">
      <c r="A387" s="35"/>
      <c r="B387" s="8"/>
      <c r="C387" s="36"/>
      <c r="D387" s="36"/>
      <c r="E387" s="35"/>
      <c r="F387" s="35"/>
      <c r="G387" s="35"/>
      <c r="H387" s="151"/>
    </row>
    <row r="388" spans="1:8" ht="25.8">
      <c r="A388" s="35"/>
      <c r="B388" s="8"/>
      <c r="C388" s="36"/>
      <c r="D388" s="36"/>
      <c r="E388" s="35"/>
      <c r="F388" s="35"/>
      <c r="G388" s="35"/>
      <c r="H388" s="151"/>
    </row>
    <row r="389" spans="1:8" ht="25.8">
      <c r="A389" s="35"/>
      <c r="B389" s="8"/>
      <c r="C389" s="36"/>
      <c r="D389" s="36"/>
      <c r="E389" s="35"/>
      <c r="F389" s="35"/>
      <c r="G389" s="35"/>
      <c r="H389" s="151"/>
    </row>
    <row r="390" spans="1:8" ht="25.8">
      <c r="A390" s="35"/>
      <c r="B390" s="8"/>
      <c r="C390" s="36"/>
      <c r="D390" s="36"/>
      <c r="E390" s="35"/>
      <c r="F390" s="35"/>
      <c r="G390" s="35"/>
      <c r="H390" s="151"/>
    </row>
    <row r="391" spans="1:8" ht="25.8">
      <c r="A391" s="35"/>
      <c r="B391" s="8"/>
      <c r="C391" s="36"/>
      <c r="D391" s="36"/>
      <c r="E391" s="35"/>
      <c r="F391" s="35"/>
      <c r="G391" s="35"/>
      <c r="H391" s="151"/>
    </row>
    <row r="392" spans="1:8" ht="25.8">
      <c r="A392" s="35"/>
      <c r="B392" s="8"/>
      <c r="C392" s="36"/>
      <c r="D392" s="36"/>
      <c r="E392" s="35"/>
      <c r="F392" s="35"/>
      <c r="G392" s="35"/>
      <c r="H392" s="151"/>
    </row>
    <row r="393" spans="1:8" ht="25.8">
      <c r="A393" s="35"/>
      <c r="B393" s="8"/>
      <c r="C393" s="36"/>
      <c r="D393" s="36"/>
      <c r="E393" s="35"/>
      <c r="F393" s="35"/>
      <c r="G393" s="35"/>
      <c r="H393" s="151"/>
    </row>
    <row r="394" spans="1:8" ht="25.8">
      <c r="A394" s="35"/>
      <c r="B394" s="8"/>
      <c r="C394" s="36"/>
      <c r="D394" s="36"/>
      <c r="E394" s="35"/>
      <c r="F394" s="35"/>
      <c r="G394" s="35"/>
      <c r="H394" s="151"/>
    </row>
    <row r="395" spans="1:8" ht="25.8">
      <c r="A395" s="35"/>
      <c r="B395" s="8"/>
      <c r="C395" s="36"/>
      <c r="D395" s="36"/>
      <c r="E395" s="35"/>
      <c r="F395" s="35"/>
      <c r="G395" s="35"/>
      <c r="H395" s="151"/>
    </row>
    <row r="396" spans="1:8" ht="25.8">
      <c r="A396" s="35"/>
      <c r="B396" s="8"/>
      <c r="C396" s="36"/>
      <c r="D396" s="36"/>
      <c r="E396" s="35"/>
      <c r="F396" s="35"/>
      <c r="G396" s="35"/>
      <c r="H396" s="151"/>
    </row>
    <row r="397" spans="1:8" ht="25.8">
      <c r="A397" s="35"/>
      <c r="B397" s="8"/>
      <c r="C397" s="36"/>
      <c r="D397" s="36"/>
      <c r="E397" s="35"/>
      <c r="F397" s="35"/>
      <c r="G397" s="35"/>
      <c r="H397" s="151"/>
    </row>
    <row r="398" spans="1:8" ht="25.8">
      <c r="A398" s="35"/>
      <c r="B398" s="8"/>
      <c r="C398" s="36"/>
      <c r="D398" s="36"/>
      <c r="E398" s="35"/>
      <c r="F398" s="35"/>
      <c r="G398" s="35"/>
      <c r="H398" s="151"/>
    </row>
    <row r="399" spans="1:8" ht="25.8">
      <c r="A399" s="35"/>
      <c r="B399" s="8"/>
      <c r="C399" s="36"/>
      <c r="D399" s="36"/>
      <c r="E399" s="35"/>
      <c r="F399" s="35"/>
      <c r="G399" s="35"/>
      <c r="H399" s="151"/>
    </row>
    <row r="400" spans="1:8" ht="25.8">
      <c r="A400" s="35"/>
      <c r="B400" s="8"/>
      <c r="C400" s="36"/>
      <c r="D400" s="36"/>
      <c r="E400" s="35"/>
      <c r="F400" s="35"/>
      <c r="G400" s="35"/>
      <c r="H400" s="151"/>
    </row>
    <row r="401" spans="1:8" ht="25.8">
      <c r="A401" s="35"/>
      <c r="B401" s="8"/>
      <c r="C401" s="36"/>
      <c r="D401" s="36"/>
      <c r="E401" s="35"/>
      <c r="F401" s="35"/>
      <c r="G401" s="35"/>
      <c r="H401" s="151"/>
    </row>
    <row r="402" spans="1:8" ht="25.8">
      <c r="A402" s="35"/>
      <c r="B402" s="8"/>
      <c r="C402" s="36"/>
      <c r="D402" s="36"/>
      <c r="E402" s="35"/>
      <c r="F402" s="35"/>
      <c r="G402" s="35"/>
      <c r="H402" s="151"/>
    </row>
    <row r="403" spans="1:8" ht="25.8">
      <c r="A403" s="35"/>
      <c r="B403" s="8"/>
      <c r="C403" s="36"/>
      <c r="D403" s="36"/>
      <c r="E403" s="35"/>
      <c r="F403" s="35"/>
      <c r="G403" s="35"/>
      <c r="H403" s="151"/>
    </row>
    <row r="404" spans="1:8" ht="25.8">
      <c r="A404" s="35"/>
      <c r="B404" s="8"/>
      <c r="C404" s="36"/>
      <c r="D404" s="36"/>
      <c r="E404" s="35"/>
      <c r="F404" s="35"/>
      <c r="G404" s="35"/>
      <c r="H404" s="151"/>
    </row>
    <row r="405" spans="1:8" ht="25.8">
      <c r="A405" s="35"/>
      <c r="B405" s="8"/>
      <c r="C405" s="36"/>
      <c r="D405" s="36"/>
      <c r="E405" s="35"/>
      <c r="F405" s="35"/>
      <c r="G405" s="35"/>
      <c r="H405" s="151"/>
    </row>
    <row r="406" spans="1:8" ht="25.8">
      <c r="A406" s="35"/>
      <c r="B406" s="8"/>
      <c r="C406" s="36"/>
      <c r="D406" s="36"/>
      <c r="E406" s="35"/>
      <c r="F406" s="35"/>
      <c r="G406" s="35"/>
      <c r="H406" s="151"/>
    </row>
    <row r="407" spans="1:8" ht="25.8">
      <c r="A407" s="35"/>
      <c r="B407" s="8"/>
      <c r="C407" s="36"/>
      <c r="D407" s="36"/>
      <c r="E407" s="35"/>
      <c r="F407" s="35"/>
      <c r="G407" s="35"/>
      <c r="H407" s="151"/>
    </row>
    <row r="408" spans="1:8" ht="25.8">
      <c r="A408" s="35"/>
      <c r="B408" s="8"/>
      <c r="C408" s="36"/>
      <c r="D408" s="36"/>
      <c r="E408" s="35"/>
      <c r="F408" s="35"/>
      <c r="G408" s="35"/>
      <c r="H408" s="151"/>
    </row>
    <row r="409" spans="1:8" ht="25.8">
      <c r="A409" s="35"/>
      <c r="B409" s="8"/>
      <c r="C409" s="36"/>
      <c r="D409" s="36"/>
      <c r="E409" s="35"/>
      <c r="F409" s="35"/>
      <c r="G409" s="35"/>
      <c r="H409" s="151"/>
    </row>
    <row r="410" spans="1:8" ht="25.8">
      <c r="A410" s="35"/>
      <c r="B410" s="8"/>
      <c r="C410" s="36"/>
      <c r="D410" s="36"/>
      <c r="E410" s="35"/>
      <c r="F410" s="35"/>
      <c r="G410" s="35"/>
      <c r="H410" s="151"/>
    </row>
    <row r="411" spans="1:8" ht="25.8">
      <c r="A411" s="35"/>
      <c r="B411" s="8"/>
      <c r="C411" s="36"/>
      <c r="D411" s="36"/>
      <c r="E411" s="35"/>
      <c r="F411" s="35"/>
      <c r="G411" s="35"/>
      <c r="H411" s="151"/>
    </row>
    <row r="412" spans="1:8" ht="25.8">
      <c r="A412" s="35"/>
      <c r="B412" s="8"/>
      <c r="C412" s="36"/>
      <c r="D412" s="36"/>
      <c r="E412" s="35"/>
      <c r="F412" s="35"/>
      <c r="G412" s="35"/>
      <c r="H412" s="151"/>
    </row>
    <row r="413" spans="1:8" ht="25.8">
      <c r="A413" s="35"/>
      <c r="B413" s="8"/>
      <c r="C413" s="36"/>
      <c r="D413" s="36"/>
      <c r="E413" s="35"/>
      <c r="F413" s="35"/>
      <c r="G413" s="35"/>
      <c r="H413" s="151"/>
    </row>
    <row r="414" spans="1:8" ht="25.8">
      <c r="A414" s="35"/>
      <c r="B414" s="8"/>
      <c r="C414" s="36"/>
      <c r="D414" s="36"/>
      <c r="E414" s="35"/>
      <c r="F414" s="35"/>
      <c r="G414" s="35"/>
      <c r="H414" s="151"/>
    </row>
    <row r="415" spans="1:8" ht="25.8">
      <c r="A415" s="35"/>
      <c r="B415" s="8"/>
      <c r="C415" s="36"/>
      <c r="D415" s="36"/>
      <c r="E415" s="35"/>
      <c r="F415" s="35"/>
      <c r="G415" s="35"/>
      <c r="H415" s="151"/>
    </row>
    <row r="416" spans="1:8" ht="25.8">
      <c r="A416" s="35"/>
      <c r="B416" s="8"/>
      <c r="C416" s="36"/>
      <c r="D416" s="36"/>
      <c r="E416" s="35"/>
      <c r="F416" s="35"/>
      <c r="G416" s="35"/>
      <c r="H416" s="151"/>
    </row>
    <row r="417" spans="1:8" ht="25.8">
      <c r="A417" s="35"/>
      <c r="B417" s="8"/>
      <c r="C417" s="36"/>
      <c r="D417" s="36"/>
      <c r="E417" s="35"/>
      <c r="F417" s="35"/>
      <c r="G417" s="35"/>
      <c r="H417" s="151"/>
    </row>
    <row r="418" spans="1:8" ht="25.8">
      <c r="A418" s="35"/>
      <c r="B418" s="8"/>
      <c r="C418" s="36"/>
      <c r="D418" s="36"/>
      <c r="E418" s="35"/>
      <c r="F418" s="35"/>
      <c r="G418" s="35"/>
      <c r="H418" s="151"/>
    </row>
    <row r="419" spans="1:8" ht="25.8">
      <c r="A419" s="35"/>
      <c r="B419" s="8"/>
      <c r="C419" s="36"/>
      <c r="D419" s="36"/>
      <c r="E419" s="35"/>
      <c r="F419" s="35"/>
      <c r="G419" s="35"/>
      <c r="H419" s="151"/>
    </row>
    <row r="420" spans="1:8" ht="25.8">
      <c r="A420" s="35"/>
      <c r="B420" s="8"/>
      <c r="C420" s="36"/>
      <c r="D420" s="36"/>
      <c r="E420" s="35"/>
      <c r="F420" s="35"/>
      <c r="G420" s="35"/>
      <c r="H420" s="151"/>
    </row>
    <row r="421" spans="1:8" ht="25.8">
      <c r="A421" s="35"/>
      <c r="B421" s="8"/>
      <c r="C421" s="36"/>
      <c r="D421" s="36"/>
      <c r="E421" s="35"/>
      <c r="F421" s="35"/>
      <c r="G421" s="35"/>
      <c r="H421" s="151"/>
    </row>
    <row r="422" spans="1:8" ht="25.8">
      <c r="A422" s="35"/>
      <c r="B422" s="8"/>
      <c r="C422" s="36"/>
      <c r="D422" s="36"/>
      <c r="E422" s="35"/>
      <c r="F422" s="35"/>
      <c r="G422" s="35"/>
      <c r="H422" s="151"/>
    </row>
    <row r="423" spans="1:8" ht="25.8">
      <c r="A423" s="35"/>
      <c r="B423" s="8"/>
      <c r="C423" s="36"/>
      <c r="D423" s="36"/>
      <c r="E423" s="35"/>
      <c r="F423" s="35"/>
      <c r="G423" s="35"/>
      <c r="H423" s="151"/>
    </row>
    <row r="424" spans="1:8" ht="25.8">
      <c r="A424" s="35"/>
      <c r="B424" s="8"/>
      <c r="C424" s="36"/>
      <c r="D424" s="36"/>
      <c r="E424" s="35"/>
      <c r="F424" s="35"/>
      <c r="G424" s="35"/>
      <c r="H424" s="151"/>
    </row>
    <row r="425" spans="1:8" ht="25.8">
      <c r="A425" s="35"/>
      <c r="B425" s="8"/>
      <c r="C425" s="36"/>
      <c r="D425" s="36"/>
      <c r="E425" s="35"/>
      <c r="F425" s="35"/>
      <c r="G425" s="35"/>
      <c r="H425" s="151"/>
    </row>
    <row r="426" spans="1:8" ht="25.8">
      <c r="A426" s="35"/>
      <c r="B426" s="8"/>
      <c r="C426" s="36"/>
      <c r="D426" s="36"/>
      <c r="E426" s="35"/>
      <c r="F426" s="35"/>
      <c r="G426" s="35"/>
      <c r="H426" s="151"/>
    </row>
    <row r="427" spans="1:8" ht="25.8">
      <c r="A427" s="35"/>
      <c r="B427" s="8"/>
      <c r="C427" s="36"/>
      <c r="D427" s="36"/>
      <c r="E427" s="35"/>
      <c r="F427" s="35"/>
      <c r="G427" s="35"/>
      <c r="H427" s="151"/>
    </row>
    <row r="428" spans="1:8" ht="25.8">
      <c r="A428" s="35"/>
      <c r="B428" s="8"/>
      <c r="C428" s="36"/>
      <c r="D428" s="36"/>
      <c r="E428" s="35"/>
      <c r="F428" s="35"/>
      <c r="G428" s="35"/>
      <c r="H428" s="151"/>
    </row>
    <row r="429" spans="1:8" ht="25.8">
      <c r="A429" s="35"/>
      <c r="B429" s="8"/>
      <c r="C429" s="36"/>
      <c r="D429" s="36"/>
      <c r="E429" s="35"/>
      <c r="F429" s="35"/>
      <c r="G429" s="35"/>
      <c r="H429" s="151"/>
    </row>
    <row r="430" spans="1:8" ht="25.8">
      <c r="A430" s="35"/>
      <c r="B430" s="8"/>
      <c r="C430" s="36"/>
      <c r="D430" s="36"/>
      <c r="E430" s="35"/>
      <c r="F430" s="35"/>
      <c r="G430" s="35"/>
      <c r="H430" s="151"/>
    </row>
    <row r="431" spans="1:8" ht="25.8">
      <c r="A431" s="35"/>
      <c r="B431" s="8"/>
      <c r="C431" s="36"/>
      <c r="D431" s="36"/>
      <c r="E431" s="35"/>
      <c r="F431" s="35"/>
      <c r="G431" s="35"/>
      <c r="H431" s="151"/>
    </row>
    <row r="432" spans="1:8" ht="25.8">
      <c r="A432" s="35"/>
      <c r="B432" s="8"/>
      <c r="C432" s="36"/>
      <c r="D432" s="36"/>
      <c r="E432" s="35"/>
      <c r="F432" s="35"/>
      <c r="G432" s="35"/>
      <c r="H432" s="151"/>
    </row>
    <row r="433" spans="1:8" ht="25.8">
      <c r="A433" s="35"/>
      <c r="B433" s="8"/>
      <c r="C433" s="36"/>
      <c r="D433" s="36"/>
      <c r="E433" s="35"/>
      <c r="F433" s="35"/>
      <c r="G433" s="35"/>
      <c r="H433" s="151"/>
    </row>
    <row r="434" spans="1:8" ht="25.8">
      <c r="A434" s="35"/>
      <c r="B434" s="8"/>
      <c r="C434" s="36"/>
      <c r="D434" s="36"/>
      <c r="E434" s="35"/>
      <c r="F434" s="35"/>
      <c r="G434" s="35"/>
      <c r="H434" s="151"/>
    </row>
    <row r="435" spans="1:8" ht="25.8">
      <c r="A435" s="35"/>
      <c r="B435" s="8"/>
      <c r="C435" s="36"/>
      <c r="D435" s="36"/>
      <c r="E435" s="35"/>
      <c r="F435" s="35"/>
      <c r="G435" s="35"/>
      <c r="H435" s="151"/>
    </row>
    <row r="436" spans="1:8" ht="25.8">
      <c r="A436" s="35"/>
      <c r="B436" s="8"/>
      <c r="C436" s="36"/>
      <c r="D436" s="36"/>
      <c r="E436" s="35"/>
      <c r="F436" s="35"/>
      <c r="G436" s="35"/>
      <c r="H436" s="151"/>
    </row>
    <row r="437" spans="1:8" ht="25.8">
      <c r="A437" s="35"/>
      <c r="B437" s="8"/>
      <c r="C437" s="36"/>
      <c r="D437" s="36"/>
      <c r="E437" s="35"/>
      <c r="F437" s="35"/>
      <c r="G437" s="35"/>
      <c r="H437" s="151"/>
    </row>
    <row r="438" spans="1:8" ht="25.8">
      <c r="A438" s="35"/>
      <c r="B438" s="8"/>
      <c r="C438" s="36"/>
      <c r="D438" s="36"/>
      <c r="E438" s="35"/>
      <c r="F438" s="35"/>
      <c r="G438" s="35"/>
      <c r="H438" s="151"/>
    </row>
    <row r="439" spans="1:8" ht="25.8">
      <c r="A439" s="35"/>
      <c r="B439" s="8"/>
      <c r="C439" s="36"/>
      <c r="D439" s="36"/>
      <c r="E439" s="35"/>
      <c r="F439" s="35"/>
      <c r="G439" s="35"/>
      <c r="H439" s="151"/>
    </row>
    <row r="440" spans="1:8" ht="25.8">
      <c r="A440" s="35"/>
      <c r="B440" s="8"/>
      <c r="C440" s="36"/>
      <c r="D440" s="36"/>
      <c r="E440" s="35"/>
      <c r="F440" s="35"/>
      <c r="G440" s="35"/>
      <c r="H440" s="151"/>
    </row>
    <row r="441" spans="1:8" ht="25.8">
      <c r="A441" s="35"/>
      <c r="B441" s="8"/>
      <c r="C441" s="36"/>
      <c r="D441" s="36"/>
      <c r="E441" s="35"/>
      <c r="F441" s="35"/>
      <c r="G441" s="35"/>
      <c r="H441" s="151"/>
    </row>
    <row r="442" spans="1:8" ht="25.8">
      <c r="A442" s="35"/>
      <c r="B442" s="8"/>
      <c r="C442" s="36"/>
      <c r="D442" s="36"/>
      <c r="E442" s="35"/>
      <c r="F442" s="35"/>
      <c r="G442" s="35"/>
      <c r="H442" s="151"/>
    </row>
    <row r="443" spans="1:8" ht="25.8">
      <c r="A443" s="35"/>
      <c r="B443" s="8"/>
      <c r="C443" s="36"/>
      <c r="D443" s="36"/>
      <c r="E443" s="35"/>
      <c r="F443" s="35"/>
      <c r="G443" s="35"/>
      <c r="H443" s="151"/>
    </row>
    <row r="444" spans="1:8" ht="25.8">
      <c r="A444" s="35"/>
      <c r="B444" s="8"/>
      <c r="C444" s="36"/>
      <c r="D444" s="36"/>
      <c r="E444" s="35"/>
      <c r="F444" s="35"/>
      <c r="G444" s="35"/>
      <c r="H444" s="151"/>
    </row>
    <row r="445" spans="1:8" ht="25.8">
      <c r="A445" s="35"/>
      <c r="B445" s="8"/>
      <c r="C445" s="36"/>
      <c r="D445" s="36"/>
      <c r="E445" s="35"/>
      <c r="F445" s="35"/>
      <c r="G445" s="35"/>
      <c r="H445" s="151"/>
    </row>
    <row r="446" spans="1:8" ht="25.8">
      <c r="A446" s="35"/>
      <c r="B446" s="8"/>
      <c r="C446" s="36"/>
      <c r="D446" s="36"/>
      <c r="E446" s="35"/>
      <c r="F446" s="35"/>
      <c r="G446" s="35"/>
      <c r="H446" s="151"/>
    </row>
    <row r="447" spans="1:8" ht="25.8">
      <c r="A447" s="35"/>
      <c r="B447" s="8"/>
      <c r="C447" s="36"/>
      <c r="D447" s="36"/>
      <c r="E447" s="35"/>
      <c r="F447" s="35"/>
      <c r="G447" s="35"/>
      <c r="H447" s="151"/>
    </row>
    <row r="448" spans="1:8" ht="25.8">
      <c r="A448" s="35"/>
      <c r="B448" s="8"/>
      <c r="C448" s="36"/>
      <c r="D448" s="36"/>
      <c r="E448" s="35"/>
      <c r="F448" s="35"/>
      <c r="G448" s="35"/>
      <c r="H448" s="151"/>
    </row>
    <row r="449" spans="1:8" ht="25.8">
      <c r="A449" s="35"/>
      <c r="B449" s="8"/>
      <c r="C449" s="36"/>
      <c r="D449" s="36"/>
      <c r="E449" s="35"/>
      <c r="F449" s="35"/>
      <c r="G449" s="35"/>
      <c r="H449" s="151"/>
    </row>
    <row r="450" spans="1:8" ht="25.8">
      <c r="A450" s="35"/>
      <c r="B450" s="8"/>
      <c r="C450" s="36"/>
      <c r="D450" s="36"/>
      <c r="E450" s="35"/>
      <c r="F450" s="35"/>
      <c r="G450" s="35"/>
      <c r="H450" s="151"/>
    </row>
    <row r="451" spans="1:8" ht="25.8">
      <c r="A451" s="35"/>
      <c r="B451" s="8"/>
      <c r="C451" s="36"/>
      <c r="D451" s="36"/>
      <c r="E451" s="35"/>
      <c r="F451" s="35"/>
      <c r="G451" s="35"/>
      <c r="H451" s="151"/>
    </row>
    <row r="452" spans="1:8" ht="25.8">
      <c r="A452" s="35"/>
      <c r="B452" s="8"/>
      <c r="C452" s="36"/>
      <c r="D452" s="36"/>
      <c r="E452" s="35"/>
      <c r="F452" s="35"/>
      <c r="G452" s="35"/>
      <c r="H452" s="151"/>
    </row>
    <row r="453" spans="1:8" ht="25.8">
      <c r="A453" s="35"/>
      <c r="B453" s="8"/>
      <c r="C453" s="36"/>
      <c r="D453" s="36"/>
      <c r="E453" s="35"/>
      <c r="F453" s="35"/>
      <c r="G453" s="35"/>
      <c r="H453" s="151"/>
    </row>
    <row r="454" spans="1:8" ht="25.8">
      <c r="A454" s="35"/>
      <c r="B454" s="8"/>
      <c r="C454" s="36"/>
      <c r="D454" s="36"/>
      <c r="E454" s="35"/>
      <c r="F454" s="35"/>
      <c r="G454" s="35"/>
      <c r="H454" s="151"/>
    </row>
    <row r="455" spans="1:8" ht="25.8">
      <c r="A455" s="35"/>
      <c r="B455" s="8"/>
      <c r="C455" s="36"/>
      <c r="D455" s="36"/>
      <c r="E455" s="35"/>
      <c r="F455" s="35"/>
      <c r="G455" s="35"/>
      <c r="H455" s="151"/>
    </row>
    <row r="456" spans="1:8" ht="25.8">
      <c r="A456" s="35"/>
      <c r="B456" s="8"/>
      <c r="C456" s="36"/>
      <c r="D456" s="36"/>
      <c r="E456" s="35"/>
      <c r="F456" s="35"/>
      <c r="G456" s="35"/>
      <c r="H456" s="151"/>
    </row>
    <row r="457" spans="1:8" ht="25.8">
      <c r="A457" s="35"/>
      <c r="B457" s="8"/>
      <c r="C457" s="36"/>
      <c r="D457" s="36"/>
      <c r="E457" s="35"/>
      <c r="F457" s="35"/>
      <c r="G457" s="35"/>
      <c r="H457" s="151"/>
    </row>
    <row r="458" spans="1:8" ht="25.8">
      <c r="A458" s="35"/>
      <c r="B458" s="8"/>
      <c r="C458" s="36"/>
      <c r="D458" s="36"/>
      <c r="E458" s="35"/>
      <c r="F458" s="35"/>
      <c r="G458" s="35"/>
      <c r="H458" s="151"/>
    </row>
    <row r="459" spans="1:8" ht="25.8">
      <c r="A459" s="35"/>
      <c r="B459" s="8"/>
      <c r="C459" s="36"/>
      <c r="D459" s="36"/>
      <c r="E459" s="35"/>
      <c r="F459" s="35"/>
      <c r="G459" s="35"/>
      <c r="H459" s="151"/>
    </row>
    <row r="460" spans="1:8" ht="25.8">
      <c r="A460" s="35"/>
      <c r="B460" s="8"/>
      <c r="C460" s="36"/>
      <c r="D460" s="36"/>
      <c r="E460" s="35"/>
      <c r="F460" s="35"/>
      <c r="G460" s="35"/>
      <c r="H460" s="151"/>
    </row>
    <row r="461" spans="1:8" ht="25.8">
      <c r="A461" s="35"/>
      <c r="B461" s="8"/>
      <c r="C461" s="36"/>
      <c r="D461" s="36"/>
      <c r="E461" s="35"/>
      <c r="F461" s="35"/>
      <c r="G461" s="35"/>
      <c r="H461" s="151"/>
    </row>
    <row r="462" spans="1:8" ht="25.8">
      <c r="A462" s="35"/>
      <c r="B462" s="8"/>
      <c r="C462" s="36"/>
      <c r="D462" s="36"/>
      <c r="E462" s="35"/>
      <c r="F462" s="35"/>
      <c r="G462" s="35"/>
      <c r="H462" s="151"/>
    </row>
    <row r="463" spans="1:8" ht="25.8">
      <c r="A463" s="35"/>
      <c r="B463" s="8"/>
      <c r="C463" s="36"/>
      <c r="D463" s="36"/>
      <c r="E463" s="35"/>
      <c r="F463" s="35"/>
      <c r="G463" s="35"/>
      <c r="H463" s="151"/>
    </row>
    <row r="464" spans="1:8" ht="25.8">
      <c r="A464" s="35"/>
      <c r="B464" s="8"/>
      <c r="C464" s="36"/>
      <c r="D464" s="36"/>
      <c r="E464" s="35"/>
      <c r="F464" s="35"/>
      <c r="G464" s="35"/>
      <c r="H464" s="151"/>
    </row>
    <row r="465" spans="1:8" ht="25.8">
      <c r="A465" s="35"/>
      <c r="B465" s="8"/>
      <c r="C465" s="36"/>
      <c r="D465" s="36"/>
      <c r="E465" s="35"/>
      <c r="F465" s="35"/>
      <c r="G465" s="35"/>
      <c r="H465" s="151"/>
    </row>
    <row r="466" spans="1:8" ht="25.8">
      <c r="A466" s="35"/>
      <c r="B466" s="8"/>
      <c r="C466" s="36"/>
      <c r="D466" s="36"/>
      <c r="E466" s="35"/>
      <c r="F466" s="35"/>
      <c r="G466" s="35"/>
      <c r="H466" s="151"/>
    </row>
    <row r="467" spans="1:8" ht="25.8">
      <c r="A467" s="35"/>
      <c r="B467" s="8"/>
      <c r="C467" s="36"/>
      <c r="D467" s="36"/>
      <c r="E467" s="35"/>
      <c r="F467" s="35"/>
      <c r="G467" s="35"/>
      <c r="H467" s="151"/>
    </row>
    <row r="468" spans="1:8" ht="25.8">
      <c r="A468" s="35"/>
      <c r="B468" s="8"/>
      <c r="C468" s="36"/>
      <c r="D468" s="36"/>
      <c r="E468" s="35"/>
      <c r="F468" s="35"/>
      <c r="G468" s="35"/>
      <c r="H468" s="151"/>
    </row>
    <row r="469" spans="1:8" ht="25.8">
      <c r="A469" s="35"/>
      <c r="B469" s="8"/>
      <c r="C469" s="36"/>
      <c r="D469" s="36"/>
      <c r="E469" s="35"/>
      <c r="F469" s="35"/>
      <c r="G469" s="35"/>
      <c r="H469" s="151"/>
    </row>
    <row r="470" spans="1:8" ht="25.8">
      <c r="A470" s="35"/>
      <c r="B470" s="8"/>
      <c r="C470" s="36"/>
      <c r="D470" s="36"/>
      <c r="E470" s="35"/>
      <c r="F470" s="35"/>
      <c r="G470" s="35"/>
      <c r="H470" s="151"/>
    </row>
    <row r="471" spans="1:8" ht="25.8">
      <c r="A471" s="35"/>
      <c r="B471" s="8"/>
      <c r="C471" s="36"/>
      <c r="D471" s="36"/>
      <c r="E471" s="35"/>
      <c r="F471" s="35"/>
      <c r="G471" s="35"/>
      <c r="H471" s="151"/>
    </row>
    <row r="472" spans="1:8" ht="25.8">
      <c r="A472" s="35"/>
      <c r="B472" s="8"/>
      <c r="C472" s="36"/>
      <c r="D472" s="36"/>
      <c r="E472" s="35"/>
      <c r="F472" s="35"/>
      <c r="G472" s="35"/>
      <c r="H472" s="151"/>
    </row>
    <row r="473" spans="1:8" ht="25.8">
      <c r="A473" s="35"/>
      <c r="B473" s="8"/>
      <c r="C473" s="36"/>
      <c r="D473" s="36"/>
      <c r="E473" s="35"/>
      <c r="F473" s="35"/>
      <c r="G473" s="35"/>
      <c r="H473" s="151"/>
    </row>
    <row r="474" spans="1:8" ht="25.8">
      <c r="A474" s="35"/>
      <c r="B474" s="8"/>
      <c r="C474" s="36"/>
      <c r="D474" s="36"/>
      <c r="E474" s="35"/>
      <c r="F474" s="35"/>
      <c r="G474" s="35"/>
      <c r="H474" s="151"/>
    </row>
    <row r="475" spans="1:8" ht="25.8">
      <c r="A475" s="35"/>
      <c r="B475" s="8"/>
      <c r="C475" s="36"/>
      <c r="D475" s="36"/>
      <c r="E475" s="35"/>
      <c r="F475" s="35"/>
      <c r="G475" s="35"/>
      <c r="H475" s="151"/>
    </row>
    <row r="476" spans="1:8" ht="25.8">
      <c r="A476" s="35"/>
      <c r="B476" s="8"/>
      <c r="C476" s="36"/>
      <c r="D476" s="36"/>
      <c r="E476" s="35"/>
      <c r="F476" s="35"/>
      <c r="G476" s="35"/>
      <c r="H476" s="151"/>
    </row>
    <row r="477" spans="1:8" ht="25.8">
      <c r="A477" s="35"/>
      <c r="B477" s="8"/>
      <c r="C477" s="36"/>
      <c r="D477" s="36"/>
      <c r="E477" s="35"/>
      <c r="F477" s="35"/>
      <c r="G477" s="35"/>
      <c r="H477" s="151"/>
    </row>
    <row r="478" spans="1:8" ht="25.8">
      <c r="A478" s="35"/>
      <c r="B478" s="8"/>
      <c r="C478" s="36"/>
      <c r="D478" s="36"/>
      <c r="E478" s="35"/>
      <c r="F478" s="35"/>
      <c r="G478" s="35"/>
      <c r="H478" s="151"/>
    </row>
    <row r="479" spans="1:8" ht="25.8">
      <c r="A479" s="35"/>
      <c r="B479" s="8"/>
      <c r="C479" s="36"/>
      <c r="D479" s="36"/>
      <c r="E479" s="35"/>
      <c r="F479" s="35"/>
      <c r="G479" s="35"/>
      <c r="H479" s="151"/>
    </row>
    <row r="480" spans="1:8" ht="25.8">
      <c r="A480" s="35"/>
      <c r="B480" s="8"/>
      <c r="C480" s="36"/>
      <c r="D480" s="36"/>
      <c r="E480" s="35"/>
      <c r="F480" s="35"/>
      <c r="G480" s="35"/>
      <c r="H480" s="151"/>
    </row>
    <row r="481" spans="1:8" ht="25.8">
      <c r="A481" s="35"/>
      <c r="B481" s="8"/>
      <c r="C481" s="36"/>
      <c r="D481" s="36"/>
      <c r="E481" s="35"/>
      <c r="F481" s="35"/>
      <c r="G481" s="35"/>
      <c r="H481" s="151"/>
    </row>
    <row r="482" spans="1:8" ht="25.8">
      <c r="A482" s="35"/>
      <c r="B482" s="8"/>
      <c r="C482" s="36"/>
      <c r="D482" s="36"/>
      <c r="E482" s="35"/>
      <c r="F482" s="35"/>
      <c r="G482" s="35"/>
      <c r="H482" s="151"/>
    </row>
    <row r="483" spans="1:8" ht="25.8">
      <c r="A483" s="35"/>
      <c r="B483" s="8"/>
      <c r="C483" s="36"/>
      <c r="D483" s="36"/>
      <c r="E483" s="35"/>
      <c r="F483" s="35"/>
      <c r="G483" s="35"/>
      <c r="H483" s="151"/>
    </row>
    <row r="484" spans="1:8" ht="25.8">
      <c r="A484" s="35"/>
      <c r="B484" s="8"/>
      <c r="C484" s="36"/>
      <c r="D484" s="36"/>
      <c r="E484" s="35"/>
      <c r="F484" s="35"/>
      <c r="G484" s="35"/>
      <c r="H484" s="151"/>
    </row>
    <row r="485" spans="1:8" ht="25.8">
      <c r="A485" s="35"/>
      <c r="B485" s="8"/>
      <c r="C485" s="36"/>
      <c r="D485" s="36"/>
      <c r="E485" s="35"/>
      <c r="F485" s="35"/>
      <c r="G485" s="35"/>
      <c r="H485" s="151"/>
    </row>
    <row r="486" spans="1:8" ht="25.8">
      <c r="A486" s="35"/>
      <c r="B486" s="8"/>
      <c r="C486" s="36"/>
      <c r="D486" s="36"/>
      <c r="E486" s="35"/>
      <c r="F486" s="35"/>
      <c r="G486" s="35"/>
      <c r="H486" s="151"/>
    </row>
    <row r="487" spans="1:8" ht="25.8">
      <c r="A487" s="35"/>
      <c r="B487" s="8"/>
      <c r="C487" s="36"/>
      <c r="D487" s="36"/>
      <c r="E487" s="35"/>
      <c r="F487" s="35"/>
      <c r="G487" s="35"/>
      <c r="H487" s="151"/>
    </row>
    <row r="488" spans="1:8" ht="25.8">
      <c r="A488" s="35"/>
      <c r="B488" s="8"/>
      <c r="C488" s="36"/>
      <c r="D488" s="36"/>
      <c r="E488" s="35"/>
      <c r="F488" s="35"/>
      <c r="G488" s="35"/>
      <c r="H488" s="151"/>
    </row>
    <row r="489" spans="1:8" ht="25.8">
      <c r="A489" s="35"/>
      <c r="B489" s="8"/>
      <c r="C489" s="36"/>
      <c r="D489" s="36"/>
      <c r="E489" s="35"/>
      <c r="F489" s="35"/>
      <c r="G489" s="35"/>
      <c r="H489" s="151"/>
    </row>
    <row r="490" spans="1:8" ht="25.8">
      <c r="A490" s="35"/>
      <c r="B490" s="8"/>
      <c r="C490" s="36"/>
      <c r="D490" s="36"/>
      <c r="E490" s="35"/>
      <c r="F490" s="35"/>
      <c r="G490" s="35"/>
      <c r="H490" s="151"/>
    </row>
    <row r="491" spans="1:8" ht="25.8">
      <c r="A491" s="35"/>
      <c r="B491" s="8"/>
      <c r="C491" s="36"/>
      <c r="D491" s="36"/>
      <c r="E491" s="35"/>
      <c r="F491" s="35"/>
      <c r="G491" s="35"/>
      <c r="H491" s="151"/>
    </row>
    <row r="492" spans="1:8" ht="25.8">
      <c r="A492" s="35"/>
      <c r="B492" s="8"/>
      <c r="C492" s="36"/>
      <c r="D492" s="36"/>
      <c r="E492" s="35"/>
      <c r="F492" s="35"/>
      <c r="G492" s="35"/>
      <c r="H492" s="151"/>
    </row>
    <row r="493" spans="1:8" ht="25.8">
      <c r="A493" s="35"/>
      <c r="B493" s="8"/>
      <c r="C493" s="36"/>
      <c r="D493" s="36"/>
      <c r="E493" s="35"/>
      <c r="F493" s="35"/>
      <c r="G493" s="35"/>
      <c r="H493" s="151"/>
    </row>
    <row r="494" spans="1:8" ht="25.8">
      <c r="A494" s="35"/>
      <c r="B494" s="8"/>
      <c r="C494" s="36"/>
      <c r="D494" s="36"/>
      <c r="E494" s="35"/>
      <c r="F494" s="35"/>
      <c r="G494" s="35"/>
      <c r="H494" s="151"/>
    </row>
    <row r="495" spans="1:8" ht="25.8">
      <c r="A495" s="35"/>
      <c r="B495" s="8"/>
      <c r="C495" s="36"/>
      <c r="D495" s="36"/>
      <c r="E495" s="35"/>
      <c r="F495" s="35"/>
      <c r="G495" s="35"/>
      <c r="H495" s="151"/>
    </row>
    <row r="496" spans="1:8" ht="25.8">
      <c r="A496" s="35"/>
      <c r="B496" s="8"/>
      <c r="C496" s="36"/>
      <c r="D496" s="36"/>
      <c r="E496" s="35"/>
      <c r="F496" s="35"/>
      <c r="G496" s="35"/>
      <c r="H496" s="151"/>
    </row>
    <row r="497" spans="1:8" ht="25.8">
      <c r="A497" s="35"/>
      <c r="B497" s="8"/>
      <c r="C497" s="36"/>
      <c r="D497" s="36"/>
      <c r="E497" s="35"/>
      <c r="F497" s="35"/>
      <c r="G497" s="35"/>
      <c r="H497" s="151"/>
    </row>
    <row r="498" spans="1:8" ht="25.8">
      <c r="A498" s="35"/>
      <c r="B498" s="8"/>
      <c r="C498" s="36"/>
      <c r="D498" s="36"/>
      <c r="E498" s="35"/>
      <c r="F498" s="35"/>
      <c r="G498" s="35"/>
      <c r="H498" s="151"/>
    </row>
    <row r="499" spans="1:8" ht="25.8">
      <c r="A499" s="35"/>
      <c r="B499" s="8"/>
      <c r="C499" s="36"/>
      <c r="D499" s="36"/>
      <c r="E499" s="35"/>
      <c r="F499" s="35"/>
      <c r="G499" s="35"/>
      <c r="H499" s="151"/>
    </row>
    <row r="500" spans="1:8" ht="25.8">
      <c r="A500" s="35"/>
      <c r="B500" s="8"/>
      <c r="C500" s="36"/>
      <c r="D500" s="36"/>
      <c r="E500" s="35"/>
      <c r="F500" s="35"/>
      <c r="G500" s="35"/>
      <c r="H500" s="151"/>
    </row>
  </sheetData>
  <autoFilter ref="A1:H217" xr:uid="{00000000-0009-0000-0000-000009000000}"/>
  <conditionalFormatting sqref="H1:H1048576">
    <cfRule type="containsText" dxfId="156" priority="1" operator="containsText" text="Roll">
      <formula>NOT(ISERROR(SEARCH("Roll",H1)))</formula>
    </cfRule>
    <cfRule type="containsText" dxfId="155" priority="6" operator="containsText" text="Lable">
      <formula>NOT(ISERROR(SEARCH("Lable",H1)))</formula>
    </cfRule>
    <cfRule type="containsText" dxfId="154" priority="7" stopIfTrue="1" operator="containsText" text="Sacks">
      <formula>NOT(ISERROR(SEARCH("Sacks",H1)))</formula>
    </cfRule>
  </conditionalFormatting>
  <conditionalFormatting sqref="B1:B1048576">
    <cfRule type="containsText" dxfId="153" priority="2" operator="containsText" text="OUT">
      <formula>NOT(ISERROR(SEARCH("OUT",B1)))</formula>
    </cfRule>
    <cfRule type="containsText" dxfId="152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2026-05-30T17:48:43Z</dcterms:modified>
</cp:coreProperties>
</file>