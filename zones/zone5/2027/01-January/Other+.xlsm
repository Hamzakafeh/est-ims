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EST-IMS Online\est-ims\zones\zone5\2027\01-January\"/>
    </mc:Choice>
  </mc:AlternateContent>
  <xr:revisionPtr revIDLastSave="0" documentId="13_ncr:1_{7479455B-B600-4E41-8DDD-29937677924B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Pallet" sheetId="1" r:id="rId1"/>
    <sheet name="Card" sheetId="2" r:id="rId2"/>
    <sheet name="Shrink" sheetId="3" r:id="rId3"/>
    <sheet name="String" sheetId="4" r:id="rId4"/>
    <sheet name="Stocktaking" sheetId="5" r:id="rId5"/>
    <sheet name="Log" sheetId="6" r:id="rId6"/>
  </sheets>
  <definedNames>
    <definedName name="_xlnm._FilterDatabase" localSheetId="5" hidden="1">Log!$A$1:$H$217</definedName>
    <definedName name="_xlnm.Print_Area" localSheetId="4">Stocktaking!$G$1:$S$28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6" i="5" l="1"/>
  <c r="O26" i="5"/>
  <c r="Q21" i="5"/>
  <c r="P21" i="5"/>
  <c r="O21" i="5"/>
  <c r="G21" i="5"/>
  <c r="Q14" i="5"/>
  <c r="P14" i="5"/>
  <c r="O14" i="5"/>
  <c r="K14" i="5"/>
  <c r="G14" i="5"/>
  <c r="R7" i="5" a="1"/>
  <c r="R7" i="5" s="1"/>
  <c r="Q7" i="5"/>
  <c r="P7" i="5"/>
  <c r="O7" i="5"/>
  <c r="K7" i="5" a="1"/>
  <c r="K7" i="5" s="1"/>
  <c r="G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Mlo5:
Quantity after adjustment</t>
        </r>
      </text>
    </comment>
  </commentList>
</comments>
</file>

<file path=xl/sharedStrings.xml><?xml version="1.0" encoding="utf-8"?>
<sst xmlns="http://schemas.openxmlformats.org/spreadsheetml/2006/main" count="1018" uniqueCount="38">
  <si>
    <t>Pallet</t>
  </si>
  <si>
    <t>Calculation</t>
  </si>
  <si>
    <t>Date</t>
  </si>
  <si>
    <t>Category</t>
  </si>
  <si>
    <t>Type</t>
  </si>
  <si>
    <t>Color</t>
  </si>
  <si>
    <t>Size</t>
  </si>
  <si>
    <t>From-To</t>
  </si>
  <si>
    <t>Basic Balance</t>
  </si>
  <si>
    <t>Current Balance</t>
  </si>
  <si>
    <t>IN</t>
  </si>
  <si>
    <t>OUT</t>
  </si>
  <si>
    <t>2026-01-01</t>
  </si>
  <si>
    <t>null</t>
  </si>
  <si>
    <t>Cartoon</t>
  </si>
  <si>
    <t>Card</t>
  </si>
  <si>
    <t>Shrink</t>
  </si>
  <si>
    <t>String</t>
  </si>
  <si>
    <t>Machine S</t>
  </si>
  <si>
    <t>&lt;1028&gt;</t>
  </si>
  <si>
    <t>&lt;1031&gt;</t>
  </si>
  <si>
    <t>&lt;3024&gt;</t>
  </si>
  <si>
    <t>Machine B</t>
  </si>
  <si>
    <t>Wood</t>
  </si>
  <si>
    <t>&lt;3023&gt;</t>
  </si>
  <si>
    <t>&lt;3014&gt;</t>
  </si>
  <si>
    <t>&lt;2009&gt;</t>
  </si>
  <si>
    <t>Manual</t>
  </si>
  <si>
    <t>&lt;2013&gt;</t>
  </si>
  <si>
    <t>&lt;1029&gt;</t>
  </si>
  <si>
    <t>&lt;1032&gt;</t>
  </si>
  <si>
    <t>&lt;1016&gt;</t>
  </si>
  <si>
    <t>&lt;3025&gt;</t>
  </si>
  <si>
    <t>Date-Time</t>
  </si>
  <si>
    <t>Process</t>
  </si>
  <si>
    <t>Quantity</t>
  </si>
  <si>
    <t>QAA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</si>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</sst>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name val="Calibri"/>
      <family val="2"/>
      <scheme val="minor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1"/>
    <xf numFmtId="0" fontId="2" fillId="4" borderId="0"/>
    <xf numFmtId="0" fontId="3" fillId="6" borderId="4"/>
    <xf numFmtId="43" fontId="1" fillId="0" borderId="0"/>
    <xf numFmtId="0" fontId="10" fillId="9" borderId="0"/>
  </cellStyleXfs>
  <cellXfs count="109">
    <xf numFmtId="0" fontId="0" fillId="0" borderId="0" xfId="0"/>
    <xf numFmtId="0" fontId="7" fillId="0" borderId="0" xfId="0" applyFont="1"/>
    <xf numFmtId="0" fontId="5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0" fontId="8" fillId="2" borderId="19" xfId="1" applyFont="1" applyBorder="1" applyAlignment="1">
      <alignment horizontal="center" vertical="center"/>
    </xf>
    <xf numFmtId="0" fontId="8" fillId="2" borderId="20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5" fillId="2" borderId="22" xfId="1" applyFont="1" applyBorder="1" applyAlignment="1">
      <alignment horizontal="center"/>
    </xf>
    <xf numFmtId="22" fontId="7" fillId="0" borderId="6" xfId="0" applyNumberFormat="1" applyFont="1" applyBorder="1" applyAlignment="1">
      <alignment horizontal="center" vertical="center"/>
    </xf>
    <xf numFmtId="22" fontId="0" fillId="0" borderId="6" xfId="0" applyNumberFormat="1" applyBorder="1"/>
    <xf numFmtId="0" fontId="0" fillId="0" borderId="6" xfId="0" applyBorder="1"/>
    <xf numFmtId="0" fontId="0" fillId="0" borderId="10" xfId="0" applyBorder="1"/>
    <xf numFmtId="0" fontId="5" fillId="7" borderId="2" xfId="0" applyFont="1" applyFill="1" applyBorder="1" applyAlignment="1">
      <alignment horizontal="center" vertical="center"/>
    </xf>
    <xf numFmtId="0" fontId="9" fillId="7" borderId="2" xfId="0" applyFont="1" applyFill="1" applyBorder="1"/>
    <xf numFmtId="0" fontId="9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0" fillId="7" borderId="0" xfId="0" applyFill="1"/>
    <xf numFmtId="0" fontId="7" fillId="7" borderId="2" xfId="0" applyFont="1" applyFill="1" applyBorder="1" applyAlignment="1">
      <alignment horizontal="center" vertical="center"/>
    </xf>
    <xf numFmtId="0" fontId="0" fillId="7" borderId="2" xfId="0" applyFill="1" applyBorder="1"/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11" fillId="0" borderId="0" xfId="5" applyFont="1" applyFill="1" applyAlignment="1">
      <alignment vertical="center"/>
    </xf>
    <xf numFmtId="0" fontId="0" fillId="14" borderId="0" xfId="0" applyFill="1"/>
    <xf numFmtId="0" fontId="12" fillId="0" borderId="0" xfId="0" applyFont="1" applyAlignment="1">
      <alignment vertical="center"/>
    </xf>
    <xf numFmtId="0" fontId="0" fillId="10" borderId="0" xfId="0" applyFill="1"/>
    <xf numFmtId="0" fontId="14" fillId="10" borderId="0" xfId="0" applyFont="1" applyFill="1" applyAlignment="1">
      <alignment horizontal="center" vertical="center"/>
    </xf>
    <xf numFmtId="0" fontId="18" fillId="10" borderId="0" xfId="0" applyFont="1" applyFill="1"/>
    <xf numFmtId="0" fontId="21" fillId="8" borderId="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9" fillId="0" borderId="7" xfId="0" applyFont="1" applyBorder="1"/>
    <xf numFmtId="0" fontId="9" fillId="0" borderId="11" xfId="0" applyFont="1" applyBorder="1"/>
    <xf numFmtId="15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left" vertical="center"/>
    </xf>
    <xf numFmtId="15" fontId="22" fillId="0" borderId="2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64" fontId="22" fillId="0" borderId="2" xfId="4" applyNumberFormat="1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center" vertical="center"/>
    </xf>
    <xf numFmtId="164" fontId="19" fillId="0" borderId="2" xfId="4" applyNumberFormat="1" applyFont="1" applyBorder="1" applyAlignment="1">
      <alignment horizontal="left" vertical="center"/>
    </xf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0" fontId="8" fillId="2" borderId="2" xfId="1" applyFont="1" applyBorder="1" applyAlignment="1">
      <alignment vertical="center"/>
    </xf>
    <xf numFmtId="0" fontId="17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5" fontId="5" fillId="0" borderId="2" xfId="0" applyNumberFormat="1" applyFont="1" applyBorder="1" applyAlignment="1">
      <alignment vertical="center"/>
    </xf>
    <xf numFmtId="164" fontId="5" fillId="7" borderId="2" xfId="4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left" vertical="center"/>
    </xf>
    <xf numFmtId="0" fontId="23" fillId="0" borderId="2" xfId="0" applyFont="1" applyBorder="1"/>
    <xf numFmtId="0" fontId="21" fillId="8" borderId="23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4" fillId="4" borderId="2" xfId="2" applyFont="1" applyBorder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32" xfId="0" applyBorder="1"/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33" xfId="0" applyBorder="1"/>
    <xf numFmtId="0" fontId="0" fillId="0" borderId="25" xfId="0" applyBorder="1"/>
    <xf numFmtId="0" fontId="0" fillId="0" borderId="28" xfId="0" applyBorder="1"/>
    <xf numFmtId="0" fontId="0" fillId="0" borderId="29" xfId="0" applyBorder="1"/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0" fillId="0" borderId="34" xfId="0" applyBorder="1"/>
    <xf numFmtId="0" fontId="0" fillId="0" borderId="3" xfId="0" applyBorder="1"/>
    <xf numFmtId="0" fontId="20" fillId="7" borderId="5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7" xfId="0" applyBorder="1"/>
    <xf numFmtId="0" fontId="12" fillId="8" borderId="5" xfId="0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13" fillId="3" borderId="5" xfId="5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14" borderId="0" xfId="0" applyFill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4" fillId="10" borderId="24" xfId="0" applyFont="1" applyFill="1" applyBorder="1" applyAlignment="1">
      <alignment horizontal="center" vertical="center"/>
    </xf>
    <xf numFmtId="0" fontId="0" fillId="0" borderId="36" xfId="0" applyBorder="1"/>
    <xf numFmtId="0" fontId="13" fillId="12" borderId="5" xfId="5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13" fillId="13" borderId="5" xfId="5" applyFont="1" applyFill="1" applyBorder="1" applyAlignment="1">
      <alignment horizontal="center" vertical="center"/>
    </xf>
    <xf numFmtId="0" fontId="26" fillId="10" borderId="30" xfId="0" applyFont="1" applyFill="1" applyBorder="1" applyAlignment="1">
      <alignment horizontal="center" vertical="center"/>
    </xf>
    <xf numFmtId="0" fontId="0" fillId="0" borderId="35" xfId="0" applyBorder="1"/>
    <xf numFmtId="0" fontId="25" fillId="8" borderId="31" xfId="0" applyFont="1" applyFill="1" applyBorder="1" applyAlignment="1">
      <alignment horizontal="center" vertical="center"/>
    </xf>
    <xf numFmtId="0" fontId="0" fillId="0" borderId="37" xfId="0" applyBorder="1"/>
    <xf numFmtId="0" fontId="20" fillId="7" borderId="23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4" fillId="10" borderId="10" xfId="0" applyFont="1" applyFill="1" applyBorder="1" applyAlignment="1">
      <alignment horizontal="center" vertical="center"/>
    </xf>
    <xf numFmtId="0" fontId="13" fillId="11" borderId="5" xfId="5" applyFont="1" applyFill="1" applyBorder="1" applyAlignment="1">
      <alignment horizontal="center" vertical="center"/>
    </xf>
    <xf numFmtId="0" fontId="13" fillId="10" borderId="0" xfId="5" applyFont="1" applyFill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14" fillId="10" borderId="18" xfId="0" applyFont="1" applyFill="1" applyBorder="1" applyAlignment="1">
      <alignment horizontal="center" vertical="center"/>
    </xf>
    <xf numFmtId="0" fontId="13" fillId="5" borderId="17" xfId="5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27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100"/>
  <sheetViews>
    <sheetView zoomScale="70" zoomScaleNormal="70" workbookViewId="0">
      <selection activeCell="C8" sqref="C8"/>
    </sheetView>
  </sheetViews>
  <sheetFormatPr defaultRowHeight="14.4"/>
  <cols>
    <col min="3" max="3" width="41.44140625" customWidth="1"/>
    <col min="4" max="4" width="18.33203125" customWidth="1"/>
    <col min="5" max="5" width="26.33203125" style="32" customWidth="1"/>
    <col min="6" max="6" width="13.88671875" style="33" customWidth="1"/>
    <col min="7" max="7" width="16.5546875" style="31" customWidth="1"/>
    <col min="8" max="8" width="20.5546875" style="32" customWidth="1"/>
    <col min="9" max="9" width="22.88671875" style="32" customWidth="1"/>
    <col min="10" max="10" width="42.33203125" style="32" customWidth="1"/>
    <col min="12" max="13" width="16.6640625" customWidth="1"/>
  </cols>
  <sheetData>
    <row r="2" spans="3:13" ht="27" customHeight="1">
      <c r="C2" s="61" t="s">
        <v>0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66"/>
      <c r="F3" s="67"/>
      <c r="G3" s="68"/>
      <c r="H3" s="66"/>
      <c r="I3" s="66"/>
      <c r="J3" s="69"/>
      <c r="K3" s="1"/>
      <c r="L3" s="73" t="s">
        <v>1</v>
      </c>
      <c r="M3" s="63"/>
    </row>
    <row r="4" spans="3:13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3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5" t="s">
        <v>5</v>
      </c>
      <c r="G6" s="49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 t="s">
        <v>12</v>
      </c>
      <c r="D7" s="38" t="s">
        <v>0</v>
      </c>
      <c r="E7" s="38"/>
      <c r="F7" s="59"/>
      <c r="G7" s="41" t="s">
        <v>13</v>
      </c>
      <c r="H7" s="38"/>
      <c r="I7" s="38"/>
      <c r="J7" s="38"/>
      <c r="K7" s="1"/>
      <c r="L7" s="38"/>
      <c r="M7" s="38"/>
    </row>
    <row r="8" spans="3:13" ht="25.8" customHeight="1">
      <c r="C8" s="36"/>
      <c r="D8" s="38" t="s">
        <v>0</v>
      </c>
      <c r="E8" s="38"/>
      <c r="F8" s="51"/>
      <c r="G8" s="41" t="s">
        <v>13</v>
      </c>
      <c r="H8" s="38"/>
      <c r="I8" s="38"/>
      <c r="J8" s="38"/>
      <c r="K8" s="1"/>
      <c r="L8" s="38"/>
      <c r="M8" s="38"/>
    </row>
    <row r="9" spans="3:13" ht="25.8" customHeight="1">
      <c r="C9" s="40"/>
      <c r="D9" s="38" t="s">
        <v>0</v>
      </c>
      <c r="E9" s="38"/>
      <c r="F9" s="51"/>
      <c r="G9" s="41" t="s">
        <v>13</v>
      </c>
      <c r="H9" s="38"/>
      <c r="I9" s="43"/>
      <c r="J9" s="43"/>
      <c r="K9" s="1"/>
      <c r="L9" s="14"/>
      <c r="M9" s="14"/>
    </row>
    <row r="10" spans="3:13" ht="25.8" customHeight="1">
      <c r="C10" s="40"/>
      <c r="D10" s="38" t="s">
        <v>0</v>
      </c>
      <c r="E10" s="38"/>
      <c r="F10" s="51"/>
      <c r="G10" s="41" t="s">
        <v>13</v>
      </c>
      <c r="H10" s="38"/>
      <c r="I10" s="43"/>
      <c r="J10" s="43"/>
      <c r="K10" s="1"/>
      <c r="L10" s="14"/>
      <c r="M10" s="14"/>
    </row>
    <row r="11" spans="3:13" ht="25.8" customHeight="1">
      <c r="C11" s="36"/>
      <c r="D11" s="38" t="s">
        <v>0</v>
      </c>
      <c r="E11" s="38"/>
      <c r="F11" s="51"/>
      <c r="G11" s="41" t="s">
        <v>13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0</v>
      </c>
      <c r="E12" s="38"/>
      <c r="F12" s="50"/>
      <c r="G12" s="41" t="s">
        <v>13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0</v>
      </c>
      <c r="E13" s="38"/>
      <c r="F13" s="51"/>
      <c r="G13" s="41" t="s">
        <v>13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0</v>
      </c>
      <c r="E14" s="38"/>
      <c r="F14" s="51"/>
      <c r="G14" s="41" t="s">
        <v>13</v>
      </c>
      <c r="H14" s="38"/>
      <c r="I14" s="43"/>
      <c r="J14" s="43"/>
      <c r="K14" s="1"/>
      <c r="L14" s="38"/>
      <c r="M14" s="38"/>
    </row>
    <row r="15" spans="3:13" ht="25.8" customHeight="1">
      <c r="C15" s="40"/>
      <c r="D15" s="38" t="s">
        <v>0</v>
      </c>
      <c r="E15" s="38"/>
      <c r="F15" s="51"/>
      <c r="G15" s="41" t="s">
        <v>13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0</v>
      </c>
      <c r="E16" s="38"/>
      <c r="F16" s="51"/>
      <c r="G16" s="41" t="s">
        <v>13</v>
      </c>
      <c r="H16" s="38"/>
      <c r="I16" s="43"/>
      <c r="J16" s="43"/>
      <c r="K16" s="1"/>
      <c r="L16" s="38"/>
      <c r="M16" s="38"/>
    </row>
    <row r="17" spans="3:13" ht="25.8" customHeight="1">
      <c r="C17" s="52"/>
      <c r="D17" s="38" t="s">
        <v>0</v>
      </c>
      <c r="E17" s="38"/>
      <c r="F17" s="51"/>
      <c r="G17" s="41" t="s">
        <v>13</v>
      </c>
      <c r="H17" s="38"/>
      <c r="I17" s="43"/>
      <c r="J17" s="43"/>
      <c r="K17" s="1"/>
      <c r="L17" s="38"/>
      <c r="M17" s="38"/>
    </row>
    <row r="18" spans="3:13" ht="25.8" customHeight="1">
      <c r="C18" s="52"/>
      <c r="D18" s="38" t="s">
        <v>0</v>
      </c>
      <c r="E18" s="38"/>
      <c r="F18" s="51"/>
      <c r="G18" s="41" t="s">
        <v>13</v>
      </c>
      <c r="H18" s="38"/>
      <c r="I18" s="43"/>
      <c r="J18" s="43"/>
      <c r="K18" s="1"/>
      <c r="L18" s="38"/>
      <c r="M18" s="38"/>
    </row>
    <row r="19" spans="3:13" ht="25.8" customHeight="1">
      <c r="C19" s="52"/>
      <c r="D19" s="38" t="s">
        <v>0</v>
      </c>
      <c r="E19" s="38"/>
      <c r="F19" s="50"/>
      <c r="G19" s="41" t="s">
        <v>13</v>
      </c>
      <c r="H19" s="38"/>
      <c r="I19" s="43"/>
      <c r="J19" s="43"/>
      <c r="K19" s="1"/>
      <c r="L19" s="38"/>
      <c r="M19" s="38"/>
    </row>
    <row r="20" spans="3:13" ht="25.8" customHeight="1">
      <c r="C20" s="52"/>
      <c r="D20" s="38" t="s">
        <v>0</v>
      </c>
      <c r="E20" s="38"/>
      <c r="F20" s="50"/>
      <c r="G20" s="41" t="s">
        <v>13</v>
      </c>
      <c r="H20" s="38"/>
      <c r="I20" s="43"/>
      <c r="J20" s="43"/>
      <c r="K20" s="1"/>
      <c r="L20" s="38"/>
      <c r="M20" s="38"/>
    </row>
    <row r="21" spans="3:13" ht="26.25" customHeight="1">
      <c r="C21" s="36"/>
      <c r="D21" s="38" t="s">
        <v>0</v>
      </c>
      <c r="E21" s="38"/>
      <c r="F21" s="51"/>
      <c r="G21" s="41" t="s">
        <v>13</v>
      </c>
      <c r="H21" s="38"/>
      <c r="I21" s="43"/>
      <c r="J21" s="43"/>
      <c r="K21" s="18"/>
      <c r="L21" s="38"/>
      <c r="M21" s="38"/>
    </row>
    <row r="22" spans="3:13" ht="26.25" customHeight="1">
      <c r="C22" s="36"/>
      <c r="D22" s="38" t="s">
        <v>0</v>
      </c>
      <c r="E22" s="38"/>
      <c r="F22" s="51"/>
      <c r="G22" s="41" t="s">
        <v>13</v>
      </c>
      <c r="H22" s="38"/>
      <c r="I22" s="43"/>
      <c r="J22" s="43"/>
      <c r="K22" s="1"/>
      <c r="L22" s="38"/>
      <c r="M22" s="38"/>
    </row>
    <row r="23" spans="3:13" ht="26.25" customHeight="1">
      <c r="C23" s="36"/>
      <c r="D23" s="38" t="s">
        <v>0</v>
      </c>
      <c r="E23" s="38"/>
      <c r="F23" s="51"/>
      <c r="G23" s="41" t="s">
        <v>13</v>
      </c>
      <c r="H23" s="38"/>
      <c r="I23" s="43"/>
      <c r="J23" s="43"/>
      <c r="K23" s="1"/>
      <c r="L23" s="38"/>
      <c r="M23" s="38"/>
    </row>
    <row r="24" spans="3:13" ht="26.25" customHeight="1">
      <c r="C24" s="36"/>
      <c r="D24" s="38" t="s">
        <v>0</v>
      </c>
      <c r="E24" s="38"/>
      <c r="F24" s="51"/>
      <c r="G24" s="41" t="s">
        <v>13</v>
      </c>
      <c r="H24" s="38"/>
      <c r="I24" s="43"/>
      <c r="J24" s="43"/>
      <c r="K24" s="1"/>
      <c r="L24" s="38"/>
      <c r="M24" s="38"/>
    </row>
    <row r="25" spans="3:13" ht="26.25" customHeight="1">
      <c r="C25" s="36"/>
      <c r="D25" s="38" t="s">
        <v>0</v>
      </c>
      <c r="E25" s="38"/>
      <c r="F25" s="51"/>
      <c r="G25" s="41" t="s">
        <v>13</v>
      </c>
      <c r="H25" s="38"/>
      <c r="I25" s="43"/>
      <c r="J25" s="43"/>
      <c r="K25" s="1"/>
      <c r="L25" s="38"/>
      <c r="M25" s="38"/>
    </row>
    <row r="26" spans="3:13" ht="26.25" customHeight="1">
      <c r="C26" s="36"/>
      <c r="D26" s="38" t="s">
        <v>0</v>
      </c>
      <c r="E26" s="38"/>
      <c r="F26" s="51"/>
      <c r="G26" s="41" t="s">
        <v>13</v>
      </c>
      <c r="H26" s="38"/>
      <c r="I26" s="43"/>
      <c r="J26" s="43"/>
      <c r="K26" s="1"/>
      <c r="L26" s="38"/>
      <c r="M26" s="38"/>
    </row>
    <row r="27" spans="3:13" ht="26.25" customHeight="1">
      <c r="C27" s="36"/>
      <c r="D27" s="38" t="s">
        <v>0</v>
      </c>
      <c r="E27" s="38"/>
      <c r="F27" s="51"/>
      <c r="G27" s="41" t="s">
        <v>13</v>
      </c>
      <c r="H27" s="38"/>
      <c r="I27" s="43"/>
      <c r="J27" s="43"/>
      <c r="K27" s="1"/>
      <c r="L27" s="38"/>
      <c r="M27" s="38"/>
    </row>
    <row r="28" spans="3:13" ht="26.25" customHeight="1">
      <c r="C28" s="36"/>
      <c r="D28" s="38" t="s">
        <v>0</v>
      </c>
      <c r="E28" s="38"/>
      <c r="F28" s="51"/>
      <c r="G28" s="41" t="s">
        <v>13</v>
      </c>
      <c r="H28" s="38"/>
      <c r="I28" s="43"/>
      <c r="J28" s="43"/>
      <c r="K28" s="1"/>
      <c r="L28" s="38"/>
      <c r="M28" s="38"/>
    </row>
    <row r="29" spans="3:13" ht="26.25" customHeight="1">
      <c r="C29" s="36"/>
      <c r="D29" s="38" t="s">
        <v>0</v>
      </c>
      <c r="E29" s="38"/>
      <c r="F29" s="51"/>
      <c r="G29" s="41" t="s">
        <v>13</v>
      </c>
      <c r="H29" s="38"/>
      <c r="I29" s="43"/>
      <c r="J29" s="43"/>
      <c r="K29" s="1"/>
      <c r="L29" s="38"/>
      <c r="M29" s="38"/>
    </row>
    <row r="30" spans="3:13" ht="26.25" customHeight="1">
      <c r="C30" s="36"/>
      <c r="D30" s="38" t="s">
        <v>0</v>
      </c>
      <c r="E30" s="38"/>
      <c r="F30" s="51"/>
      <c r="G30" s="41" t="s">
        <v>13</v>
      </c>
      <c r="H30" s="38"/>
      <c r="I30" s="43"/>
      <c r="J30" s="43"/>
      <c r="K30" s="1"/>
      <c r="L30" s="38"/>
      <c r="M30" s="38"/>
    </row>
    <row r="31" spans="3:13" ht="26.25" customHeight="1">
      <c r="C31" s="36"/>
      <c r="D31" s="38" t="s">
        <v>0</v>
      </c>
      <c r="E31" s="38"/>
      <c r="F31" s="51"/>
      <c r="G31" s="41" t="s">
        <v>13</v>
      </c>
      <c r="H31" s="38"/>
      <c r="I31" s="43"/>
      <c r="J31" s="43"/>
      <c r="K31" s="1"/>
      <c r="L31" s="38"/>
      <c r="M31" s="38"/>
    </row>
    <row r="32" spans="3:13" ht="26.25" customHeight="1">
      <c r="C32" s="36"/>
      <c r="D32" s="38" t="s">
        <v>0</v>
      </c>
      <c r="E32" s="38"/>
      <c r="F32" s="51"/>
      <c r="G32" s="41" t="s">
        <v>13</v>
      </c>
      <c r="H32" s="38"/>
      <c r="I32" s="43"/>
      <c r="J32" s="43"/>
      <c r="K32" s="1"/>
      <c r="L32" s="38"/>
      <c r="M32" s="38"/>
    </row>
    <row r="33" spans="3:13" ht="26.25" customHeight="1">
      <c r="C33" s="36"/>
      <c r="D33" s="38" t="s">
        <v>0</v>
      </c>
      <c r="E33" s="38"/>
      <c r="F33" s="51"/>
      <c r="G33" s="41" t="s">
        <v>13</v>
      </c>
      <c r="H33" s="38"/>
      <c r="I33" s="43"/>
      <c r="J33" s="43"/>
      <c r="K33" s="1"/>
      <c r="L33" s="38"/>
      <c r="M33" s="38"/>
    </row>
    <row r="34" spans="3:13" ht="26.25" customHeight="1">
      <c r="C34" s="36"/>
      <c r="D34" s="38" t="s">
        <v>0</v>
      </c>
      <c r="E34" s="38"/>
      <c r="F34" s="51"/>
      <c r="G34" s="41" t="s">
        <v>13</v>
      </c>
      <c r="H34" s="38"/>
      <c r="I34" s="43"/>
      <c r="J34" s="43"/>
      <c r="K34" s="1"/>
      <c r="L34" s="38"/>
      <c r="M34" s="38"/>
    </row>
    <row r="35" spans="3:13" ht="26.25" customHeight="1">
      <c r="C35" s="36"/>
      <c r="D35" s="38" t="s">
        <v>0</v>
      </c>
      <c r="E35" s="38"/>
      <c r="F35" s="51"/>
      <c r="G35" s="41" t="s">
        <v>13</v>
      </c>
      <c r="H35" s="38"/>
      <c r="I35" s="43"/>
      <c r="J35" s="43"/>
      <c r="K35" s="1"/>
      <c r="L35" s="38"/>
      <c r="M35" s="38"/>
    </row>
    <row r="36" spans="3:13" ht="26.25" customHeight="1">
      <c r="C36" s="36"/>
      <c r="D36" s="38" t="s">
        <v>0</v>
      </c>
      <c r="E36" s="38"/>
      <c r="F36" s="51"/>
      <c r="G36" s="41" t="s">
        <v>13</v>
      </c>
      <c r="H36" s="38"/>
      <c r="I36" s="43"/>
      <c r="J36" s="43"/>
      <c r="K36" s="1"/>
      <c r="L36" s="38"/>
      <c r="M36" s="38"/>
    </row>
    <row r="37" spans="3:13" ht="26.25" customHeight="1">
      <c r="C37" s="36"/>
      <c r="D37" s="38" t="s">
        <v>0</v>
      </c>
      <c r="E37" s="38"/>
      <c r="F37" s="51"/>
      <c r="G37" s="41" t="s">
        <v>13</v>
      </c>
      <c r="H37" s="38"/>
      <c r="I37" s="43"/>
      <c r="J37" s="43"/>
      <c r="K37" s="1"/>
      <c r="L37" s="38"/>
      <c r="M37" s="38"/>
    </row>
    <row r="38" spans="3:13" ht="25.8" customHeight="1">
      <c r="C38" s="36"/>
      <c r="D38" s="38" t="s">
        <v>0</v>
      </c>
      <c r="E38" s="38"/>
      <c r="F38" s="51"/>
      <c r="G38" s="41" t="s">
        <v>13</v>
      </c>
      <c r="H38" s="38"/>
      <c r="I38" s="43"/>
      <c r="J38" s="43"/>
      <c r="K38" s="1"/>
      <c r="L38" s="38"/>
      <c r="M38" s="38"/>
    </row>
    <row r="39" spans="3:13" ht="25.8" customHeight="1">
      <c r="C39" s="38"/>
      <c r="D39" s="38" t="s">
        <v>0</v>
      </c>
      <c r="E39" s="38"/>
      <c r="F39" s="38"/>
      <c r="G39" s="41" t="s">
        <v>13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0</v>
      </c>
      <c r="E40" s="38"/>
      <c r="F40" s="38"/>
      <c r="G40" s="41" t="s">
        <v>13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0</v>
      </c>
      <c r="E41" s="38"/>
      <c r="F41" s="38"/>
      <c r="G41" s="41" t="s">
        <v>13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0</v>
      </c>
      <c r="E42" s="38"/>
      <c r="F42" s="38"/>
      <c r="G42" s="41" t="s">
        <v>13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0</v>
      </c>
      <c r="E43" s="38"/>
      <c r="F43" s="38"/>
      <c r="G43" s="41" t="s">
        <v>13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0</v>
      </c>
      <c r="E44" s="38"/>
      <c r="F44" s="38"/>
      <c r="G44" s="41" t="s">
        <v>13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0</v>
      </c>
      <c r="E45" s="38"/>
      <c r="F45" s="38"/>
      <c r="G45" s="41" t="s">
        <v>13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0</v>
      </c>
      <c r="E46" s="38"/>
      <c r="F46" s="38"/>
      <c r="G46" s="41" t="s">
        <v>13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0</v>
      </c>
      <c r="E47" s="38"/>
      <c r="F47" s="38"/>
      <c r="G47" s="41" t="s">
        <v>13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0</v>
      </c>
      <c r="E48" s="38"/>
      <c r="F48" s="38"/>
      <c r="G48" s="41" t="s">
        <v>13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0</v>
      </c>
      <c r="E49" s="38"/>
      <c r="F49" s="38"/>
      <c r="G49" s="41" t="s">
        <v>13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0</v>
      </c>
      <c r="E50" s="38"/>
      <c r="F50" s="38"/>
      <c r="G50" s="41" t="s">
        <v>13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0</v>
      </c>
      <c r="E51" s="38"/>
      <c r="F51" s="38"/>
      <c r="G51" s="41" t="s">
        <v>13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0</v>
      </c>
      <c r="E52" s="38"/>
      <c r="F52" s="38"/>
      <c r="G52" s="41" t="s">
        <v>13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0</v>
      </c>
      <c r="E53" s="38"/>
      <c r="F53" s="38"/>
      <c r="G53" s="41" t="s">
        <v>13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0</v>
      </c>
      <c r="E54" s="38"/>
      <c r="F54" s="38"/>
      <c r="G54" s="41" t="s">
        <v>13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0</v>
      </c>
      <c r="E55" s="38"/>
      <c r="F55" s="38"/>
      <c r="G55" s="41" t="s">
        <v>13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0</v>
      </c>
      <c r="E56" s="38"/>
      <c r="F56" s="38"/>
      <c r="G56" s="41" t="s">
        <v>13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0</v>
      </c>
      <c r="E57" s="38"/>
      <c r="F57" s="38"/>
      <c r="G57" s="41" t="s">
        <v>13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0</v>
      </c>
      <c r="E58" s="38"/>
      <c r="F58" s="38"/>
      <c r="G58" s="41" t="s">
        <v>13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0</v>
      </c>
      <c r="E59" s="38"/>
      <c r="F59" s="38"/>
      <c r="G59" s="41" t="s">
        <v>13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0</v>
      </c>
      <c r="E60" s="38"/>
      <c r="F60" s="38"/>
      <c r="G60" s="41" t="s">
        <v>13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0</v>
      </c>
      <c r="E61" s="38"/>
      <c r="F61" s="38"/>
      <c r="G61" s="41" t="s">
        <v>13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0</v>
      </c>
      <c r="E62" s="38"/>
      <c r="F62" s="38"/>
      <c r="G62" s="41" t="s">
        <v>13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0</v>
      </c>
      <c r="E63" s="38"/>
      <c r="F63" s="38"/>
      <c r="G63" s="41" t="s">
        <v>13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0</v>
      </c>
      <c r="E64" s="38"/>
      <c r="F64" s="38"/>
      <c r="G64" s="41" t="s">
        <v>13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0</v>
      </c>
      <c r="E65" s="38"/>
      <c r="F65" s="38"/>
      <c r="G65" s="41" t="s">
        <v>13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0</v>
      </c>
      <c r="E66" s="38"/>
      <c r="F66" s="38"/>
      <c r="G66" s="41" t="s">
        <v>13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0</v>
      </c>
      <c r="E67" s="38"/>
      <c r="F67" s="38"/>
      <c r="G67" s="41" t="s">
        <v>13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0</v>
      </c>
      <c r="E68" s="38"/>
      <c r="F68" s="38"/>
      <c r="G68" s="41" t="s">
        <v>13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0</v>
      </c>
      <c r="E69" s="38"/>
      <c r="F69" s="38"/>
      <c r="G69" s="41" t="s">
        <v>13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0</v>
      </c>
      <c r="E70" s="38"/>
      <c r="F70" s="38"/>
      <c r="G70" s="41" t="s">
        <v>13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0</v>
      </c>
      <c r="E71" s="38"/>
      <c r="F71" s="38"/>
      <c r="G71" s="41" t="s">
        <v>13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0</v>
      </c>
      <c r="E72" s="38"/>
      <c r="F72" s="38"/>
      <c r="G72" s="41" t="s">
        <v>13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0</v>
      </c>
      <c r="E73" s="38"/>
      <c r="F73" s="38"/>
      <c r="G73" s="41" t="s">
        <v>13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0</v>
      </c>
      <c r="E74" s="38"/>
      <c r="F74" s="38"/>
      <c r="G74" s="41" t="s">
        <v>13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0</v>
      </c>
      <c r="E75" s="38"/>
      <c r="F75" s="38"/>
      <c r="G75" s="41" t="s">
        <v>13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0</v>
      </c>
      <c r="E76" s="38"/>
      <c r="F76" s="38"/>
      <c r="G76" s="41" t="s">
        <v>13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0</v>
      </c>
      <c r="E77" s="38"/>
      <c r="F77" s="38"/>
      <c r="G77" s="41" t="s">
        <v>13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0</v>
      </c>
      <c r="E78" s="38"/>
      <c r="F78" s="38"/>
      <c r="G78" s="41" t="s">
        <v>13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0</v>
      </c>
      <c r="E79" s="38"/>
      <c r="F79" s="38"/>
      <c r="G79" s="41" t="s">
        <v>13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0</v>
      </c>
      <c r="E80" s="38"/>
      <c r="F80" s="38"/>
      <c r="G80" s="41" t="s">
        <v>13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0</v>
      </c>
      <c r="E81" s="38"/>
      <c r="F81" s="38"/>
      <c r="G81" s="41" t="s">
        <v>13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0</v>
      </c>
      <c r="E82" s="38"/>
      <c r="F82" s="38"/>
      <c r="G82" s="41" t="s">
        <v>13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0</v>
      </c>
      <c r="E83" s="38"/>
      <c r="F83" s="38"/>
      <c r="G83" s="41" t="s">
        <v>13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0</v>
      </c>
      <c r="E84" s="38"/>
      <c r="F84" s="38"/>
      <c r="G84" s="41" t="s">
        <v>13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0</v>
      </c>
      <c r="E85" s="38"/>
      <c r="F85" s="38"/>
      <c r="G85" s="41" t="s">
        <v>13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0</v>
      </c>
      <c r="E86" s="38"/>
      <c r="F86" s="38"/>
      <c r="G86" s="41" t="s">
        <v>13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0</v>
      </c>
      <c r="E87" s="38"/>
      <c r="F87" s="38"/>
      <c r="G87" s="41" t="s">
        <v>13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0</v>
      </c>
      <c r="E88" s="38"/>
      <c r="F88" s="38"/>
      <c r="G88" s="41" t="s">
        <v>13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0</v>
      </c>
      <c r="E89" s="38"/>
      <c r="F89" s="38"/>
      <c r="G89" s="41" t="s">
        <v>13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0</v>
      </c>
      <c r="E90" s="38"/>
      <c r="F90" s="38"/>
      <c r="G90" s="41" t="s">
        <v>13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0</v>
      </c>
      <c r="E91" s="38"/>
      <c r="F91" s="38"/>
      <c r="G91" s="41" t="s">
        <v>13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0</v>
      </c>
      <c r="E92" s="38"/>
      <c r="F92" s="38"/>
      <c r="G92" s="41" t="s">
        <v>13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0</v>
      </c>
      <c r="E93" s="38"/>
      <c r="F93" s="38"/>
      <c r="G93" s="41" t="s">
        <v>13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0</v>
      </c>
      <c r="E94" s="38"/>
      <c r="F94" s="38"/>
      <c r="G94" s="41" t="s">
        <v>13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0</v>
      </c>
      <c r="E95" s="38"/>
      <c r="F95" s="38"/>
      <c r="G95" s="41" t="s">
        <v>13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0</v>
      </c>
      <c r="E96" s="38"/>
      <c r="F96" s="38"/>
      <c r="G96" s="41" t="s">
        <v>13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0</v>
      </c>
      <c r="E97" s="38"/>
      <c r="F97" s="38"/>
      <c r="G97" s="41" t="s">
        <v>13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0</v>
      </c>
      <c r="E98" s="38"/>
      <c r="F98" s="38"/>
      <c r="G98" s="41" t="s">
        <v>13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0</v>
      </c>
      <c r="E99" s="38"/>
      <c r="F99" s="38"/>
      <c r="G99" s="41" t="s">
        <v>13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0</v>
      </c>
      <c r="E100" s="38"/>
      <c r="F100" s="38"/>
      <c r="G100" s="41" t="s">
        <v>13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9 F11:F1048576">
    <cfRule type="containsText" dxfId="26" priority="4" operator="containsText" text="Cartoon">
      <formula>NOT(ISERROR(SEARCH("Cartoon",F1)))</formula>
    </cfRule>
    <cfRule type="containsText" dxfId="25" priority="5" operator="containsText" text="Wood">
      <formula>NOT(ISERROR(SEARCH("Wood",F1)))</formula>
    </cfRule>
  </conditionalFormatting>
  <conditionalFormatting sqref="F10">
    <cfRule type="containsText" dxfId="24" priority="2" operator="containsText" text="Cartoon">
      <formula>NOT(ISERROR(SEARCH("Cartoon",F10)))</formula>
    </cfRule>
    <cfRule type="containsText" dxfId="23" priority="3" operator="containsText" text="Wood">
      <formula>NOT(ISERROR(SEARCH("Wood",F10)))</formula>
    </cfRule>
  </conditionalFormatting>
  <conditionalFormatting sqref="F1:F1048576">
    <cfRule type="containsText" dxfId="22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E2:E5 E7:E1048576 H7:J8" xr:uid="{00000000-0002-0000-0000-000000000000}">
      <formula1>"Cartoon,Wood,No Data"</formula1>
    </dataValidation>
    <dataValidation type="list" allowBlank="1" showInputMessage="1" showErrorMessage="1" sqref="F2:F5 F7:F1048576" xr:uid="{00000000-0002-0000-0000-000001000000}">
      <formula1>"Wood,Cartoon,No Data"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2:M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" customWidth="1"/>
    <col min="5" max="5" width="28" customWidth="1"/>
    <col min="6" max="6" width="13.109375" customWidth="1"/>
    <col min="7" max="7" width="9.554687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61" t="s">
        <v>15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65"/>
      <c r="F3" s="65"/>
      <c r="G3" s="65"/>
      <c r="H3" s="65"/>
      <c r="I3" s="65"/>
      <c r="J3" s="69"/>
      <c r="K3" s="1"/>
      <c r="L3" s="73" t="s">
        <v>1</v>
      </c>
      <c r="M3" s="63"/>
    </row>
    <row r="4" spans="3:13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3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>
        <v>46023</v>
      </c>
      <c r="D7" s="38" t="s">
        <v>15</v>
      </c>
      <c r="E7" s="38"/>
      <c r="F7" s="60"/>
      <c r="G7" s="41" t="s">
        <v>13</v>
      </c>
      <c r="H7" s="38"/>
      <c r="I7" s="43"/>
      <c r="J7" s="43"/>
      <c r="K7" s="1"/>
      <c r="L7" s="38"/>
      <c r="M7" s="38"/>
    </row>
    <row r="8" spans="3:13" ht="25.8" customHeight="1">
      <c r="C8" s="36"/>
      <c r="D8" s="38" t="s">
        <v>15</v>
      </c>
      <c r="E8" s="38"/>
      <c r="F8" s="38"/>
      <c r="G8" s="41" t="s">
        <v>13</v>
      </c>
      <c r="H8" s="38"/>
      <c r="I8" s="43"/>
      <c r="J8" s="43"/>
      <c r="K8" s="1"/>
      <c r="L8" s="38"/>
      <c r="M8" s="38"/>
    </row>
    <row r="9" spans="3:13" ht="25.8" customHeight="1">
      <c r="C9" s="36"/>
      <c r="D9" s="38" t="s">
        <v>15</v>
      </c>
      <c r="E9" s="38"/>
      <c r="F9" s="38"/>
      <c r="G9" s="41" t="s">
        <v>13</v>
      </c>
      <c r="H9" s="38"/>
      <c r="I9" s="43"/>
      <c r="J9" s="43"/>
      <c r="K9" s="1"/>
      <c r="L9" s="38"/>
      <c r="M9" s="38"/>
    </row>
    <row r="10" spans="3:13" ht="25.8" customHeight="1">
      <c r="C10" s="36"/>
      <c r="D10" s="38" t="s">
        <v>15</v>
      </c>
      <c r="E10" s="38"/>
      <c r="F10" s="38"/>
      <c r="G10" s="41" t="s">
        <v>13</v>
      </c>
      <c r="H10" s="38"/>
      <c r="I10" s="43"/>
      <c r="J10" s="43"/>
      <c r="K10" s="1"/>
      <c r="L10" s="38"/>
      <c r="M10" s="38"/>
    </row>
    <row r="11" spans="3:13" ht="25.8" customHeight="1">
      <c r="C11" s="36"/>
      <c r="D11" s="38" t="s">
        <v>15</v>
      </c>
      <c r="E11" s="38"/>
      <c r="F11" s="38"/>
      <c r="G11" s="41" t="s">
        <v>13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15</v>
      </c>
      <c r="E12" s="38"/>
      <c r="F12" s="38"/>
      <c r="G12" s="41" t="s">
        <v>13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15</v>
      </c>
      <c r="E13" s="38"/>
      <c r="F13" s="38"/>
      <c r="G13" s="41" t="s">
        <v>13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15</v>
      </c>
      <c r="E14" s="38"/>
      <c r="F14" s="38"/>
      <c r="G14" s="41" t="s">
        <v>13</v>
      </c>
      <c r="H14" s="14"/>
      <c r="I14" s="53"/>
      <c r="J14" s="43"/>
      <c r="K14" s="1"/>
      <c r="L14" s="38"/>
      <c r="M14" s="38"/>
    </row>
    <row r="15" spans="3:13" ht="25.8" customHeight="1">
      <c r="C15" s="36"/>
      <c r="D15" s="38" t="s">
        <v>15</v>
      </c>
      <c r="E15" s="38"/>
      <c r="F15" s="38"/>
      <c r="G15" s="41" t="s">
        <v>13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15</v>
      </c>
      <c r="E16" s="38"/>
      <c r="F16" s="38"/>
      <c r="G16" s="41" t="s">
        <v>13</v>
      </c>
      <c r="H16" s="38"/>
      <c r="I16" s="43"/>
      <c r="J16" s="43"/>
      <c r="K16" s="1"/>
      <c r="L16" s="38"/>
      <c r="M16" s="38"/>
    </row>
    <row r="17" spans="3:13" ht="25.8" customHeight="1">
      <c r="C17" s="36"/>
      <c r="D17" s="38" t="s">
        <v>15</v>
      </c>
      <c r="E17" s="38"/>
      <c r="F17" s="38"/>
      <c r="G17" s="41" t="s">
        <v>13</v>
      </c>
      <c r="H17" s="38"/>
      <c r="I17" s="43"/>
      <c r="J17" s="43"/>
      <c r="K17" s="1"/>
      <c r="L17" s="38"/>
      <c r="M17" s="38"/>
    </row>
    <row r="18" spans="3:13" ht="25.8" customHeight="1">
      <c r="C18" s="36"/>
      <c r="D18" s="38" t="s">
        <v>15</v>
      </c>
      <c r="E18" s="38"/>
      <c r="F18" s="38"/>
      <c r="G18" s="41" t="s">
        <v>13</v>
      </c>
      <c r="H18" s="38"/>
      <c r="I18" s="43"/>
      <c r="J18" s="43"/>
      <c r="K18" s="1"/>
      <c r="L18" s="38"/>
      <c r="M18" s="38"/>
    </row>
    <row r="19" spans="3:13" ht="25.8" customHeight="1">
      <c r="C19" s="40"/>
      <c r="D19" s="38" t="s">
        <v>15</v>
      </c>
      <c r="E19" s="37"/>
      <c r="F19" s="38"/>
      <c r="G19" s="41" t="s">
        <v>13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38" t="s">
        <v>15</v>
      </c>
      <c r="E20" s="37"/>
      <c r="F20" s="38"/>
      <c r="G20" s="41" t="s">
        <v>13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38" t="s">
        <v>15</v>
      </c>
      <c r="E21" s="37"/>
      <c r="F21" s="38"/>
      <c r="G21" s="41" t="s">
        <v>13</v>
      </c>
      <c r="H21" s="38"/>
      <c r="I21" s="39"/>
      <c r="J21" s="39"/>
      <c r="K21" s="18"/>
      <c r="L21" s="38"/>
      <c r="M21" s="38"/>
    </row>
    <row r="22" spans="3:13" ht="26.25" customHeight="1">
      <c r="C22" s="36"/>
      <c r="D22" s="38" t="s">
        <v>15</v>
      </c>
      <c r="E22" s="37"/>
      <c r="F22" s="38"/>
      <c r="G22" s="41" t="s">
        <v>13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38" t="s">
        <v>15</v>
      </c>
      <c r="E23" s="37"/>
      <c r="F23" s="38"/>
      <c r="G23" s="41" t="s">
        <v>13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38" t="s">
        <v>15</v>
      </c>
      <c r="E24" s="37"/>
      <c r="F24" s="38"/>
      <c r="G24" s="41" t="s">
        <v>13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38" t="s">
        <v>15</v>
      </c>
      <c r="E25" s="37"/>
      <c r="F25" s="38"/>
      <c r="G25" s="41" t="s">
        <v>13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38" t="s">
        <v>15</v>
      </c>
      <c r="E26" s="37"/>
      <c r="F26" s="38"/>
      <c r="G26" s="41" t="s">
        <v>13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38" t="s">
        <v>15</v>
      </c>
      <c r="E27" s="37"/>
      <c r="F27" s="38"/>
      <c r="G27" s="41" t="s">
        <v>13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38" t="s">
        <v>15</v>
      </c>
      <c r="E28" s="37"/>
      <c r="F28" s="38"/>
      <c r="G28" s="41" t="s">
        <v>13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38" t="s">
        <v>15</v>
      </c>
      <c r="E29" s="37"/>
      <c r="F29" s="38"/>
      <c r="G29" s="41" t="s">
        <v>13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38" t="s">
        <v>15</v>
      </c>
      <c r="E30" s="37"/>
      <c r="F30" s="38"/>
      <c r="G30" s="41" t="s">
        <v>13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38" t="s">
        <v>15</v>
      </c>
      <c r="E31" s="37"/>
      <c r="F31" s="38"/>
      <c r="G31" s="41" t="s">
        <v>13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38" t="s">
        <v>15</v>
      </c>
      <c r="E32" s="37"/>
      <c r="F32" s="38"/>
      <c r="G32" s="41" t="s">
        <v>13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38" t="s">
        <v>15</v>
      </c>
      <c r="E33" s="37"/>
      <c r="F33" s="38"/>
      <c r="G33" s="41" t="s">
        <v>13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38" t="s">
        <v>15</v>
      </c>
      <c r="E34" s="37"/>
      <c r="F34" s="38"/>
      <c r="G34" s="41" t="s">
        <v>13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38" t="s">
        <v>15</v>
      </c>
      <c r="E35" s="37"/>
      <c r="F35" s="38"/>
      <c r="G35" s="41" t="s">
        <v>13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38" t="s">
        <v>15</v>
      </c>
      <c r="E36" s="37"/>
      <c r="F36" s="38"/>
      <c r="G36" s="41" t="s">
        <v>13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38" t="s">
        <v>15</v>
      </c>
      <c r="E37" s="37"/>
      <c r="F37" s="38"/>
      <c r="G37" s="41" t="s">
        <v>13</v>
      </c>
      <c r="H37" s="38"/>
      <c r="I37" s="39"/>
      <c r="J37" s="39"/>
      <c r="K37" s="1"/>
      <c r="L37" s="38"/>
      <c r="M37" s="38"/>
    </row>
    <row r="38" spans="3:13" ht="25.8" customHeight="1">
      <c r="C38" s="36"/>
      <c r="D38" s="38" t="s">
        <v>15</v>
      </c>
      <c r="E38" s="37"/>
      <c r="F38" s="38"/>
      <c r="G38" s="41" t="s">
        <v>13</v>
      </c>
      <c r="H38" s="38"/>
      <c r="I38" s="39"/>
      <c r="J38" s="39"/>
      <c r="K38" s="1"/>
      <c r="L38" s="38"/>
      <c r="M38" s="38"/>
    </row>
    <row r="39" spans="3:13" ht="25.8" customHeight="1">
      <c r="C39" s="38"/>
      <c r="D39" s="38" t="s">
        <v>15</v>
      </c>
      <c r="E39" s="38"/>
      <c r="F39" s="38"/>
      <c r="G39" s="41" t="s">
        <v>13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15</v>
      </c>
      <c r="E40" s="38"/>
      <c r="F40" s="38"/>
      <c r="G40" s="41" t="s">
        <v>13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15</v>
      </c>
      <c r="E41" s="38"/>
      <c r="F41" s="38"/>
      <c r="G41" s="41" t="s">
        <v>13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15</v>
      </c>
      <c r="E42" s="38"/>
      <c r="F42" s="38"/>
      <c r="G42" s="41" t="s">
        <v>13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15</v>
      </c>
      <c r="E43" s="38"/>
      <c r="F43" s="38"/>
      <c r="G43" s="41" t="s">
        <v>13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15</v>
      </c>
      <c r="E44" s="38"/>
      <c r="F44" s="38"/>
      <c r="G44" s="41" t="s">
        <v>13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15</v>
      </c>
      <c r="E45" s="38"/>
      <c r="F45" s="38"/>
      <c r="G45" s="41" t="s">
        <v>13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15</v>
      </c>
      <c r="E46" s="38"/>
      <c r="F46" s="38"/>
      <c r="G46" s="41" t="s">
        <v>13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15</v>
      </c>
      <c r="E47" s="38"/>
      <c r="F47" s="38"/>
      <c r="G47" s="41" t="s">
        <v>13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15</v>
      </c>
      <c r="E48" s="38"/>
      <c r="F48" s="38"/>
      <c r="G48" s="41" t="s">
        <v>13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15</v>
      </c>
      <c r="E49" s="38"/>
      <c r="F49" s="38"/>
      <c r="G49" s="41" t="s">
        <v>13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15</v>
      </c>
      <c r="E50" s="38"/>
      <c r="F50" s="38"/>
      <c r="G50" s="41" t="s">
        <v>13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15</v>
      </c>
      <c r="E51" s="38"/>
      <c r="F51" s="38"/>
      <c r="G51" s="41" t="s">
        <v>13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15</v>
      </c>
      <c r="E52" s="38"/>
      <c r="F52" s="38"/>
      <c r="G52" s="41" t="s">
        <v>13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15</v>
      </c>
      <c r="E53" s="38"/>
      <c r="F53" s="38"/>
      <c r="G53" s="41" t="s">
        <v>13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15</v>
      </c>
      <c r="E54" s="38"/>
      <c r="F54" s="38"/>
      <c r="G54" s="41" t="s">
        <v>13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15</v>
      </c>
      <c r="E55" s="38"/>
      <c r="F55" s="38"/>
      <c r="G55" s="41" t="s">
        <v>13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15</v>
      </c>
      <c r="E56" s="38"/>
      <c r="F56" s="38"/>
      <c r="G56" s="41" t="s">
        <v>13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15</v>
      </c>
      <c r="E57" s="38"/>
      <c r="F57" s="38"/>
      <c r="G57" s="41" t="s">
        <v>13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15</v>
      </c>
      <c r="E58" s="38"/>
      <c r="F58" s="38"/>
      <c r="G58" s="41" t="s">
        <v>13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15</v>
      </c>
      <c r="E59" s="38"/>
      <c r="F59" s="38"/>
      <c r="G59" s="41" t="s">
        <v>13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15</v>
      </c>
      <c r="E60" s="38"/>
      <c r="F60" s="38"/>
      <c r="G60" s="41" t="s">
        <v>13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15</v>
      </c>
      <c r="E61" s="38"/>
      <c r="F61" s="38"/>
      <c r="G61" s="41" t="s">
        <v>13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15</v>
      </c>
      <c r="E62" s="38"/>
      <c r="F62" s="38"/>
      <c r="G62" s="41" t="s">
        <v>13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15</v>
      </c>
      <c r="E63" s="38"/>
      <c r="F63" s="38"/>
      <c r="G63" s="41" t="s">
        <v>13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15</v>
      </c>
      <c r="E64" s="38"/>
      <c r="F64" s="38"/>
      <c r="G64" s="41" t="s">
        <v>13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15</v>
      </c>
      <c r="E65" s="38"/>
      <c r="F65" s="38"/>
      <c r="G65" s="41" t="s">
        <v>13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15</v>
      </c>
      <c r="E66" s="38"/>
      <c r="F66" s="38"/>
      <c r="G66" s="41" t="s">
        <v>13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15</v>
      </c>
      <c r="E67" s="38"/>
      <c r="F67" s="38"/>
      <c r="G67" s="41" t="s">
        <v>13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15</v>
      </c>
      <c r="E68" s="38"/>
      <c r="F68" s="38"/>
      <c r="G68" s="41" t="s">
        <v>13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15</v>
      </c>
      <c r="E69" s="38"/>
      <c r="F69" s="38"/>
      <c r="G69" s="41" t="s">
        <v>13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15</v>
      </c>
      <c r="E70" s="38"/>
      <c r="F70" s="38"/>
      <c r="G70" s="41" t="s">
        <v>13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15</v>
      </c>
      <c r="E71" s="38"/>
      <c r="F71" s="38"/>
      <c r="G71" s="41" t="s">
        <v>13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15</v>
      </c>
      <c r="E72" s="38"/>
      <c r="F72" s="38"/>
      <c r="G72" s="41" t="s">
        <v>13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15</v>
      </c>
      <c r="E73" s="38"/>
      <c r="F73" s="38"/>
      <c r="G73" s="41" t="s">
        <v>13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15</v>
      </c>
      <c r="E74" s="38"/>
      <c r="F74" s="38"/>
      <c r="G74" s="41" t="s">
        <v>13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15</v>
      </c>
      <c r="E75" s="38"/>
      <c r="F75" s="38"/>
      <c r="G75" s="41" t="s">
        <v>13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15</v>
      </c>
      <c r="E76" s="38"/>
      <c r="F76" s="38"/>
      <c r="G76" s="41" t="s">
        <v>13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15</v>
      </c>
      <c r="E77" s="38"/>
      <c r="F77" s="38"/>
      <c r="G77" s="41" t="s">
        <v>13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15</v>
      </c>
      <c r="E78" s="38"/>
      <c r="F78" s="38"/>
      <c r="G78" s="41" t="s">
        <v>13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15</v>
      </c>
      <c r="E79" s="38"/>
      <c r="F79" s="38"/>
      <c r="G79" s="41" t="s">
        <v>13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15</v>
      </c>
      <c r="E80" s="38"/>
      <c r="F80" s="38"/>
      <c r="G80" s="41" t="s">
        <v>13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15</v>
      </c>
      <c r="E81" s="38"/>
      <c r="F81" s="38"/>
      <c r="G81" s="41" t="s">
        <v>13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15</v>
      </c>
      <c r="E82" s="38"/>
      <c r="F82" s="38"/>
      <c r="G82" s="41" t="s">
        <v>13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15</v>
      </c>
      <c r="E83" s="38"/>
      <c r="F83" s="38"/>
      <c r="G83" s="41" t="s">
        <v>13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15</v>
      </c>
      <c r="E84" s="38"/>
      <c r="F84" s="38"/>
      <c r="G84" s="41" t="s">
        <v>13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15</v>
      </c>
      <c r="E85" s="38"/>
      <c r="F85" s="38"/>
      <c r="G85" s="41" t="s">
        <v>13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15</v>
      </c>
      <c r="E86" s="38"/>
      <c r="F86" s="38"/>
      <c r="G86" s="41" t="s">
        <v>13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15</v>
      </c>
      <c r="E87" s="38"/>
      <c r="F87" s="38"/>
      <c r="G87" s="41" t="s">
        <v>13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15</v>
      </c>
      <c r="E88" s="38"/>
      <c r="F88" s="38"/>
      <c r="G88" s="41" t="s">
        <v>13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15</v>
      </c>
      <c r="E89" s="38"/>
      <c r="F89" s="38"/>
      <c r="G89" s="41" t="s">
        <v>13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15</v>
      </c>
      <c r="E90" s="38"/>
      <c r="F90" s="38"/>
      <c r="G90" s="41" t="s">
        <v>13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15</v>
      </c>
      <c r="E91" s="38"/>
      <c r="F91" s="38"/>
      <c r="G91" s="41" t="s">
        <v>13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15</v>
      </c>
      <c r="E92" s="38"/>
      <c r="F92" s="38"/>
      <c r="G92" s="41" t="s">
        <v>13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15</v>
      </c>
      <c r="E93" s="38"/>
      <c r="F93" s="38"/>
      <c r="G93" s="41" t="s">
        <v>13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15</v>
      </c>
      <c r="E94" s="38"/>
      <c r="F94" s="38"/>
      <c r="G94" s="41" t="s">
        <v>13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15</v>
      </c>
      <c r="E95" s="38"/>
      <c r="F95" s="38"/>
      <c r="G95" s="41" t="s">
        <v>13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15</v>
      </c>
      <c r="E96" s="38"/>
      <c r="F96" s="38"/>
      <c r="G96" s="41" t="s">
        <v>13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15</v>
      </c>
      <c r="E97" s="38"/>
      <c r="F97" s="38"/>
      <c r="G97" s="41" t="s">
        <v>13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15</v>
      </c>
      <c r="E98" s="38"/>
      <c r="F98" s="38"/>
      <c r="G98" s="41" t="s">
        <v>13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15</v>
      </c>
      <c r="E99" s="38"/>
      <c r="F99" s="38"/>
      <c r="G99" s="41" t="s">
        <v>13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15</v>
      </c>
      <c r="E100" s="38"/>
      <c r="F100" s="38"/>
      <c r="G100" s="41" t="s">
        <v>13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1048576">
    <cfRule type="containsText" dxfId="21" priority="2" operator="containsText" text="white">
      <formula>NOT(ISERROR(SEARCH("white",F1)))</formula>
    </cfRule>
    <cfRule type="containsText" dxfId="20" priority="3" operator="containsText" text="YELLOW">
      <formula>NOT(ISERROR(SEARCH("YELLOW",F1)))</formula>
    </cfRule>
    <cfRule type="containsText" dxfId="19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"1028,1031,3024,3023,3014,2009,2013,1029,1032,1016,3025,No Data"</formula1>
    </dataValidation>
    <dataValidation type="list" allowBlank="1" showInputMessage="1" showErrorMessage="1" sqref="E2:E5 E7:E1048576" xr:uid="{00000000-0002-0000-0100-000001000000}">
      <formula1>"BS-1028,BG-1031,LP-3024(5%),LPP-3023,LRP-3014,PSB-2009,PSG-2013,BS-1029(5%),BG-1032(5%),BM-1016(0.1%),LM-3025(00.1%),No Data"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C1:S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16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9"/>
      <c r="K3" s="1"/>
      <c r="L3" s="73" t="s">
        <v>1</v>
      </c>
      <c r="M3" s="63"/>
    </row>
    <row r="4" spans="3:19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9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16</v>
      </c>
      <c r="E7" s="54" t="s">
        <v>16</v>
      </c>
      <c r="F7" s="59"/>
      <c r="G7" s="41" t="s">
        <v>13</v>
      </c>
      <c r="H7" s="41"/>
      <c r="I7" s="42"/>
      <c r="J7" s="42"/>
      <c r="K7" s="1"/>
      <c r="L7" s="38"/>
      <c r="M7" s="38"/>
    </row>
    <row r="8" spans="3:19" ht="28.8" customHeight="1">
      <c r="C8" s="40"/>
      <c r="D8" s="54" t="s">
        <v>16</v>
      </c>
      <c r="E8" s="54" t="s">
        <v>16</v>
      </c>
      <c r="F8" s="41"/>
      <c r="G8" s="41" t="s">
        <v>13</v>
      </c>
      <c r="H8" s="41"/>
      <c r="I8" s="42"/>
      <c r="J8" s="42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16</v>
      </c>
      <c r="E9" s="54" t="s">
        <v>16</v>
      </c>
      <c r="F9" s="41"/>
      <c r="G9" s="41" t="s">
        <v>13</v>
      </c>
      <c r="H9" s="41"/>
      <c r="I9" s="42"/>
      <c r="J9" s="42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16</v>
      </c>
      <c r="E10" s="54" t="s">
        <v>16</v>
      </c>
      <c r="F10" s="38"/>
      <c r="G10" s="41" t="s">
        <v>13</v>
      </c>
      <c r="H10" s="38"/>
      <c r="I10" s="43"/>
      <c r="J10" s="43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16</v>
      </c>
      <c r="E11" s="54" t="s">
        <v>16</v>
      </c>
      <c r="F11" s="38"/>
      <c r="G11" s="41" t="s">
        <v>13</v>
      </c>
      <c r="H11" s="38"/>
      <c r="I11" s="43"/>
      <c r="J11" s="43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16</v>
      </c>
      <c r="E12" s="54" t="s">
        <v>16</v>
      </c>
      <c r="F12" s="38"/>
      <c r="G12" s="41" t="s">
        <v>13</v>
      </c>
      <c r="H12" s="38"/>
      <c r="I12" s="43"/>
      <c r="J12" s="43"/>
      <c r="K12" s="1"/>
      <c r="L12" s="38"/>
      <c r="M12" s="38"/>
    </row>
    <row r="13" spans="3:19" ht="25.8" customHeight="1">
      <c r="C13" s="36"/>
      <c r="D13" s="54" t="s">
        <v>16</v>
      </c>
      <c r="E13" s="54" t="s">
        <v>16</v>
      </c>
      <c r="F13" s="38"/>
      <c r="G13" s="41" t="s">
        <v>13</v>
      </c>
      <c r="H13" s="38"/>
      <c r="I13" s="43"/>
      <c r="J13" s="43"/>
      <c r="K13" s="1"/>
      <c r="L13" s="38"/>
      <c r="M13" s="38"/>
    </row>
    <row r="14" spans="3:19" s="19" customFormat="1" ht="25.8" customHeight="1">
      <c r="C14" s="36"/>
      <c r="D14" s="54" t="s">
        <v>16</v>
      </c>
      <c r="E14" s="54" t="s">
        <v>16</v>
      </c>
      <c r="F14" s="38"/>
      <c r="G14" s="41" t="s">
        <v>13</v>
      </c>
      <c r="H14" s="38"/>
      <c r="I14" s="43"/>
      <c r="J14" s="43"/>
      <c r="K14" s="1"/>
      <c r="L14" s="38"/>
      <c r="M14" s="38"/>
    </row>
    <row r="15" spans="3:19" ht="25.8" customHeight="1">
      <c r="C15" s="36"/>
      <c r="D15" s="54" t="s">
        <v>16</v>
      </c>
      <c r="E15" s="54" t="s">
        <v>16</v>
      </c>
      <c r="F15" s="38"/>
      <c r="G15" s="41" t="s">
        <v>13</v>
      </c>
      <c r="H15" s="38"/>
      <c r="I15" s="43"/>
      <c r="J15" s="43"/>
      <c r="K15" s="1"/>
      <c r="L15" s="38"/>
      <c r="M15" s="38"/>
    </row>
    <row r="16" spans="3:19" ht="25.8" customHeight="1">
      <c r="C16" s="36"/>
      <c r="D16" s="54" t="s">
        <v>16</v>
      </c>
      <c r="E16" s="54" t="s">
        <v>16</v>
      </c>
      <c r="F16" s="38"/>
      <c r="G16" s="41" t="s">
        <v>13</v>
      </c>
      <c r="H16" s="38"/>
      <c r="I16" s="43"/>
      <c r="J16" s="39"/>
      <c r="K16" s="1"/>
      <c r="L16" s="38"/>
      <c r="M16" s="38"/>
    </row>
    <row r="17" spans="3:13" ht="25.8" customHeight="1">
      <c r="C17" s="36"/>
      <c r="D17" s="54" t="s">
        <v>16</v>
      </c>
      <c r="E17" s="54" t="s">
        <v>16</v>
      </c>
      <c r="F17" s="38"/>
      <c r="G17" s="41" t="s">
        <v>13</v>
      </c>
      <c r="H17" s="38"/>
      <c r="I17" s="43"/>
      <c r="J17" s="44"/>
      <c r="K17" s="1"/>
      <c r="L17" s="38"/>
      <c r="M17" s="38"/>
    </row>
    <row r="18" spans="3:13" ht="25.8" customHeight="1">
      <c r="C18" s="36"/>
      <c r="D18" s="54" t="s">
        <v>16</v>
      </c>
      <c r="E18" s="54" t="s">
        <v>16</v>
      </c>
      <c r="F18" s="38"/>
      <c r="G18" s="41" t="s">
        <v>13</v>
      </c>
      <c r="H18" s="38"/>
      <c r="I18" s="39"/>
      <c r="J18" s="39"/>
      <c r="K18" s="1"/>
      <c r="L18" s="38"/>
      <c r="M18" s="38"/>
    </row>
    <row r="19" spans="3:13" ht="25.8" customHeight="1">
      <c r="C19" s="36"/>
      <c r="D19" s="54" t="s">
        <v>16</v>
      </c>
      <c r="E19" s="54" t="s">
        <v>16</v>
      </c>
      <c r="F19" s="38"/>
      <c r="G19" s="41" t="s">
        <v>13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54" t="s">
        <v>16</v>
      </c>
      <c r="E20" s="54" t="s">
        <v>16</v>
      </c>
      <c r="F20" s="38"/>
      <c r="G20" s="41" t="s">
        <v>13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54" t="s">
        <v>16</v>
      </c>
      <c r="E21" s="54" t="s">
        <v>16</v>
      </c>
      <c r="F21" s="38"/>
      <c r="G21" s="41" t="s">
        <v>13</v>
      </c>
      <c r="H21" s="38"/>
      <c r="I21" s="39"/>
      <c r="J21" s="39"/>
      <c r="K21" s="18"/>
      <c r="L21" s="14"/>
      <c r="M21" s="14"/>
    </row>
    <row r="22" spans="3:13" ht="26.25" customHeight="1">
      <c r="C22" s="36"/>
      <c r="D22" s="54" t="s">
        <v>16</v>
      </c>
      <c r="E22" s="54" t="s">
        <v>16</v>
      </c>
      <c r="F22" s="38"/>
      <c r="G22" s="41" t="s">
        <v>13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54" t="s">
        <v>16</v>
      </c>
      <c r="E23" s="54" t="s">
        <v>16</v>
      </c>
      <c r="F23" s="38"/>
      <c r="G23" s="41" t="s">
        <v>13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54" t="s">
        <v>16</v>
      </c>
      <c r="E24" s="54" t="s">
        <v>16</v>
      </c>
      <c r="F24" s="38"/>
      <c r="G24" s="41" t="s">
        <v>13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54" t="s">
        <v>16</v>
      </c>
      <c r="E25" s="54" t="s">
        <v>16</v>
      </c>
      <c r="F25" s="38"/>
      <c r="G25" s="41" t="s">
        <v>13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54" t="s">
        <v>16</v>
      </c>
      <c r="E26" s="54" t="s">
        <v>16</v>
      </c>
      <c r="F26" s="38"/>
      <c r="G26" s="41" t="s">
        <v>13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54" t="s">
        <v>16</v>
      </c>
      <c r="E27" s="54" t="s">
        <v>16</v>
      </c>
      <c r="F27" s="38"/>
      <c r="G27" s="41" t="s">
        <v>13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54" t="s">
        <v>16</v>
      </c>
      <c r="E28" s="54" t="s">
        <v>16</v>
      </c>
      <c r="F28" s="38"/>
      <c r="G28" s="41" t="s">
        <v>13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54" t="s">
        <v>16</v>
      </c>
      <c r="E29" s="54" t="s">
        <v>16</v>
      </c>
      <c r="F29" s="38"/>
      <c r="G29" s="41" t="s">
        <v>13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54" t="s">
        <v>16</v>
      </c>
      <c r="E30" s="54" t="s">
        <v>16</v>
      </c>
      <c r="F30" s="38"/>
      <c r="G30" s="41" t="s">
        <v>13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54" t="s">
        <v>16</v>
      </c>
      <c r="E31" s="54" t="s">
        <v>16</v>
      </c>
      <c r="F31" s="38"/>
      <c r="G31" s="41" t="s">
        <v>13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54" t="s">
        <v>16</v>
      </c>
      <c r="E32" s="54" t="s">
        <v>16</v>
      </c>
      <c r="F32" s="38"/>
      <c r="G32" s="41" t="s">
        <v>13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54" t="s">
        <v>16</v>
      </c>
      <c r="E33" s="54" t="s">
        <v>16</v>
      </c>
      <c r="F33" s="38"/>
      <c r="G33" s="41" t="s">
        <v>13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54" t="s">
        <v>16</v>
      </c>
      <c r="E34" s="54" t="s">
        <v>16</v>
      </c>
      <c r="F34" s="38"/>
      <c r="G34" s="41" t="s">
        <v>13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54" t="s">
        <v>16</v>
      </c>
      <c r="E35" s="54" t="s">
        <v>16</v>
      </c>
      <c r="F35" s="38"/>
      <c r="G35" s="41" t="s">
        <v>13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54" t="s">
        <v>16</v>
      </c>
      <c r="E36" s="54" t="s">
        <v>16</v>
      </c>
      <c r="F36" s="38"/>
      <c r="G36" s="41" t="s">
        <v>13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54" t="s">
        <v>16</v>
      </c>
      <c r="E37" s="54" t="s">
        <v>16</v>
      </c>
      <c r="F37" s="38"/>
      <c r="G37" s="41" t="s">
        <v>13</v>
      </c>
      <c r="H37" s="38"/>
      <c r="I37" s="39"/>
      <c r="J37" s="39"/>
      <c r="K37" s="1"/>
      <c r="L37" s="38"/>
      <c r="M37" s="38"/>
    </row>
    <row r="38" spans="3:13" ht="25.8" customHeight="1">
      <c r="C38" s="5"/>
      <c r="D38" s="54" t="s">
        <v>16</v>
      </c>
      <c r="E38" s="54" t="s">
        <v>16</v>
      </c>
      <c r="F38" s="5"/>
      <c r="G38" s="41" t="s">
        <v>13</v>
      </c>
      <c r="H38" s="5"/>
      <c r="I38" s="5"/>
      <c r="J38" s="5"/>
      <c r="K38" s="1"/>
      <c r="L38" s="38"/>
      <c r="M38" s="38"/>
    </row>
    <row r="39" spans="3:13" ht="26.25" customHeight="1">
      <c r="C39" s="5"/>
      <c r="D39" s="54" t="s">
        <v>16</v>
      </c>
      <c r="E39" s="54" t="s">
        <v>16</v>
      </c>
      <c r="F39" s="5"/>
      <c r="G39" s="41" t="s">
        <v>13</v>
      </c>
      <c r="H39" s="5"/>
      <c r="I39" s="5"/>
      <c r="J39" s="5"/>
      <c r="L39" s="5"/>
      <c r="M39" s="5"/>
    </row>
    <row r="40" spans="3:13" ht="26.25" customHeight="1">
      <c r="C40" s="5"/>
      <c r="D40" s="54" t="s">
        <v>16</v>
      </c>
      <c r="E40" s="54" t="s">
        <v>16</v>
      </c>
      <c r="F40" s="5"/>
      <c r="G40" s="41" t="s">
        <v>13</v>
      </c>
      <c r="H40" s="5"/>
      <c r="I40" s="5"/>
      <c r="J40" s="5"/>
      <c r="L40" s="5"/>
      <c r="M40" s="5"/>
    </row>
    <row r="41" spans="3:13" ht="26.25" customHeight="1">
      <c r="C41" s="5"/>
      <c r="D41" s="54" t="s">
        <v>16</v>
      </c>
      <c r="E41" s="54" t="s">
        <v>16</v>
      </c>
      <c r="F41" s="5"/>
      <c r="G41" s="41" t="s">
        <v>13</v>
      </c>
      <c r="H41" s="5"/>
      <c r="I41" s="5"/>
      <c r="J41" s="5"/>
      <c r="L41" s="5"/>
      <c r="M41" s="5"/>
    </row>
    <row r="42" spans="3:13" ht="26.25" customHeight="1">
      <c r="C42" s="5"/>
      <c r="D42" s="54" t="s">
        <v>16</v>
      </c>
      <c r="E42" s="54" t="s">
        <v>16</v>
      </c>
      <c r="F42" s="5"/>
      <c r="G42" s="41" t="s">
        <v>13</v>
      </c>
      <c r="H42" s="5"/>
      <c r="I42" s="5"/>
      <c r="J42" s="5"/>
      <c r="L42" s="5"/>
      <c r="M42" s="5"/>
    </row>
    <row r="43" spans="3:13" ht="26.25" customHeight="1">
      <c r="C43" s="5"/>
      <c r="D43" s="54" t="s">
        <v>16</v>
      </c>
      <c r="E43" s="54" t="s">
        <v>16</v>
      </c>
      <c r="F43" s="5"/>
      <c r="G43" s="41" t="s">
        <v>13</v>
      </c>
      <c r="H43" s="5"/>
      <c r="I43" s="5"/>
      <c r="J43" s="5"/>
      <c r="L43" s="5"/>
      <c r="M43" s="5"/>
    </row>
    <row r="44" spans="3:13" ht="26.25" customHeight="1">
      <c r="C44" s="5"/>
      <c r="D44" s="54" t="s">
        <v>16</v>
      </c>
      <c r="E44" s="54" t="s">
        <v>16</v>
      </c>
      <c r="F44" s="5"/>
      <c r="G44" s="41" t="s">
        <v>13</v>
      </c>
      <c r="H44" s="5"/>
      <c r="I44" s="5"/>
      <c r="J44" s="5"/>
      <c r="L44" s="5"/>
      <c r="M44" s="5"/>
    </row>
    <row r="45" spans="3:13" ht="26.25" customHeight="1">
      <c r="C45" s="5"/>
      <c r="D45" s="54" t="s">
        <v>16</v>
      </c>
      <c r="E45" s="54" t="s">
        <v>16</v>
      </c>
      <c r="F45" s="5"/>
      <c r="G45" s="41" t="s">
        <v>13</v>
      </c>
      <c r="H45" s="5"/>
      <c r="I45" s="5"/>
      <c r="J45" s="5"/>
      <c r="L45" s="5"/>
      <c r="M45" s="5"/>
    </row>
    <row r="46" spans="3:13" ht="26.25" customHeight="1">
      <c r="C46" s="5"/>
      <c r="D46" s="54" t="s">
        <v>16</v>
      </c>
      <c r="E46" s="54" t="s">
        <v>16</v>
      </c>
      <c r="F46" s="5"/>
      <c r="G46" s="41" t="s">
        <v>13</v>
      </c>
      <c r="H46" s="5"/>
      <c r="I46" s="5"/>
      <c r="J46" s="5"/>
      <c r="L46" s="5"/>
      <c r="M46" s="5"/>
    </row>
    <row r="47" spans="3:13" ht="26.25" customHeight="1">
      <c r="C47" s="54"/>
      <c r="D47" s="54" t="s">
        <v>16</v>
      </c>
      <c r="E47" s="54" t="s">
        <v>16</v>
      </c>
      <c r="F47" s="54"/>
      <c r="G47" s="41" t="s">
        <v>13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16</v>
      </c>
      <c r="E48" s="54" t="s">
        <v>16</v>
      </c>
      <c r="F48" s="54"/>
      <c r="G48" s="41" t="s">
        <v>13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16</v>
      </c>
      <c r="E49" s="54" t="s">
        <v>16</v>
      </c>
      <c r="F49" s="54"/>
      <c r="G49" s="41" t="s">
        <v>13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16</v>
      </c>
      <c r="E50" s="54" t="s">
        <v>16</v>
      </c>
      <c r="F50" s="54"/>
      <c r="G50" s="41" t="s">
        <v>13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16</v>
      </c>
      <c r="E51" s="54" t="s">
        <v>16</v>
      </c>
      <c r="F51" s="54"/>
      <c r="G51" s="41" t="s">
        <v>13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16</v>
      </c>
      <c r="E52" s="54" t="s">
        <v>16</v>
      </c>
      <c r="F52" s="54"/>
      <c r="G52" s="41" t="s">
        <v>13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16</v>
      </c>
      <c r="E53" s="54" t="s">
        <v>16</v>
      </c>
      <c r="F53" s="54"/>
      <c r="G53" s="41" t="s">
        <v>13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16</v>
      </c>
      <c r="E54" s="54" t="s">
        <v>16</v>
      </c>
      <c r="F54" s="54"/>
      <c r="G54" s="41" t="s">
        <v>13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16</v>
      </c>
      <c r="E55" s="54" t="s">
        <v>16</v>
      </c>
      <c r="F55" s="54"/>
      <c r="G55" s="41" t="s">
        <v>13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16</v>
      </c>
      <c r="E56" s="54" t="s">
        <v>16</v>
      </c>
      <c r="F56" s="54"/>
      <c r="G56" s="41" t="s">
        <v>13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16</v>
      </c>
      <c r="E57" s="54" t="s">
        <v>16</v>
      </c>
      <c r="F57" s="54"/>
      <c r="G57" s="41" t="s">
        <v>13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16</v>
      </c>
      <c r="E58" s="54" t="s">
        <v>16</v>
      </c>
      <c r="F58" s="54"/>
      <c r="G58" s="41" t="s">
        <v>13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16</v>
      </c>
      <c r="E59" s="54" t="s">
        <v>16</v>
      </c>
      <c r="F59" s="54"/>
      <c r="G59" s="41" t="s">
        <v>13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16</v>
      </c>
      <c r="E60" s="54" t="s">
        <v>16</v>
      </c>
      <c r="F60" s="54"/>
      <c r="G60" s="41" t="s">
        <v>13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16</v>
      </c>
      <c r="E61" s="54" t="s">
        <v>16</v>
      </c>
      <c r="F61" s="54"/>
      <c r="G61" s="41" t="s">
        <v>13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16</v>
      </c>
      <c r="E62" s="54" t="s">
        <v>16</v>
      </c>
      <c r="F62" s="54"/>
      <c r="G62" s="41" t="s">
        <v>13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16</v>
      </c>
      <c r="E63" s="54" t="s">
        <v>16</v>
      </c>
      <c r="F63" s="54"/>
      <c r="G63" s="41" t="s">
        <v>13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16</v>
      </c>
      <c r="E64" s="54" t="s">
        <v>16</v>
      </c>
      <c r="F64" s="54"/>
      <c r="G64" s="41" t="s">
        <v>13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16</v>
      </c>
      <c r="E65" s="54" t="s">
        <v>16</v>
      </c>
      <c r="F65" s="54"/>
      <c r="G65" s="41" t="s">
        <v>13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16</v>
      </c>
      <c r="E66" s="54" t="s">
        <v>16</v>
      </c>
      <c r="F66" s="54"/>
      <c r="G66" s="41" t="s">
        <v>13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16</v>
      </c>
      <c r="E67" s="54" t="s">
        <v>16</v>
      </c>
      <c r="F67" s="54"/>
      <c r="G67" s="41" t="s">
        <v>13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16</v>
      </c>
      <c r="E68" s="54" t="s">
        <v>16</v>
      </c>
      <c r="F68" s="54"/>
      <c r="G68" s="41" t="s">
        <v>13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16</v>
      </c>
      <c r="E69" s="54" t="s">
        <v>16</v>
      </c>
      <c r="F69" s="54"/>
      <c r="G69" s="41" t="s">
        <v>13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16</v>
      </c>
      <c r="E70" s="54" t="s">
        <v>16</v>
      </c>
      <c r="F70" s="54"/>
      <c r="G70" s="41" t="s">
        <v>13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16</v>
      </c>
      <c r="E71" s="54" t="s">
        <v>16</v>
      </c>
      <c r="F71" s="54"/>
      <c r="G71" s="41" t="s">
        <v>13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16</v>
      </c>
      <c r="E72" s="54" t="s">
        <v>16</v>
      </c>
      <c r="F72" s="54"/>
      <c r="G72" s="41" t="s">
        <v>13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16</v>
      </c>
      <c r="E73" s="54" t="s">
        <v>16</v>
      </c>
      <c r="F73" s="54"/>
      <c r="G73" s="41" t="s">
        <v>13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16</v>
      </c>
      <c r="E74" s="54" t="s">
        <v>16</v>
      </c>
      <c r="F74" s="54"/>
      <c r="G74" s="41" t="s">
        <v>13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16</v>
      </c>
      <c r="E75" s="54" t="s">
        <v>16</v>
      </c>
      <c r="F75" s="54"/>
      <c r="G75" s="41" t="s">
        <v>13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16</v>
      </c>
      <c r="E76" s="54" t="s">
        <v>16</v>
      </c>
      <c r="F76" s="54"/>
      <c r="G76" s="41" t="s">
        <v>13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16</v>
      </c>
      <c r="E77" s="54" t="s">
        <v>16</v>
      </c>
      <c r="F77" s="54"/>
      <c r="G77" s="41" t="s">
        <v>13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16</v>
      </c>
      <c r="E78" s="54" t="s">
        <v>16</v>
      </c>
      <c r="F78" s="54"/>
      <c r="G78" s="41" t="s">
        <v>13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16</v>
      </c>
      <c r="E79" s="54" t="s">
        <v>16</v>
      </c>
      <c r="F79" s="54"/>
      <c r="G79" s="41" t="s">
        <v>13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16</v>
      </c>
      <c r="E80" s="54" t="s">
        <v>16</v>
      </c>
      <c r="F80" s="54"/>
      <c r="G80" s="41" t="s">
        <v>13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16</v>
      </c>
      <c r="E81" s="54" t="s">
        <v>16</v>
      </c>
      <c r="F81" s="54"/>
      <c r="G81" s="41" t="s">
        <v>13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16</v>
      </c>
      <c r="E82" s="54" t="s">
        <v>16</v>
      </c>
      <c r="F82" s="54"/>
      <c r="G82" s="41" t="s">
        <v>13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16</v>
      </c>
      <c r="E83" s="54" t="s">
        <v>16</v>
      </c>
      <c r="F83" s="54"/>
      <c r="G83" s="41" t="s">
        <v>13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16</v>
      </c>
      <c r="E84" s="54" t="s">
        <v>16</v>
      </c>
      <c r="F84" s="54"/>
      <c r="G84" s="41" t="s">
        <v>13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16</v>
      </c>
      <c r="E85" s="54" t="s">
        <v>16</v>
      </c>
      <c r="F85" s="54"/>
      <c r="G85" s="41" t="s">
        <v>13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16</v>
      </c>
      <c r="E86" s="54" t="s">
        <v>16</v>
      </c>
      <c r="F86" s="54"/>
      <c r="G86" s="41" t="s">
        <v>13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16</v>
      </c>
      <c r="E87" s="54" t="s">
        <v>16</v>
      </c>
      <c r="F87" s="54"/>
      <c r="G87" s="41" t="s">
        <v>13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16</v>
      </c>
      <c r="E88" s="54" t="s">
        <v>16</v>
      </c>
      <c r="F88" s="54"/>
      <c r="G88" s="41" t="s">
        <v>13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16</v>
      </c>
      <c r="E89" s="54" t="s">
        <v>16</v>
      </c>
      <c r="F89" s="54"/>
      <c r="G89" s="41" t="s">
        <v>13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16</v>
      </c>
      <c r="E90" s="54" t="s">
        <v>16</v>
      </c>
      <c r="F90" s="54"/>
      <c r="G90" s="41" t="s">
        <v>13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16</v>
      </c>
      <c r="E91" s="54" t="s">
        <v>16</v>
      </c>
      <c r="F91" s="54"/>
      <c r="G91" s="41" t="s">
        <v>13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16</v>
      </c>
      <c r="E92" s="54" t="s">
        <v>16</v>
      </c>
      <c r="F92" s="54"/>
      <c r="G92" s="41" t="s">
        <v>13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16</v>
      </c>
      <c r="E93" s="54" t="s">
        <v>16</v>
      </c>
      <c r="F93" s="54"/>
      <c r="G93" s="41" t="s">
        <v>13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16</v>
      </c>
      <c r="E94" s="54" t="s">
        <v>16</v>
      </c>
      <c r="F94" s="54"/>
      <c r="G94" s="41" t="s">
        <v>13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16</v>
      </c>
      <c r="E95" s="54" t="s">
        <v>16</v>
      </c>
      <c r="F95" s="54"/>
      <c r="G95" s="41" t="s">
        <v>13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16</v>
      </c>
      <c r="E96" s="54" t="s">
        <v>16</v>
      </c>
      <c r="F96" s="54"/>
      <c r="G96" s="41" t="s">
        <v>13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16</v>
      </c>
      <c r="E97" s="54" t="s">
        <v>16</v>
      </c>
      <c r="F97" s="54"/>
      <c r="G97" s="41" t="s">
        <v>13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16</v>
      </c>
      <c r="E98" s="54" t="s">
        <v>16</v>
      </c>
      <c r="F98" s="54"/>
      <c r="G98" s="41" t="s">
        <v>13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16</v>
      </c>
      <c r="E99" s="54" t="s">
        <v>16</v>
      </c>
      <c r="F99" s="54"/>
      <c r="G99" s="41" t="s">
        <v>13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16</v>
      </c>
      <c r="E100" s="54" t="s">
        <v>16</v>
      </c>
      <c r="F100" s="54"/>
      <c r="G100" s="41" t="s">
        <v>13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7 F10:F45 F47:F1048576">
    <cfRule type="containsText" dxfId="18" priority="12" operator="containsText" text="white">
      <formula>NOT(ISERROR(SEARCH("white",F1)))</formula>
    </cfRule>
    <cfRule type="containsText" dxfId="17" priority="13" operator="containsText" text="YELLOW">
      <formula>NOT(ISERROR(SEARCH("YELLOW",F1)))</formula>
    </cfRule>
  </conditionalFormatting>
  <conditionalFormatting sqref="J1:J7 J10:J11 J13 J15:J45 J47:J1048576">
    <cfRule type="containsText" dxfId="16" priority="7" operator="containsText" text="120">
      <formula>NOT(ISERROR(SEARCH("120",J1)))</formula>
    </cfRule>
    <cfRule type="containsText" dxfId="15" priority="8" operator="containsText" text="10">
      <formula>NOT(ISERROR(SEARCH("10",J1)))</formula>
    </cfRule>
  </conditionalFormatting>
  <conditionalFormatting sqref="F8:F9">
    <cfRule type="containsText" dxfId="14" priority="5" operator="containsText" text="white">
      <formula>NOT(ISERROR(SEARCH("white",F8)))</formula>
    </cfRule>
    <cfRule type="containsText" dxfId="13" priority="6" operator="containsText" text="YELLOW">
      <formula>NOT(ISERROR(SEARCH("YELLOW",F8)))</formula>
    </cfRule>
  </conditionalFormatting>
  <conditionalFormatting sqref="J8:J9">
    <cfRule type="containsText" dxfId="12" priority="2" operator="containsText" text="120">
      <formula>NOT(ISERROR(SEARCH("120",J8)))</formula>
    </cfRule>
    <cfRule type="containsText" dxfId="11" priority="3" operator="containsText" text="10">
      <formula>NOT(ISERROR(SEARCH("10",J8)))</formula>
    </cfRule>
  </conditionalFormatting>
  <conditionalFormatting sqref="F1:F1048576">
    <cfRule type="containsText" dxfId="10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D1:D5 D7:D1048576" xr:uid="{00000000-0002-0000-0200-000000000000}">
      <formula1>"Shrink"</formula1>
    </dataValidation>
    <dataValidation type="list" allowBlank="1" showInputMessage="1" showErrorMessage="1" sqref="G1:G5 G7:G1048576" xr:uid="{00000000-0002-0000-0200-000001000000}">
      <formula1>"null"</formula1>
    </dataValidation>
    <dataValidation type="list" allowBlank="1" showInputMessage="1" showErrorMessage="1" sqref="E2:E5 E7:E1048576" xr:uid="{00000000-0002-0000-0200-000002000000}">
      <formula1>"Shrink,No Data"</formula1>
    </dataValidation>
    <dataValidation type="list" allowBlank="1" showInputMessage="1" showErrorMessage="1" sqref="F2:F5 F7:F1048576" xr:uid="{00000000-0002-0000-0200-000003000000}">
      <formula1>",Machine B, Machine S,Manual,No Data"</formula1>
    </dataValidation>
  </dataValidations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0"/>
  </sheetPr>
  <dimension ref="C1:S100"/>
  <sheetViews>
    <sheetView zoomScale="70" zoomScaleNormal="70" workbookViewId="0">
      <selection activeCell="H7" sqref="H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16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9"/>
      <c r="K3" s="1"/>
      <c r="L3" s="73" t="s">
        <v>1</v>
      </c>
      <c r="M3" s="63"/>
    </row>
    <row r="4" spans="3:19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9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17</v>
      </c>
      <c r="E7" s="54" t="s">
        <v>17</v>
      </c>
      <c r="F7" s="59"/>
      <c r="G7" s="41" t="s">
        <v>13</v>
      </c>
      <c r="H7" s="54"/>
      <c r="I7" s="55"/>
      <c r="J7" s="55"/>
      <c r="K7" s="1"/>
      <c r="L7" s="38"/>
      <c r="M7" s="38"/>
    </row>
    <row r="8" spans="3:19" ht="28.8" customHeight="1">
      <c r="C8" s="40"/>
      <c r="D8" s="54" t="s">
        <v>17</v>
      </c>
      <c r="E8" s="54" t="s">
        <v>17</v>
      </c>
      <c r="F8" s="41"/>
      <c r="G8" s="41" t="s">
        <v>13</v>
      </c>
      <c r="H8" s="54"/>
      <c r="I8" s="55"/>
      <c r="J8" s="55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17</v>
      </c>
      <c r="E9" s="54" t="s">
        <v>17</v>
      </c>
      <c r="F9" s="41"/>
      <c r="G9" s="41" t="s">
        <v>13</v>
      </c>
      <c r="H9" s="54"/>
      <c r="I9" s="55"/>
      <c r="J9" s="55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17</v>
      </c>
      <c r="E10" s="54" t="s">
        <v>17</v>
      </c>
      <c r="F10" s="41"/>
      <c r="G10" s="41" t="s">
        <v>13</v>
      </c>
      <c r="H10" s="54"/>
      <c r="I10" s="55"/>
      <c r="J10" s="55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17</v>
      </c>
      <c r="E11" s="54" t="s">
        <v>17</v>
      </c>
      <c r="F11" s="41"/>
      <c r="G11" s="41" t="s">
        <v>13</v>
      </c>
      <c r="H11" s="54"/>
      <c r="I11" s="55"/>
      <c r="J11" s="55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17</v>
      </c>
      <c r="E12" s="54" t="s">
        <v>17</v>
      </c>
      <c r="F12" s="41"/>
      <c r="G12" s="41" t="s">
        <v>13</v>
      </c>
      <c r="H12" s="54"/>
      <c r="I12" s="55"/>
      <c r="J12" s="55"/>
      <c r="K12" s="1"/>
      <c r="L12" s="38"/>
      <c r="M12" s="38"/>
    </row>
    <row r="13" spans="3:19" ht="25.8" customHeight="1">
      <c r="C13" s="36"/>
      <c r="D13" s="54" t="s">
        <v>17</v>
      </c>
      <c r="E13" s="54" t="s">
        <v>17</v>
      </c>
      <c r="F13" s="41"/>
      <c r="G13" s="41" t="s">
        <v>13</v>
      </c>
      <c r="H13" s="54"/>
      <c r="I13" s="55"/>
      <c r="J13" s="55"/>
      <c r="K13" s="1"/>
      <c r="L13" s="38"/>
      <c r="M13" s="38"/>
    </row>
    <row r="14" spans="3:19" s="19" customFormat="1" ht="25.8" customHeight="1">
      <c r="C14" s="36"/>
      <c r="D14" s="54" t="s">
        <v>17</v>
      </c>
      <c r="E14" s="54" t="s">
        <v>17</v>
      </c>
      <c r="F14" s="41"/>
      <c r="G14" s="41" t="s">
        <v>13</v>
      </c>
      <c r="H14" s="54"/>
      <c r="I14" s="55"/>
      <c r="J14" s="55"/>
      <c r="K14" s="1"/>
      <c r="L14" s="38"/>
      <c r="M14" s="38"/>
    </row>
    <row r="15" spans="3:19" ht="25.8" customHeight="1">
      <c r="C15" s="36"/>
      <c r="D15" s="54" t="s">
        <v>17</v>
      </c>
      <c r="E15" s="54" t="s">
        <v>17</v>
      </c>
      <c r="F15" s="41"/>
      <c r="G15" s="41" t="s">
        <v>13</v>
      </c>
      <c r="H15" s="54"/>
      <c r="I15" s="55"/>
      <c r="J15" s="55"/>
      <c r="K15" s="1"/>
      <c r="L15" s="38"/>
      <c r="M15" s="38"/>
    </row>
    <row r="16" spans="3:19" ht="25.8" customHeight="1">
      <c r="C16" s="36"/>
      <c r="D16" s="54" t="s">
        <v>17</v>
      </c>
      <c r="E16" s="54" t="s">
        <v>17</v>
      </c>
      <c r="F16" s="41"/>
      <c r="G16" s="41" t="s">
        <v>13</v>
      </c>
      <c r="H16" s="54"/>
      <c r="I16" s="55"/>
      <c r="J16" s="56"/>
      <c r="K16" s="1"/>
      <c r="L16" s="38"/>
      <c r="M16" s="38"/>
    </row>
    <row r="17" spans="3:13" ht="25.8" customHeight="1">
      <c r="C17" s="36"/>
      <c r="D17" s="54" t="s">
        <v>17</v>
      </c>
      <c r="E17" s="54" t="s">
        <v>17</v>
      </c>
      <c r="F17" s="41"/>
      <c r="G17" s="41" t="s">
        <v>13</v>
      </c>
      <c r="H17" s="54"/>
      <c r="I17" s="55"/>
      <c r="J17" s="56"/>
      <c r="K17" s="1"/>
      <c r="L17" s="38"/>
      <c r="M17" s="38"/>
    </row>
    <row r="18" spans="3:13" ht="25.8" customHeight="1">
      <c r="C18" s="36"/>
      <c r="D18" s="54" t="s">
        <v>17</v>
      </c>
      <c r="E18" s="54" t="s">
        <v>17</v>
      </c>
      <c r="F18" s="41"/>
      <c r="G18" s="41" t="s">
        <v>13</v>
      </c>
      <c r="H18" s="54"/>
      <c r="I18" s="56"/>
      <c r="J18" s="56"/>
      <c r="K18" s="1"/>
      <c r="L18" s="38"/>
      <c r="M18" s="38"/>
    </row>
    <row r="19" spans="3:13" ht="25.8" customHeight="1">
      <c r="C19" s="36"/>
      <c r="D19" s="54" t="s">
        <v>17</v>
      </c>
      <c r="E19" s="54" t="s">
        <v>17</v>
      </c>
      <c r="F19" s="41"/>
      <c r="G19" s="41" t="s">
        <v>13</v>
      </c>
      <c r="H19" s="54"/>
      <c r="I19" s="56"/>
      <c r="J19" s="56"/>
      <c r="K19" s="1"/>
      <c r="L19" s="38"/>
      <c r="M19" s="38"/>
    </row>
    <row r="20" spans="3:13" ht="25.8" customHeight="1">
      <c r="C20" s="36"/>
      <c r="D20" s="54" t="s">
        <v>17</v>
      </c>
      <c r="E20" s="54" t="s">
        <v>17</v>
      </c>
      <c r="F20" s="41"/>
      <c r="G20" s="41" t="s">
        <v>13</v>
      </c>
      <c r="H20" s="54"/>
      <c r="I20" s="56"/>
      <c r="J20" s="56"/>
      <c r="K20" s="1"/>
      <c r="L20" s="38"/>
      <c r="M20" s="38"/>
    </row>
    <row r="21" spans="3:13" ht="26.25" customHeight="1">
      <c r="C21" s="36"/>
      <c r="D21" s="54" t="s">
        <v>17</v>
      </c>
      <c r="E21" s="54" t="s">
        <v>17</v>
      </c>
      <c r="F21" s="41"/>
      <c r="G21" s="41" t="s">
        <v>13</v>
      </c>
      <c r="H21" s="54"/>
      <c r="I21" s="56"/>
      <c r="J21" s="56"/>
      <c r="K21" s="18"/>
      <c r="L21" s="14"/>
      <c r="M21" s="14"/>
    </row>
    <row r="22" spans="3:13" ht="26.25" customHeight="1">
      <c r="C22" s="36"/>
      <c r="D22" s="54" t="s">
        <v>17</v>
      </c>
      <c r="E22" s="54" t="s">
        <v>17</v>
      </c>
      <c r="F22" s="41"/>
      <c r="G22" s="41" t="s">
        <v>13</v>
      </c>
      <c r="H22" s="54"/>
      <c r="I22" s="56"/>
      <c r="J22" s="56"/>
      <c r="K22" s="1"/>
      <c r="L22" s="38"/>
      <c r="M22" s="38"/>
    </row>
    <row r="23" spans="3:13" ht="26.25" customHeight="1">
      <c r="C23" s="36"/>
      <c r="D23" s="54" t="s">
        <v>17</v>
      </c>
      <c r="E23" s="54" t="s">
        <v>17</v>
      </c>
      <c r="F23" s="41"/>
      <c r="G23" s="41" t="s">
        <v>13</v>
      </c>
      <c r="H23" s="54"/>
      <c r="I23" s="56"/>
      <c r="J23" s="56"/>
      <c r="K23" s="1"/>
      <c r="L23" s="38"/>
      <c r="M23" s="38"/>
    </row>
    <row r="24" spans="3:13" ht="26.25" customHeight="1">
      <c r="C24" s="36"/>
      <c r="D24" s="54" t="s">
        <v>17</v>
      </c>
      <c r="E24" s="54" t="s">
        <v>17</v>
      </c>
      <c r="F24" s="41"/>
      <c r="G24" s="41" t="s">
        <v>13</v>
      </c>
      <c r="H24" s="54"/>
      <c r="I24" s="56"/>
      <c r="J24" s="56"/>
      <c r="K24" s="1"/>
      <c r="L24" s="38"/>
      <c r="M24" s="38"/>
    </row>
    <row r="25" spans="3:13" ht="26.25" customHeight="1">
      <c r="C25" s="36"/>
      <c r="D25" s="54" t="s">
        <v>17</v>
      </c>
      <c r="E25" s="54" t="s">
        <v>17</v>
      </c>
      <c r="F25" s="41"/>
      <c r="G25" s="41" t="s">
        <v>13</v>
      </c>
      <c r="H25" s="54"/>
      <c r="I25" s="56"/>
      <c r="J25" s="56"/>
      <c r="K25" s="1"/>
      <c r="L25" s="38"/>
      <c r="M25" s="38"/>
    </row>
    <row r="26" spans="3:13" ht="26.25" customHeight="1">
      <c r="C26" s="36"/>
      <c r="D26" s="54" t="s">
        <v>17</v>
      </c>
      <c r="E26" s="54" t="s">
        <v>17</v>
      </c>
      <c r="F26" s="41"/>
      <c r="G26" s="41" t="s">
        <v>13</v>
      </c>
      <c r="H26" s="54"/>
      <c r="I26" s="56"/>
      <c r="J26" s="56"/>
      <c r="K26" s="1"/>
      <c r="L26" s="38"/>
      <c r="M26" s="38"/>
    </row>
    <row r="27" spans="3:13" ht="26.25" customHeight="1">
      <c r="C27" s="36"/>
      <c r="D27" s="54" t="s">
        <v>17</v>
      </c>
      <c r="E27" s="54" t="s">
        <v>17</v>
      </c>
      <c r="F27" s="41"/>
      <c r="G27" s="41" t="s">
        <v>13</v>
      </c>
      <c r="H27" s="54"/>
      <c r="I27" s="56"/>
      <c r="J27" s="56"/>
      <c r="K27" s="1"/>
      <c r="L27" s="38"/>
      <c r="M27" s="38"/>
    </row>
    <row r="28" spans="3:13" ht="26.25" customHeight="1">
      <c r="C28" s="36"/>
      <c r="D28" s="54" t="s">
        <v>17</v>
      </c>
      <c r="E28" s="54" t="s">
        <v>17</v>
      </c>
      <c r="F28" s="41"/>
      <c r="G28" s="41" t="s">
        <v>13</v>
      </c>
      <c r="H28" s="54"/>
      <c r="I28" s="56"/>
      <c r="J28" s="56"/>
      <c r="K28" s="1"/>
      <c r="L28" s="38"/>
      <c r="M28" s="38"/>
    </row>
    <row r="29" spans="3:13" ht="26.25" customHeight="1">
      <c r="C29" s="36"/>
      <c r="D29" s="54" t="s">
        <v>17</v>
      </c>
      <c r="E29" s="54" t="s">
        <v>17</v>
      </c>
      <c r="F29" s="41"/>
      <c r="G29" s="41" t="s">
        <v>13</v>
      </c>
      <c r="H29" s="54"/>
      <c r="I29" s="56"/>
      <c r="J29" s="56"/>
      <c r="K29" s="1"/>
      <c r="L29" s="38"/>
      <c r="M29" s="38"/>
    </row>
    <row r="30" spans="3:13" ht="26.25" customHeight="1">
      <c r="C30" s="36"/>
      <c r="D30" s="54" t="s">
        <v>17</v>
      </c>
      <c r="E30" s="54" t="s">
        <v>17</v>
      </c>
      <c r="F30" s="41"/>
      <c r="G30" s="41" t="s">
        <v>13</v>
      </c>
      <c r="H30" s="54"/>
      <c r="I30" s="56"/>
      <c r="J30" s="56"/>
      <c r="K30" s="1"/>
      <c r="L30" s="38"/>
      <c r="M30" s="38"/>
    </row>
    <row r="31" spans="3:13" ht="26.25" customHeight="1">
      <c r="C31" s="36"/>
      <c r="D31" s="54" t="s">
        <v>17</v>
      </c>
      <c r="E31" s="54" t="s">
        <v>17</v>
      </c>
      <c r="F31" s="41"/>
      <c r="G31" s="41" t="s">
        <v>13</v>
      </c>
      <c r="H31" s="54"/>
      <c r="I31" s="56"/>
      <c r="J31" s="56"/>
      <c r="K31" s="1"/>
      <c r="L31" s="38"/>
      <c r="M31" s="38"/>
    </row>
    <row r="32" spans="3:13" ht="26.25" customHeight="1">
      <c r="C32" s="36"/>
      <c r="D32" s="54" t="s">
        <v>17</v>
      </c>
      <c r="E32" s="54" t="s">
        <v>17</v>
      </c>
      <c r="F32" s="41"/>
      <c r="G32" s="41" t="s">
        <v>13</v>
      </c>
      <c r="H32" s="54"/>
      <c r="I32" s="56"/>
      <c r="J32" s="56"/>
      <c r="K32" s="1"/>
      <c r="L32" s="38"/>
      <c r="M32" s="38"/>
    </row>
    <row r="33" spans="3:13" ht="26.25" customHeight="1">
      <c r="C33" s="36"/>
      <c r="D33" s="54" t="s">
        <v>17</v>
      </c>
      <c r="E33" s="54" t="s">
        <v>17</v>
      </c>
      <c r="F33" s="41"/>
      <c r="G33" s="41" t="s">
        <v>13</v>
      </c>
      <c r="H33" s="54"/>
      <c r="I33" s="56"/>
      <c r="J33" s="56"/>
      <c r="K33" s="1"/>
      <c r="L33" s="38"/>
      <c r="M33" s="38"/>
    </row>
    <row r="34" spans="3:13" ht="26.25" customHeight="1">
      <c r="C34" s="36"/>
      <c r="D34" s="54" t="s">
        <v>17</v>
      </c>
      <c r="E34" s="54" t="s">
        <v>17</v>
      </c>
      <c r="F34" s="41"/>
      <c r="G34" s="41" t="s">
        <v>13</v>
      </c>
      <c r="H34" s="54"/>
      <c r="I34" s="56"/>
      <c r="J34" s="56"/>
      <c r="K34" s="1"/>
      <c r="L34" s="38"/>
      <c r="M34" s="38"/>
    </row>
    <row r="35" spans="3:13" ht="26.25" customHeight="1">
      <c r="C35" s="36"/>
      <c r="D35" s="54" t="s">
        <v>17</v>
      </c>
      <c r="E35" s="54" t="s">
        <v>17</v>
      </c>
      <c r="F35" s="41"/>
      <c r="G35" s="41" t="s">
        <v>13</v>
      </c>
      <c r="H35" s="54"/>
      <c r="I35" s="56"/>
      <c r="J35" s="56"/>
      <c r="K35" s="1"/>
      <c r="L35" s="38"/>
      <c r="M35" s="38"/>
    </row>
    <row r="36" spans="3:13" ht="26.25" customHeight="1">
      <c r="C36" s="36"/>
      <c r="D36" s="54" t="s">
        <v>17</v>
      </c>
      <c r="E36" s="54" t="s">
        <v>17</v>
      </c>
      <c r="F36" s="41"/>
      <c r="G36" s="41" t="s">
        <v>13</v>
      </c>
      <c r="H36" s="54"/>
      <c r="I36" s="56"/>
      <c r="J36" s="56"/>
      <c r="K36" s="1"/>
      <c r="L36" s="38"/>
      <c r="M36" s="38"/>
    </row>
    <row r="37" spans="3:13" ht="26.25" customHeight="1">
      <c r="C37" s="36"/>
      <c r="D37" s="54" t="s">
        <v>17</v>
      </c>
      <c r="E37" s="54" t="s">
        <v>17</v>
      </c>
      <c r="F37" s="41"/>
      <c r="G37" s="41" t="s">
        <v>13</v>
      </c>
      <c r="H37" s="54"/>
      <c r="I37" s="56"/>
      <c r="J37" s="56"/>
      <c r="K37" s="1"/>
      <c r="L37" s="38"/>
      <c r="M37" s="38"/>
    </row>
    <row r="38" spans="3:13" ht="25.8" customHeight="1">
      <c r="C38" s="5"/>
      <c r="D38" s="54" t="s">
        <v>17</v>
      </c>
      <c r="E38" s="54" t="s">
        <v>17</v>
      </c>
      <c r="F38" s="41"/>
      <c r="G38" s="41" t="s">
        <v>13</v>
      </c>
      <c r="H38" s="57"/>
      <c r="I38" s="57"/>
      <c r="J38" s="57"/>
      <c r="K38" s="1"/>
      <c r="L38" s="38"/>
      <c r="M38" s="38"/>
    </row>
    <row r="39" spans="3:13" ht="26.25" customHeight="1">
      <c r="C39" s="5"/>
      <c r="D39" s="54" t="s">
        <v>17</v>
      </c>
      <c r="E39" s="54" t="s">
        <v>17</v>
      </c>
      <c r="F39" s="41"/>
      <c r="G39" s="41" t="s">
        <v>13</v>
      </c>
      <c r="H39" s="57"/>
      <c r="I39" s="57"/>
      <c r="J39" s="57"/>
      <c r="L39" s="5"/>
      <c r="M39" s="5"/>
    </row>
    <row r="40" spans="3:13" ht="26.25" customHeight="1">
      <c r="C40" s="5"/>
      <c r="D40" s="54" t="s">
        <v>17</v>
      </c>
      <c r="E40" s="54" t="s">
        <v>17</v>
      </c>
      <c r="F40" s="41"/>
      <c r="G40" s="41" t="s">
        <v>13</v>
      </c>
      <c r="H40" s="57"/>
      <c r="I40" s="57"/>
      <c r="J40" s="57"/>
      <c r="L40" s="5"/>
      <c r="M40" s="5"/>
    </row>
    <row r="41" spans="3:13" ht="26.25" customHeight="1">
      <c r="C41" s="5"/>
      <c r="D41" s="54" t="s">
        <v>17</v>
      </c>
      <c r="E41" s="54" t="s">
        <v>17</v>
      </c>
      <c r="F41" s="41"/>
      <c r="G41" s="41" t="s">
        <v>13</v>
      </c>
      <c r="H41" s="57"/>
      <c r="I41" s="57"/>
      <c r="J41" s="57"/>
      <c r="L41" s="5"/>
      <c r="M41" s="5"/>
    </row>
    <row r="42" spans="3:13" ht="26.25" customHeight="1">
      <c r="C42" s="5"/>
      <c r="D42" s="54" t="s">
        <v>17</v>
      </c>
      <c r="E42" s="54" t="s">
        <v>17</v>
      </c>
      <c r="F42" s="41"/>
      <c r="G42" s="41" t="s">
        <v>13</v>
      </c>
      <c r="H42" s="57"/>
      <c r="I42" s="57"/>
      <c r="J42" s="57"/>
      <c r="L42" s="5"/>
      <c r="M42" s="5"/>
    </row>
    <row r="43" spans="3:13" ht="26.25" customHeight="1">
      <c r="C43" s="5"/>
      <c r="D43" s="54" t="s">
        <v>17</v>
      </c>
      <c r="E43" s="54" t="s">
        <v>17</v>
      </c>
      <c r="F43" s="41"/>
      <c r="G43" s="41" t="s">
        <v>13</v>
      </c>
      <c r="H43" s="57"/>
      <c r="I43" s="57"/>
      <c r="J43" s="57"/>
      <c r="L43" s="5"/>
      <c r="M43" s="5"/>
    </row>
    <row r="44" spans="3:13" ht="26.25" customHeight="1">
      <c r="C44" s="5"/>
      <c r="D44" s="54" t="s">
        <v>17</v>
      </c>
      <c r="E44" s="54" t="s">
        <v>17</v>
      </c>
      <c r="F44" s="41"/>
      <c r="G44" s="41" t="s">
        <v>13</v>
      </c>
      <c r="H44" s="57"/>
      <c r="I44" s="57"/>
      <c r="J44" s="57"/>
      <c r="L44" s="5"/>
      <c r="M44" s="5"/>
    </row>
    <row r="45" spans="3:13" ht="26.25" customHeight="1">
      <c r="C45" s="5"/>
      <c r="D45" s="54" t="s">
        <v>17</v>
      </c>
      <c r="E45" s="54" t="s">
        <v>17</v>
      </c>
      <c r="F45" s="41"/>
      <c r="G45" s="41" t="s">
        <v>13</v>
      </c>
      <c r="H45" s="57"/>
      <c r="I45" s="57"/>
      <c r="J45" s="57"/>
      <c r="L45" s="5"/>
      <c r="M45" s="5"/>
    </row>
    <row r="46" spans="3:13" ht="26.25" customHeight="1">
      <c r="C46" s="5"/>
      <c r="D46" s="54" t="s">
        <v>17</v>
      </c>
      <c r="E46" s="54" t="s">
        <v>17</v>
      </c>
      <c r="F46" s="41"/>
      <c r="G46" s="41" t="s">
        <v>13</v>
      </c>
      <c r="H46" s="57"/>
      <c r="I46" s="57"/>
      <c r="J46" s="57"/>
      <c r="L46" s="5"/>
      <c r="M46" s="5"/>
    </row>
    <row r="47" spans="3:13" ht="26.25" customHeight="1">
      <c r="C47" s="54"/>
      <c r="D47" s="54" t="s">
        <v>17</v>
      </c>
      <c r="E47" s="54" t="s">
        <v>17</v>
      </c>
      <c r="F47" s="41"/>
      <c r="G47" s="41" t="s">
        <v>13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17</v>
      </c>
      <c r="E48" s="54" t="s">
        <v>17</v>
      </c>
      <c r="F48" s="41"/>
      <c r="G48" s="41" t="s">
        <v>13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17</v>
      </c>
      <c r="E49" s="54" t="s">
        <v>17</v>
      </c>
      <c r="F49" s="41"/>
      <c r="G49" s="41" t="s">
        <v>13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17</v>
      </c>
      <c r="E50" s="54" t="s">
        <v>17</v>
      </c>
      <c r="F50" s="41"/>
      <c r="G50" s="41" t="s">
        <v>13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17</v>
      </c>
      <c r="E51" s="54" t="s">
        <v>17</v>
      </c>
      <c r="F51" s="41"/>
      <c r="G51" s="41" t="s">
        <v>13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17</v>
      </c>
      <c r="E52" s="54" t="s">
        <v>17</v>
      </c>
      <c r="F52" s="41"/>
      <c r="G52" s="41" t="s">
        <v>13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17</v>
      </c>
      <c r="E53" s="54" t="s">
        <v>17</v>
      </c>
      <c r="F53" s="41"/>
      <c r="G53" s="41" t="s">
        <v>13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17</v>
      </c>
      <c r="E54" s="54" t="s">
        <v>17</v>
      </c>
      <c r="F54" s="41"/>
      <c r="G54" s="41" t="s">
        <v>13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17</v>
      </c>
      <c r="E55" s="54" t="s">
        <v>17</v>
      </c>
      <c r="F55" s="41"/>
      <c r="G55" s="41" t="s">
        <v>13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17</v>
      </c>
      <c r="E56" s="54" t="s">
        <v>17</v>
      </c>
      <c r="F56" s="41"/>
      <c r="G56" s="41" t="s">
        <v>13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17</v>
      </c>
      <c r="E57" s="54" t="s">
        <v>17</v>
      </c>
      <c r="F57" s="41"/>
      <c r="G57" s="41" t="s">
        <v>13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17</v>
      </c>
      <c r="E58" s="54" t="s">
        <v>17</v>
      </c>
      <c r="F58" s="41"/>
      <c r="G58" s="41" t="s">
        <v>13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17</v>
      </c>
      <c r="E59" s="54" t="s">
        <v>17</v>
      </c>
      <c r="F59" s="41"/>
      <c r="G59" s="41" t="s">
        <v>13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17</v>
      </c>
      <c r="E60" s="54" t="s">
        <v>17</v>
      </c>
      <c r="F60" s="41"/>
      <c r="G60" s="41" t="s">
        <v>13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17</v>
      </c>
      <c r="E61" s="54" t="s">
        <v>17</v>
      </c>
      <c r="F61" s="41"/>
      <c r="G61" s="41" t="s">
        <v>13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17</v>
      </c>
      <c r="E62" s="54" t="s">
        <v>17</v>
      </c>
      <c r="F62" s="41"/>
      <c r="G62" s="41" t="s">
        <v>13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17</v>
      </c>
      <c r="E63" s="54" t="s">
        <v>17</v>
      </c>
      <c r="F63" s="41"/>
      <c r="G63" s="41" t="s">
        <v>13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17</v>
      </c>
      <c r="E64" s="54" t="s">
        <v>17</v>
      </c>
      <c r="F64" s="41"/>
      <c r="G64" s="41" t="s">
        <v>13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17</v>
      </c>
      <c r="E65" s="54" t="s">
        <v>17</v>
      </c>
      <c r="F65" s="41"/>
      <c r="G65" s="41" t="s">
        <v>13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17</v>
      </c>
      <c r="E66" s="54" t="s">
        <v>17</v>
      </c>
      <c r="F66" s="41"/>
      <c r="G66" s="41" t="s">
        <v>13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17</v>
      </c>
      <c r="E67" s="54" t="s">
        <v>17</v>
      </c>
      <c r="F67" s="41"/>
      <c r="G67" s="41" t="s">
        <v>13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17</v>
      </c>
      <c r="E68" s="54" t="s">
        <v>17</v>
      </c>
      <c r="F68" s="41"/>
      <c r="G68" s="41" t="s">
        <v>13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17</v>
      </c>
      <c r="E69" s="54" t="s">
        <v>17</v>
      </c>
      <c r="F69" s="41"/>
      <c r="G69" s="41" t="s">
        <v>13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17</v>
      </c>
      <c r="E70" s="54" t="s">
        <v>17</v>
      </c>
      <c r="F70" s="41"/>
      <c r="G70" s="41" t="s">
        <v>13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17</v>
      </c>
      <c r="E71" s="54" t="s">
        <v>17</v>
      </c>
      <c r="F71" s="41"/>
      <c r="G71" s="41" t="s">
        <v>13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17</v>
      </c>
      <c r="E72" s="54" t="s">
        <v>17</v>
      </c>
      <c r="F72" s="41"/>
      <c r="G72" s="41" t="s">
        <v>13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17</v>
      </c>
      <c r="E73" s="54" t="s">
        <v>17</v>
      </c>
      <c r="F73" s="41"/>
      <c r="G73" s="41" t="s">
        <v>13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17</v>
      </c>
      <c r="E74" s="54" t="s">
        <v>17</v>
      </c>
      <c r="F74" s="41"/>
      <c r="G74" s="41" t="s">
        <v>13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17</v>
      </c>
      <c r="E75" s="54" t="s">
        <v>17</v>
      </c>
      <c r="F75" s="41"/>
      <c r="G75" s="41" t="s">
        <v>13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17</v>
      </c>
      <c r="E76" s="54" t="s">
        <v>17</v>
      </c>
      <c r="F76" s="41"/>
      <c r="G76" s="41" t="s">
        <v>13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17</v>
      </c>
      <c r="E77" s="54" t="s">
        <v>17</v>
      </c>
      <c r="F77" s="41"/>
      <c r="G77" s="41" t="s">
        <v>13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17</v>
      </c>
      <c r="E78" s="54" t="s">
        <v>17</v>
      </c>
      <c r="F78" s="41"/>
      <c r="G78" s="41" t="s">
        <v>13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17</v>
      </c>
      <c r="E79" s="54" t="s">
        <v>17</v>
      </c>
      <c r="F79" s="41"/>
      <c r="G79" s="41" t="s">
        <v>13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17</v>
      </c>
      <c r="E80" s="54" t="s">
        <v>17</v>
      </c>
      <c r="F80" s="41"/>
      <c r="G80" s="41" t="s">
        <v>13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17</v>
      </c>
      <c r="E81" s="54" t="s">
        <v>17</v>
      </c>
      <c r="F81" s="41"/>
      <c r="G81" s="41" t="s">
        <v>13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17</v>
      </c>
      <c r="E82" s="54" t="s">
        <v>17</v>
      </c>
      <c r="F82" s="41"/>
      <c r="G82" s="41" t="s">
        <v>13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17</v>
      </c>
      <c r="E83" s="54" t="s">
        <v>17</v>
      </c>
      <c r="F83" s="41"/>
      <c r="G83" s="41" t="s">
        <v>13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17</v>
      </c>
      <c r="E84" s="54" t="s">
        <v>17</v>
      </c>
      <c r="F84" s="41"/>
      <c r="G84" s="41" t="s">
        <v>13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17</v>
      </c>
      <c r="E85" s="54" t="s">
        <v>17</v>
      </c>
      <c r="F85" s="41"/>
      <c r="G85" s="41" t="s">
        <v>13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17</v>
      </c>
      <c r="E86" s="54" t="s">
        <v>17</v>
      </c>
      <c r="F86" s="41"/>
      <c r="G86" s="41" t="s">
        <v>13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17</v>
      </c>
      <c r="E87" s="54" t="s">
        <v>17</v>
      </c>
      <c r="F87" s="41"/>
      <c r="G87" s="41" t="s">
        <v>13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17</v>
      </c>
      <c r="E88" s="54" t="s">
        <v>17</v>
      </c>
      <c r="F88" s="41"/>
      <c r="G88" s="41" t="s">
        <v>13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17</v>
      </c>
      <c r="E89" s="54" t="s">
        <v>17</v>
      </c>
      <c r="F89" s="41"/>
      <c r="G89" s="41" t="s">
        <v>13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17</v>
      </c>
      <c r="E90" s="54" t="s">
        <v>17</v>
      </c>
      <c r="F90" s="41"/>
      <c r="G90" s="41" t="s">
        <v>13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17</v>
      </c>
      <c r="E91" s="54" t="s">
        <v>17</v>
      </c>
      <c r="F91" s="41"/>
      <c r="G91" s="41" t="s">
        <v>13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17</v>
      </c>
      <c r="E92" s="54" t="s">
        <v>17</v>
      </c>
      <c r="F92" s="41"/>
      <c r="G92" s="41" t="s">
        <v>13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17</v>
      </c>
      <c r="E93" s="54" t="s">
        <v>17</v>
      </c>
      <c r="F93" s="41"/>
      <c r="G93" s="41" t="s">
        <v>13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17</v>
      </c>
      <c r="E94" s="54" t="s">
        <v>17</v>
      </c>
      <c r="F94" s="41"/>
      <c r="G94" s="41" t="s">
        <v>13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17</v>
      </c>
      <c r="E95" s="54" t="s">
        <v>17</v>
      </c>
      <c r="F95" s="41"/>
      <c r="G95" s="41" t="s">
        <v>13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17</v>
      </c>
      <c r="E96" s="54" t="s">
        <v>17</v>
      </c>
      <c r="F96" s="41"/>
      <c r="G96" s="41" t="s">
        <v>13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17</v>
      </c>
      <c r="E97" s="54" t="s">
        <v>17</v>
      </c>
      <c r="F97" s="41"/>
      <c r="G97" s="41" t="s">
        <v>13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17</v>
      </c>
      <c r="E98" s="54" t="s">
        <v>17</v>
      </c>
      <c r="F98" s="41"/>
      <c r="G98" s="41" t="s">
        <v>13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17</v>
      </c>
      <c r="E99" s="54" t="s">
        <v>17</v>
      </c>
      <c r="F99" s="41"/>
      <c r="G99" s="41" t="s">
        <v>13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17</v>
      </c>
      <c r="E100" s="54" t="s">
        <v>17</v>
      </c>
      <c r="F100" s="41"/>
      <c r="G100" s="41" t="s">
        <v>13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100">
    <cfRule type="containsText" dxfId="9" priority="10" operator="containsText" text="White">
      <formula>NOT(ISERROR(SEARCH("White",F1)))</formula>
    </cfRule>
  </conditionalFormatting>
  <conditionalFormatting sqref="J1:J7 J10:J11 J13 J15:J45 J47:J1048576">
    <cfRule type="containsText" dxfId="8" priority="7" operator="containsText" text="120">
      <formula>NOT(ISERROR(SEARCH("120",J1)))</formula>
    </cfRule>
    <cfRule type="containsText" dxfId="7" priority="8" operator="containsText" text="10">
      <formula>NOT(ISERROR(SEARCH("10",J1)))</formula>
    </cfRule>
  </conditionalFormatting>
  <conditionalFormatting sqref="F8:F9">
    <cfRule type="containsText" dxfId="6" priority="5" operator="containsText" text="white">
      <formula>NOT(ISERROR(SEARCH("white",F8)))</formula>
    </cfRule>
    <cfRule type="containsText" dxfId="5" priority="6" operator="containsText" text="YELLOW">
      <formula>NOT(ISERROR(SEARCH("YELLOW",F8)))</formula>
    </cfRule>
  </conditionalFormatting>
  <conditionalFormatting sqref="J8:J9">
    <cfRule type="containsText" dxfId="4" priority="2" operator="containsText" text="120">
      <formula>NOT(ISERROR(SEARCH("120",J8)))</formula>
    </cfRule>
    <cfRule type="containsText" dxfId="3" priority="3" operator="containsText" text="10">
      <formula>NOT(ISERROR(SEARCH("10",J8)))</formula>
    </cfRule>
  </conditionalFormatting>
  <conditionalFormatting sqref="F1:F1048576">
    <cfRule type="containsText" dxfId="2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G1:G5 G7:G1048576" xr:uid="{00000000-0002-0000-0300-000000000000}">
      <formula1>"null"</formula1>
    </dataValidation>
    <dataValidation type="list" allowBlank="1" showInputMessage="1" showErrorMessage="1" sqref="D2:D5 D7:D1048576" xr:uid="{00000000-0002-0000-0300-000001000000}">
      <formula1>"String"</formula1>
    </dataValidation>
    <dataValidation type="list" allowBlank="1" showInputMessage="1" showErrorMessage="1" sqref="E2:E5 E7:E1048576" xr:uid="{00000000-0002-0000-0300-000002000000}">
      <formula1>"String,No Data"</formula1>
    </dataValidation>
    <dataValidation type="list" allowBlank="1" showInputMessage="1" showErrorMessage="1" sqref="F2:F5 F7:F1048576" xr:uid="{00000000-0002-0000-0300-000003000000}">
      <formula1>"White,No Data"</formula1>
    </dataValidation>
  </dataValidation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FF00"/>
  </sheetPr>
  <dimension ref="D1:S30"/>
  <sheetViews>
    <sheetView showGridLines="0" view="pageBreakPreview" topLeftCell="B1" zoomScaleNormal="100" zoomScaleSheetLayoutView="100" zoomScalePageLayoutView="70" workbookViewId="0">
      <selection activeCell="J11" sqref="J11"/>
    </sheetView>
  </sheetViews>
  <sheetFormatPr defaultColWidth="9.109375" defaultRowHeight="14.4"/>
  <cols>
    <col min="1" max="14" width="9.109375" style="25" customWidth="1"/>
    <col min="15" max="15" width="16.88671875" style="25" customWidth="1"/>
    <col min="16" max="16" width="16.44140625" style="25" customWidth="1"/>
    <col min="17" max="17" width="16" style="25" customWidth="1"/>
    <col min="18" max="21" width="9.109375" style="25" customWidth="1"/>
    <col min="22" max="16384" width="9.109375" style="25"/>
  </cols>
  <sheetData>
    <row r="1" spans="4:19" ht="15" customHeight="1">
      <c r="G1" s="107" t="s">
        <v>16</v>
      </c>
      <c r="H1" s="87"/>
      <c r="I1" s="87"/>
      <c r="J1" s="88"/>
      <c r="K1" s="92" t="s">
        <v>0</v>
      </c>
      <c r="L1" s="87"/>
      <c r="M1" s="87"/>
      <c r="N1" s="69"/>
      <c r="O1" s="103" t="s">
        <v>15</v>
      </c>
      <c r="P1" s="87"/>
      <c r="Q1" s="87"/>
      <c r="R1" s="106"/>
      <c r="S1" s="63"/>
    </row>
    <row r="2" spans="4:19" ht="15" customHeight="1">
      <c r="D2" s="27"/>
      <c r="E2" s="27"/>
      <c r="F2" s="27"/>
      <c r="G2" s="86"/>
      <c r="H2" s="87"/>
      <c r="I2" s="87"/>
      <c r="J2" s="88"/>
      <c r="K2" s="93"/>
      <c r="L2" s="71"/>
      <c r="M2" s="71"/>
      <c r="N2" s="72"/>
      <c r="O2" s="86"/>
      <c r="P2" s="87"/>
      <c r="Q2" s="87"/>
      <c r="R2" s="70"/>
      <c r="S2" s="72"/>
    </row>
    <row r="3" spans="4:19" ht="15" customHeight="1">
      <c r="D3" s="27"/>
      <c r="E3" s="27"/>
      <c r="F3" s="27"/>
      <c r="G3" s="95"/>
      <c r="H3" s="62"/>
      <c r="I3" s="62"/>
      <c r="J3" s="63"/>
      <c r="K3" s="95"/>
      <c r="L3" s="62"/>
      <c r="M3" s="62"/>
      <c r="N3" s="63"/>
      <c r="O3" s="95"/>
      <c r="P3" s="62"/>
      <c r="Q3" s="63"/>
      <c r="R3" s="95"/>
      <c r="S3" s="63"/>
    </row>
    <row r="4" spans="4:19" ht="15.75" customHeight="1">
      <c r="D4" s="27"/>
      <c r="E4" s="27"/>
      <c r="F4" s="27"/>
      <c r="G4" s="70"/>
      <c r="H4" s="71"/>
      <c r="I4" s="71"/>
      <c r="J4" s="72"/>
      <c r="K4" s="70"/>
      <c r="L4" s="71"/>
      <c r="M4" s="71"/>
      <c r="N4" s="72"/>
      <c r="O4" s="70"/>
      <c r="P4" s="71"/>
      <c r="Q4" s="72"/>
      <c r="R4" s="70"/>
      <c r="S4" s="72"/>
    </row>
    <row r="5" spans="4:19" ht="37.200000000000003" customHeight="1" thickBot="1">
      <c r="D5" s="27"/>
      <c r="E5" s="27"/>
      <c r="F5" s="27"/>
      <c r="G5" s="28"/>
      <c r="H5" s="28"/>
      <c r="I5" s="28"/>
      <c r="J5" s="28"/>
      <c r="K5" s="28"/>
      <c r="L5" s="28"/>
      <c r="M5" s="28"/>
      <c r="N5" s="28"/>
      <c r="O5" s="29"/>
      <c r="P5" s="29"/>
      <c r="Q5" s="29"/>
      <c r="R5" s="29"/>
      <c r="S5" s="29"/>
    </row>
    <row r="6" spans="4:19" ht="25.5" customHeight="1" thickBot="1">
      <c r="D6" s="27"/>
      <c r="E6" s="27"/>
      <c r="F6" s="27"/>
      <c r="G6" s="80" t="s">
        <v>18</v>
      </c>
      <c r="H6" s="81"/>
      <c r="I6" s="81"/>
      <c r="J6" s="82"/>
      <c r="K6" s="80" t="s">
        <v>14</v>
      </c>
      <c r="L6" s="81"/>
      <c r="M6" s="81"/>
      <c r="N6" s="82"/>
      <c r="O6" s="30" t="s">
        <v>19</v>
      </c>
      <c r="P6" s="30" t="s">
        <v>20</v>
      </c>
      <c r="Q6" s="58" t="s">
        <v>21</v>
      </c>
      <c r="R6" s="99" t="s">
        <v>17</v>
      </c>
      <c r="S6" s="100"/>
    </row>
    <row r="7" spans="4:19" ht="15" customHeight="1">
      <c r="D7" s="27"/>
      <c r="E7" s="27"/>
      <c r="F7" s="27"/>
      <c r="G7" s="108" t="e">
        <f>LOOKUP(2,1/(Shrink!F:F="Machine S"),Shrink!J:J)</f>
        <v>#N/A</v>
      </c>
      <c r="H7" s="87"/>
      <c r="I7" s="87"/>
      <c r="J7" s="88"/>
      <c r="K7" s="96" t="e">
        <f t="array" ref="K7">LOOKUP(2,1/(Pallet!E:E="Cartoon"),Pallet!J:J)</f>
        <v>#N/A</v>
      </c>
      <c r="L7" s="84"/>
      <c r="M7" s="84"/>
      <c r="N7" s="85"/>
      <c r="O7" s="77" t="e">
        <f>LOOKUP(2,1/(Card!F:F=1028),Card!J:J)</f>
        <v>#N/A</v>
      </c>
      <c r="P7" s="77" t="e">
        <f>LOOKUP(2,1/(Card!F:F=1031),Card!J:J)</f>
        <v>#N/A</v>
      </c>
      <c r="Q7" s="101" t="e">
        <f>LOOKUP(2,1/(Card!F:F=3024),Card!J:J)</f>
        <v>#N/A</v>
      </c>
      <c r="R7" s="97" t="e">
        <f t="array" ref="R7">LOOKUP(2,1/(String!F:F="White"),String!J:J)</f>
        <v>#N/A</v>
      </c>
      <c r="S7" s="98"/>
    </row>
    <row r="8" spans="4:19" ht="15" customHeight="1">
      <c r="D8" s="27"/>
      <c r="E8" s="27"/>
      <c r="F8" s="27"/>
      <c r="G8" s="86"/>
      <c r="H8" s="87"/>
      <c r="I8" s="87"/>
      <c r="J8" s="88"/>
      <c r="K8" s="86"/>
      <c r="L8" s="87"/>
      <c r="M8" s="87"/>
      <c r="N8" s="88"/>
      <c r="O8" s="78"/>
      <c r="P8" s="78"/>
      <c r="Q8" s="86"/>
      <c r="R8" s="86"/>
      <c r="S8" s="69"/>
    </row>
    <row r="9" spans="4:19" ht="15.75" customHeight="1" thickBot="1">
      <c r="D9" s="27"/>
      <c r="E9" s="27"/>
      <c r="F9" s="27"/>
      <c r="G9" s="89"/>
      <c r="H9" s="90"/>
      <c r="I9" s="90"/>
      <c r="J9" s="91"/>
      <c r="K9" s="89"/>
      <c r="L9" s="90"/>
      <c r="M9" s="90"/>
      <c r="N9" s="91"/>
      <c r="O9" s="79"/>
      <c r="P9" s="79"/>
      <c r="Q9" s="89"/>
      <c r="R9" s="93"/>
      <c r="S9" s="72"/>
    </row>
    <row r="10" spans="4:19"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9"/>
      <c r="P10" s="29"/>
      <c r="Q10" s="29"/>
      <c r="R10" s="29"/>
      <c r="S10" s="29"/>
    </row>
    <row r="11" spans="4:19"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9"/>
      <c r="P11" s="29"/>
      <c r="Q11" s="29"/>
      <c r="R11" s="29"/>
      <c r="S11" s="29"/>
    </row>
    <row r="12" spans="4:19" ht="15" customHeight="1" thickBot="1"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9"/>
      <c r="P12" s="29"/>
      <c r="Q12" s="29"/>
      <c r="R12" s="29"/>
      <c r="S12" s="29"/>
    </row>
    <row r="13" spans="4:19" ht="29.25" customHeight="1" thickBot="1">
      <c r="D13" s="27"/>
      <c r="E13" s="27"/>
      <c r="F13" s="27"/>
      <c r="G13" s="80" t="s">
        <v>22</v>
      </c>
      <c r="H13" s="81"/>
      <c r="I13" s="81"/>
      <c r="J13" s="82"/>
      <c r="K13" s="80" t="s">
        <v>23</v>
      </c>
      <c r="L13" s="81"/>
      <c r="M13" s="81"/>
      <c r="N13" s="82"/>
      <c r="O13" s="30" t="s">
        <v>24</v>
      </c>
      <c r="P13" s="30" t="s">
        <v>25</v>
      </c>
      <c r="Q13" s="30" t="s">
        <v>26</v>
      </c>
      <c r="R13" s="29"/>
      <c r="S13" s="29"/>
    </row>
    <row r="14" spans="4:19" ht="15" customHeight="1">
      <c r="D14" s="27"/>
      <c r="E14" s="27"/>
      <c r="F14" s="27"/>
      <c r="G14" s="83" t="e">
        <f>LOOKUP(2,1/(Shrink!F:F="Machine B"),Shrink!J:J)</f>
        <v>#N/A</v>
      </c>
      <c r="H14" s="84"/>
      <c r="I14" s="84"/>
      <c r="J14" s="85"/>
      <c r="K14" s="94" t="e">
        <f>LOOKUP(2,1/(Pallet!E:E="Wood"),Pallet!J:J)</f>
        <v>#N/A</v>
      </c>
      <c r="L14" s="84"/>
      <c r="M14" s="84"/>
      <c r="N14" s="85"/>
      <c r="O14" s="77" t="e">
        <f>LOOKUP(2,1/(Card!F:F=3023),Card!J:J)</f>
        <v>#N/A</v>
      </c>
      <c r="P14" s="77" t="e">
        <f>LOOKUP(2,1/(Card!F:F=3014),Card!J:J)</f>
        <v>#N/A</v>
      </c>
      <c r="Q14" s="77" t="e">
        <f>LOOKUP(2,1/(Card!F:F=2009),Card!J:J)</f>
        <v>#N/A</v>
      </c>
      <c r="R14" s="29"/>
      <c r="S14" s="29"/>
    </row>
    <row r="15" spans="4:19" ht="15" customHeight="1">
      <c r="D15" s="27"/>
      <c r="E15" s="27"/>
      <c r="F15" s="27"/>
      <c r="G15" s="86"/>
      <c r="H15" s="87"/>
      <c r="I15" s="87"/>
      <c r="J15" s="88"/>
      <c r="K15" s="86"/>
      <c r="L15" s="87"/>
      <c r="M15" s="87"/>
      <c r="N15" s="88"/>
      <c r="O15" s="78"/>
      <c r="P15" s="78"/>
      <c r="Q15" s="78"/>
      <c r="R15" s="29"/>
      <c r="S15" s="29"/>
    </row>
    <row r="16" spans="4:19" ht="15.75" customHeight="1" thickBot="1">
      <c r="D16" s="27"/>
      <c r="E16" s="27"/>
      <c r="F16" s="27"/>
      <c r="G16" s="89"/>
      <c r="H16" s="90"/>
      <c r="I16" s="90"/>
      <c r="J16" s="91"/>
      <c r="K16" s="89"/>
      <c r="L16" s="90"/>
      <c r="M16" s="90"/>
      <c r="N16" s="91"/>
      <c r="O16" s="79"/>
      <c r="P16" s="79"/>
      <c r="Q16" s="79"/>
      <c r="R16" s="29"/>
      <c r="S16" s="29"/>
    </row>
    <row r="17" spans="4:19"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9"/>
      <c r="P17" s="29"/>
      <c r="Q17" s="29"/>
      <c r="R17" s="29"/>
      <c r="S17" s="29"/>
    </row>
    <row r="18" spans="4:19"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9"/>
      <c r="P18" s="29"/>
      <c r="Q18" s="29"/>
      <c r="R18" s="29"/>
      <c r="S18" s="29"/>
    </row>
    <row r="19" spans="4:19" ht="15" customHeight="1" thickBot="1"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9"/>
      <c r="P19" s="29"/>
      <c r="Q19" s="29"/>
      <c r="R19" s="29"/>
      <c r="S19" s="29"/>
    </row>
    <row r="20" spans="4:19" ht="29.4" customHeight="1" thickBot="1">
      <c r="D20" s="27"/>
      <c r="E20" s="27"/>
      <c r="F20" s="27"/>
      <c r="G20" s="80" t="s">
        <v>27</v>
      </c>
      <c r="H20" s="81"/>
      <c r="I20" s="81"/>
      <c r="J20" s="82"/>
      <c r="K20" s="102"/>
      <c r="L20" s="87"/>
      <c r="M20" s="87"/>
      <c r="N20" s="87"/>
      <c r="O20" s="30" t="s">
        <v>28</v>
      </c>
      <c r="P20" s="30" t="s">
        <v>29</v>
      </c>
      <c r="Q20" s="30" t="s">
        <v>30</v>
      </c>
      <c r="R20" s="29"/>
      <c r="S20" s="29"/>
    </row>
    <row r="21" spans="4:19" ht="15" customHeight="1">
      <c r="D21" s="27"/>
      <c r="E21" s="27"/>
      <c r="F21" s="27"/>
      <c r="G21" s="104" t="e">
        <f>LOOKUP(2,1/(Shrink!F:F="Manual"),Shrink!J:J)</f>
        <v>#N/A</v>
      </c>
      <c r="H21" s="84"/>
      <c r="I21" s="84"/>
      <c r="J21" s="85"/>
      <c r="K21" s="105"/>
      <c r="L21" s="87"/>
      <c r="M21" s="87"/>
      <c r="N21" s="87"/>
      <c r="O21" s="77" t="e">
        <f>LOOKUP(2,1/(Card!F:F=2013),Card!J:J)</f>
        <v>#N/A</v>
      </c>
      <c r="P21" s="77" t="e">
        <f>LOOKUP(2,1/(Card!F:F=1029),Card!J:J)</f>
        <v>#N/A</v>
      </c>
      <c r="Q21" s="77" t="e">
        <f>LOOKUP(2,1/(Card!F:F=1032),Card!J:J)</f>
        <v>#N/A</v>
      </c>
      <c r="R21" s="29"/>
      <c r="S21" s="29"/>
    </row>
    <row r="22" spans="4:19" ht="15" customHeight="1">
      <c r="D22" s="27"/>
      <c r="E22" s="27"/>
      <c r="F22" s="27"/>
      <c r="G22" s="86"/>
      <c r="H22" s="87"/>
      <c r="I22" s="87"/>
      <c r="J22" s="88"/>
      <c r="K22" s="87"/>
      <c r="L22" s="87"/>
      <c r="M22" s="87"/>
      <c r="N22" s="87"/>
      <c r="O22" s="78"/>
      <c r="P22" s="78"/>
      <c r="Q22" s="78"/>
      <c r="R22" s="29"/>
      <c r="S22" s="29"/>
    </row>
    <row r="23" spans="4:19" ht="15.75" customHeight="1" thickBot="1">
      <c r="D23" s="27"/>
      <c r="E23" s="27"/>
      <c r="F23" s="27"/>
      <c r="G23" s="89"/>
      <c r="H23" s="90"/>
      <c r="I23" s="90"/>
      <c r="J23" s="91"/>
      <c r="K23" s="87"/>
      <c r="L23" s="87"/>
      <c r="M23" s="87"/>
      <c r="N23" s="87"/>
      <c r="O23" s="79"/>
      <c r="P23" s="79"/>
      <c r="Q23" s="79"/>
      <c r="R23" s="29"/>
      <c r="S23" s="29"/>
    </row>
    <row r="24" spans="4:19" ht="15" customHeight="1" thickBot="1"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9"/>
      <c r="P24" s="29"/>
      <c r="Q24" s="29"/>
      <c r="R24" s="29"/>
      <c r="S24" s="29"/>
    </row>
    <row r="25" spans="4:19" ht="29.4" customHeight="1" thickBot="1"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30" t="s">
        <v>31</v>
      </c>
      <c r="P25" s="30" t="s">
        <v>32</v>
      </c>
      <c r="Q25" s="29"/>
      <c r="R25" s="29"/>
      <c r="S25" s="29"/>
    </row>
    <row r="26" spans="4:19" ht="15" customHeight="1"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77" t="e">
        <f>LOOKUP(2,1/(Card!F:F=1016),Card!J:J)</f>
        <v>#N/A</v>
      </c>
      <c r="P26" s="77" t="e">
        <f>LOOKUP(2,1/(Card!F:F=3025),Card!J:J)</f>
        <v>#N/A</v>
      </c>
      <c r="Q26" s="29"/>
      <c r="R26" s="29"/>
      <c r="S26" s="29"/>
    </row>
    <row r="27" spans="4:19" ht="28.5" customHeight="1">
      <c r="D27" s="27"/>
      <c r="E27" s="27"/>
      <c r="F27" s="27"/>
      <c r="G27" s="102"/>
      <c r="H27" s="87"/>
      <c r="I27" s="87"/>
      <c r="J27" s="87"/>
      <c r="K27" s="27"/>
      <c r="L27" s="27"/>
      <c r="M27" s="27"/>
      <c r="N27" s="27"/>
      <c r="O27" s="78"/>
      <c r="P27" s="78"/>
      <c r="Q27" s="29"/>
      <c r="R27" s="29"/>
      <c r="S27" s="29"/>
    </row>
    <row r="28" spans="4:19" ht="15" customHeight="1" thickBot="1">
      <c r="D28" s="27"/>
      <c r="E28" s="27"/>
      <c r="F28" s="27"/>
      <c r="G28" s="105"/>
      <c r="H28" s="87"/>
      <c r="I28" s="87"/>
      <c r="J28" s="87"/>
      <c r="K28" s="27"/>
      <c r="L28" s="27"/>
      <c r="M28" s="27"/>
      <c r="N28" s="27"/>
      <c r="O28" s="79"/>
      <c r="P28" s="79"/>
      <c r="Q28" s="29"/>
      <c r="R28" s="29"/>
      <c r="S28" s="29"/>
    </row>
    <row r="29" spans="4:19" ht="15" customHeight="1">
      <c r="D29" s="27"/>
      <c r="E29" s="27"/>
      <c r="F29" s="27"/>
      <c r="G29" s="87"/>
      <c r="H29" s="87"/>
      <c r="I29" s="87"/>
      <c r="J29" s="87"/>
      <c r="K29" s="27"/>
      <c r="L29" s="27"/>
      <c r="M29" s="27"/>
      <c r="N29" s="27"/>
      <c r="O29" s="29"/>
      <c r="P29" s="29"/>
      <c r="Q29" s="29"/>
      <c r="R29" s="29"/>
      <c r="S29" s="29"/>
    </row>
    <row r="30" spans="4:19" ht="15" customHeight="1">
      <c r="D30" s="27"/>
      <c r="E30" s="27"/>
      <c r="F30" s="27"/>
      <c r="G30" s="87"/>
      <c r="H30" s="87"/>
      <c r="I30" s="87"/>
      <c r="J30" s="87"/>
      <c r="K30" s="27"/>
      <c r="L30" s="27"/>
      <c r="M30" s="27"/>
      <c r="N30" s="27"/>
      <c r="O30" s="29"/>
      <c r="P30" s="29"/>
      <c r="Q30" s="29"/>
      <c r="R30" s="29"/>
      <c r="S30" s="29"/>
    </row>
  </sheetData>
  <mergeCells count="35">
    <mergeCell ref="R1:S2"/>
    <mergeCell ref="G1:J2"/>
    <mergeCell ref="Q14:Q16"/>
    <mergeCell ref="G6:J6"/>
    <mergeCell ref="G13:J13"/>
    <mergeCell ref="G7:J9"/>
    <mergeCell ref="K3:N4"/>
    <mergeCell ref="G27:J27"/>
    <mergeCell ref="O1:Q2"/>
    <mergeCell ref="P26:P28"/>
    <mergeCell ref="G21:J23"/>
    <mergeCell ref="Q21:Q23"/>
    <mergeCell ref="K21:N23"/>
    <mergeCell ref="K20:N20"/>
    <mergeCell ref="O26:O28"/>
    <mergeCell ref="P21:P23"/>
    <mergeCell ref="G28:J30"/>
    <mergeCell ref="R3:S4"/>
    <mergeCell ref="G3:J4"/>
    <mergeCell ref="K7:N9"/>
    <mergeCell ref="O7:O9"/>
    <mergeCell ref="R7:S9"/>
    <mergeCell ref="R6:S6"/>
    <mergeCell ref="Q7:Q9"/>
    <mergeCell ref="O21:O23"/>
    <mergeCell ref="P7:P9"/>
    <mergeCell ref="G20:J20"/>
    <mergeCell ref="G14:J16"/>
    <mergeCell ref="K1:N2"/>
    <mergeCell ref="K14:N16"/>
    <mergeCell ref="O14:O16"/>
    <mergeCell ref="O3:Q4"/>
    <mergeCell ref="K6:N6"/>
    <mergeCell ref="K13:N13"/>
    <mergeCell ref="P14:P16"/>
  </mergeCells>
  <pageMargins left="1" right="1" top="1" bottom="1" header="0.5" footer="0.5"/>
  <pageSetup paperSize="9" scale="87" orientation="landscape" r:id="rId1"/>
  <rowBreaks count="1" manualBreakCount="1">
    <brk id="28" min="6" max="16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I217"/>
  <sheetViews>
    <sheetView tabSelected="1" zoomScale="80" zoomScaleNormal="80" workbookViewId="0">
      <selection activeCell="H2" sqref="A2:H2"/>
    </sheetView>
  </sheetViews>
  <sheetFormatPr defaultRowHeight="14.4"/>
  <cols>
    <col min="1" max="1" width="32.88671875" style="13" customWidth="1"/>
    <col min="2" max="2" width="28.44140625" style="16" customWidth="1"/>
    <col min="3" max="4" width="28.44140625" customWidth="1"/>
    <col min="5" max="5" width="37" customWidth="1"/>
    <col min="6" max="7" width="28.44140625" customWidth="1"/>
    <col min="8" max="8" width="28.44140625" style="35" customWidth="1"/>
    <col min="9" max="9" width="25.6640625" style="19" customWidth="1"/>
  </cols>
  <sheetData>
    <row r="1" spans="1:9" ht="25.8" customHeight="1">
      <c r="A1" s="6" t="s">
        <v>33</v>
      </c>
      <c r="B1" s="17" t="s">
        <v>34</v>
      </c>
      <c r="C1" s="7" t="s">
        <v>35</v>
      </c>
      <c r="D1" s="7" t="s">
        <v>36</v>
      </c>
      <c r="E1" s="7" t="s">
        <v>5</v>
      </c>
      <c r="F1" s="7" t="s">
        <v>6</v>
      </c>
      <c r="G1" s="8" t="s">
        <v>4</v>
      </c>
      <c r="H1" s="9" t="s">
        <v>3</v>
      </c>
      <c r="I1" s="23" t="s">
        <v>37</v>
      </c>
    </row>
    <row r="2" spans="1:9" s="5" customFormat="1" ht="31.5" customHeight="1">
      <c r="A2" s="10"/>
      <c r="B2" s="14"/>
      <c r="C2" s="4"/>
      <c r="D2" s="4"/>
      <c r="E2" s="3"/>
      <c r="F2" s="3"/>
      <c r="G2" s="3"/>
      <c r="H2" s="2"/>
      <c r="I2" s="22"/>
    </row>
    <row r="3" spans="1:9" s="5" customFormat="1" ht="31.5" customHeight="1">
      <c r="A3" s="10"/>
      <c r="B3" s="14"/>
      <c r="C3" s="4"/>
      <c r="D3" s="4"/>
      <c r="E3" s="3"/>
      <c r="F3" s="3"/>
      <c r="G3" s="3"/>
      <c r="H3" s="2"/>
      <c r="I3" s="22"/>
    </row>
    <row r="4" spans="1:9" s="5" customFormat="1" ht="31.5" customHeight="1">
      <c r="A4" s="10"/>
      <c r="B4" s="14"/>
      <c r="C4" s="4"/>
      <c r="D4" s="4"/>
      <c r="E4" s="3"/>
      <c r="F4" s="3"/>
      <c r="G4" s="3"/>
      <c r="H4" s="2"/>
      <c r="I4" s="22"/>
    </row>
    <row r="5" spans="1:9" s="5" customFormat="1" ht="31.5" customHeight="1">
      <c r="A5" s="10"/>
      <c r="B5" s="20"/>
      <c r="C5" s="4"/>
      <c r="D5" s="4"/>
      <c r="E5" s="3"/>
      <c r="F5" s="3"/>
      <c r="G5" s="3"/>
      <c r="H5" s="2"/>
      <c r="I5" s="22"/>
    </row>
    <row r="6" spans="1:9" s="5" customFormat="1" ht="31.5" customHeight="1">
      <c r="A6" s="10"/>
      <c r="B6" s="20"/>
      <c r="C6" s="4"/>
      <c r="D6" s="4"/>
      <c r="E6" s="3"/>
      <c r="F6" s="3"/>
      <c r="G6" s="3"/>
      <c r="H6" s="2"/>
      <c r="I6" s="22"/>
    </row>
    <row r="7" spans="1:9" s="5" customFormat="1" ht="31.5" customHeight="1">
      <c r="A7" s="10"/>
      <c r="B7" s="20"/>
      <c r="C7" s="4"/>
      <c r="D7" s="4"/>
      <c r="E7" s="3"/>
      <c r="F7" s="3"/>
      <c r="G7" s="3"/>
      <c r="H7" s="2"/>
      <c r="I7" s="22"/>
    </row>
    <row r="8" spans="1:9" s="5" customFormat="1" ht="31.5" customHeight="1">
      <c r="A8" s="10"/>
      <c r="B8" s="20"/>
      <c r="C8" s="4"/>
      <c r="D8" s="4"/>
      <c r="E8" s="3"/>
      <c r="F8" s="3"/>
      <c r="G8" s="3"/>
      <c r="H8" s="2"/>
      <c r="I8" s="22"/>
    </row>
    <row r="9" spans="1:9" s="5" customFormat="1" ht="31.5" customHeight="1">
      <c r="A9" s="10"/>
      <c r="B9" s="20"/>
      <c r="C9" s="4"/>
      <c r="D9" s="4"/>
      <c r="E9" s="3"/>
      <c r="F9" s="3"/>
      <c r="G9" s="3"/>
      <c r="H9" s="2"/>
      <c r="I9" s="22"/>
    </row>
    <row r="10" spans="1:9" s="5" customFormat="1" ht="31.5" customHeight="1">
      <c r="A10" s="10"/>
      <c r="B10" s="20"/>
      <c r="C10" s="3"/>
      <c r="D10" s="3"/>
      <c r="E10" s="3"/>
      <c r="F10" s="3"/>
      <c r="G10" s="3"/>
      <c r="H10" s="2"/>
      <c r="I10" s="22"/>
    </row>
    <row r="11" spans="1:9" s="5" customFormat="1" ht="31.5" customHeight="1">
      <c r="A11" s="10"/>
      <c r="B11" s="20"/>
      <c r="C11" s="3"/>
      <c r="D11" s="3"/>
      <c r="E11" s="3"/>
      <c r="F11" s="3"/>
      <c r="G11" s="3"/>
      <c r="H11" s="2"/>
      <c r="I11" s="22"/>
    </row>
    <row r="12" spans="1:9" s="5" customFormat="1" ht="31.5" customHeight="1">
      <c r="A12" s="10"/>
      <c r="B12" s="20"/>
      <c r="C12" s="3"/>
      <c r="D12" s="3"/>
      <c r="E12" s="3"/>
      <c r="F12" s="3"/>
      <c r="G12" s="3"/>
      <c r="H12" s="2"/>
      <c r="I12" s="22"/>
    </row>
    <row r="13" spans="1:9" s="5" customFormat="1" ht="31.5" customHeight="1">
      <c r="A13" s="10"/>
      <c r="B13" s="20"/>
      <c r="C13" s="3"/>
      <c r="D13" s="3"/>
      <c r="E13" s="3"/>
      <c r="F13" s="3"/>
      <c r="G13" s="3"/>
      <c r="H13" s="2"/>
      <c r="I13" s="22"/>
    </row>
    <row r="14" spans="1:9" s="5" customFormat="1" ht="31.5" customHeight="1">
      <c r="A14" s="10"/>
      <c r="B14" s="20"/>
      <c r="C14" s="3"/>
      <c r="D14" s="3"/>
      <c r="E14" s="3"/>
      <c r="F14" s="3"/>
      <c r="G14" s="3"/>
      <c r="H14" s="2"/>
      <c r="I14" s="22"/>
    </row>
    <row r="15" spans="1:9" s="5" customFormat="1" ht="31.5" customHeight="1">
      <c r="A15" s="10"/>
      <c r="B15" s="20"/>
      <c r="C15" s="3"/>
      <c r="D15" s="3"/>
      <c r="E15" s="3"/>
      <c r="F15" s="3"/>
      <c r="G15" s="3"/>
      <c r="H15" s="2"/>
      <c r="I15" s="22"/>
    </row>
    <row r="16" spans="1:9" s="5" customFormat="1" ht="31.5" customHeight="1">
      <c r="A16" s="10"/>
      <c r="B16" s="20"/>
      <c r="C16" s="3"/>
      <c r="D16" s="3"/>
      <c r="E16" s="3"/>
      <c r="F16" s="3"/>
      <c r="G16" s="3"/>
      <c r="H16" s="2"/>
      <c r="I16" s="22"/>
    </row>
    <row r="17" spans="1:9" s="5" customFormat="1" ht="31.5" customHeight="1">
      <c r="A17" s="10"/>
      <c r="B17" s="20"/>
      <c r="C17" s="3"/>
      <c r="D17" s="3"/>
      <c r="E17" s="3"/>
      <c r="F17" s="3"/>
      <c r="G17" s="3"/>
      <c r="H17" s="2"/>
      <c r="I17" s="22"/>
    </row>
    <row r="18" spans="1:9" s="5" customFormat="1" ht="31.5" customHeight="1">
      <c r="A18" s="10"/>
      <c r="B18" s="20"/>
      <c r="C18" s="3"/>
      <c r="D18" s="3"/>
      <c r="E18" s="3"/>
      <c r="F18" s="3"/>
      <c r="G18" s="3"/>
      <c r="H18" s="2"/>
      <c r="I18" s="22"/>
    </row>
    <row r="19" spans="1:9" s="5" customFormat="1" ht="31.5" customHeight="1">
      <c r="A19" s="10"/>
      <c r="B19" s="20"/>
      <c r="C19" s="3"/>
      <c r="D19" s="3"/>
      <c r="E19" s="3"/>
      <c r="F19" s="3"/>
      <c r="G19" s="3"/>
      <c r="H19" s="2"/>
      <c r="I19" s="22"/>
    </row>
    <row r="20" spans="1:9" s="5" customFormat="1" ht="31.5" customHeight="1">
      <c r="A20" s="10"/>
      <c r="B20" s="20"/>
      <c r="C20" s="3"/>
      <c r="D20" s="3"/>
      <c r="E20" s="3"/>
      <c r="F20" s="3"/>
      <c r="G20" s="3"/>
      <c r="H20" s="2"/>
      <c r="I20" s="22"/>
    </row>
    <row r="21" spans="1:9" s="5" customFormat="1" ht="31.5" customHeight="1">
      <c r="A21" s="11"/>
      <c r="B21" s="21"/>
      <c r="H21" s="34"/>
      <c r="I21" s="22"/>
    </row>
    <row r="22" spans="1:9" s="5" customFormat="1" ht="31.5" customHeight="1">
      <c r="A22" s="11"/>
      <c r="B22" s="21"/>
      <c r="H22" s="34"/>
      <c r="I22" s="22"/>
    </row>
    <row r="23" spans="1:9" s="5" customFormat="1" ht="31.5" customHeight="1">
      <c r="A23" s="11"/>
      <c r="B23" s="15"/>
      <c r="H23" s="34"/>
      <c r="I23" s="22"/>
    </row>
    <row r="24" spans="1:9" s="5" customFormat="1" ht="31.5" customHeight="1">
      <c r="A24" s="11"/>
      <c r="B24" s="15"/>
      <c r="H24" s="34"/>
      <c r="I24" s="22"/>
    </row>
    <row r="25" spans="1:9" s="5" customFormat="1" ht="31.5" customHeight="1">
      <c r="A25" s="11"/>
      <c r="B25" s="15"/>
      <c r="H25" s="34"/>
      <c r="I25" s="22"/>
    </row>
    <row r="26" spans="1:9" s="5" customFormat="1" ht="31.5" customHeight="1">
      <c r="A26" s="11"/>
      <c r="B26" s="15"/>
      <c r="H26" s="34"/>
      <c r="I26" s="22"/>
    </row>
    <row r="27" spans="1:9" s="5" customFormat="1" ht="31.5" customHeight="1">
      <c r="A27" s="11"/>
      <c r="B27" s="15"/>
      <c r="H27" s="34"/>
      <c r="I27" s="22"/>
    </row>
    <row r="28" spans="1:9" s="5" customFormat="1" ht="31.5" customHeight="1">
      <c r="A28" s="11"/>
      <c r="B28" s="15"/>
      <c r="H28" s="34"/>
      <c r="I28" s="22"/>
    </row>
    <row r="29" spans="1:9" s="5" customFormat="1" ht="31.5" customHeight="1">
      <c r="A29" s="11"/>
      <c r="B29" s="15"/>
      <c r="H29" s="34"/>
      <c r="I29" s="22"/>
    </row>
    <row r="30" spans="1:9" s="5" customFormat="1" ht="31.5" customHeight="1">
      <c r="A30" s="11"/>
      <c r="B30" s="15"/>
      <c r="H30" s="34"/>
      <c r="I30" s="22"/>
    </row>
    <row r="31" spans="1:9" s="5" customFormat="1" ht="31.5" customHeight="1">
      <c r="A31" s="11"/>
      <c r="B31" s="15"/>
      <c r="H31" s="34"/>
      <c r="I31" s="22"/>
    </row>
    <row r="32" spans="1:9" s="5" customFormat="1" ht="31.5" customHeight="1">
      <c r="A32" s="11"/>
      <c r="B32" s="15"/>
      <c r="H32" s="34"/>
      <c r="I32" s="22"/>
    </row>
    <row r="33" spans="1:9" s="5" customFormat="1" ht="31.5" customHeight="1">
      <c r="A33" s="11"/>
      <c r="B33" s="15"/>
      <c r="H33" s="34"/>
      <c r="I33" s="22"/>
    </row>
    <row r="34" spans="1:9" s="5" customFormat="1" ht="31.5" customHeight="1">
      <c r="A34" s="11"/>
      <c r="B34" s="15"/>
      <c r="H34" s="34"/>
      <c r="I34" s="22"/>
    </row>
    <row r="35" spans="1:9" s="5" customFormat="1" ht="31.5" customHeight="1">
      <c r="A35" s="12"/>
      <c r="B35" s="15"/>
      <c r="H35" s="34"/>
      <c r="I35" s="22"/>
    </row>
    <row r="36" spans="1:9" s="5" customFormat="1" ht="31.5" customHeight="1">
      <c r="A36" s="12"/>
      <c r="B36" s="15"/>
      <c r="H36" s="34"/>
      <c r="I36" s="22"/>
    </row>
    <row r="37" spans="1:9" s="5" customFormat="1" ht="31.5" customHeight="1">
      <c r="A37" s="12"/>
      <c r="B37" s="15"/>
      <c r="H37" s="34"/>
      <c r="I37" s="22"/>
    </row>
    <row r="38" spans="1:9" s="5" customFormat="1" ht="31.5" customHeight="1">
      <c r="A38" s="12"/>
      <c r="B38" s="15"/>
      <c r="H38" s="34"/>
      <c r="I38" s="22"/>
    </row>
    <row r="39" spans="1:9" s="5" customFormat="1" ht="31.5" customHeight="1">
      <c r="A39" s="12"/>
      <c r="B39" s="15"/>
      <c r="H39" s="34"/>
      <c r="I39" s="22"/>
    </row>
    <row r="40" spans="1:9" s="5" customFormat="1" ht="31.5" customHeight="1">
      <c r="A40" s="12"/>
      <c r="B40" s="15"/>
      <c r="H40" s="34"/>
      <c r="I40" s="22"/>
    </row>
    <row r="41" spans="1:9" s="5" customFormat="1" ht="31.5" customHeight="1">
      <c r="A41" s="12"/>
      <c r="B41" s="15"/>
      <c r="H41" s="34"/>
      <c r="I41" s="22"/>
    </row>
    <row r="42" spans="1:9" s="5" customFormat="1" ht="31.5" customHeight="1">
      <c r="A42" s="12"/>
      <c r="B42" s="15"/>
      <c r="H42" s="34"/>
      <c r="I42" s="22"/>
    </row>
    <row r="43" spans="1:9" s="5" customFormat="1" ht="31.5" customHeight="1">
      <c r="A43" s="12"/>
      <c r="B43" s="15"/>
      <c r="H43" s="34"/>
      <c r="I43" s="22"/>
    </row>
    <row r="44" spans="1:9" s="5" customFormat="1" ht="31.5" customHeight="1">
      <c r="A44" s="12"/>
      <c r="B44" s="15"/>
      <c r="H44" s="34"/>
      <c r="I44" s="22"/>
    </row>
    <row r="45" spans="1:9" s="5" customFormat="1" ht="31.5" customHeight="1">
      <c r="A45" s="12"/>
      <c r="B45" s="15"/>
      <c r="H45" s="34"/>
      <c r="I45" s="22"/>
    </row>
    <row r="46" spans="1:9" s="5" customFormat="1" ht="31.5" customHeight="1">
      <c r="A46" s="12"/>
      <c r="B46" s="15"/>
      <c r="H46" s="34"/>
      <c r="I46" s="22"/>
    </row>
    <row r="47" spans="1:9" s="5" customFormat="1" ht="31.5" customHeight="1">
      <c r="A47" s="12"/>
      <c r="B47" s="15"/>
      <c r="H47" s="34"/>
      <c r="I47" s="22"/>
    </row>
    <row r="48" spans="1:9" s="5" customFormat="1" ht="31.5" customHeight="1">
      <c r="A48" s="12"/>
      <c r="B48" s="15"/>
      <c r="H48" s="34"/>
      <c r="I48" s="22"/>
    </row>
    <row r="49" spans="1:9" s="5" customFormat="1" ht="31.5" customHeight="1">
      <c r="A49" s="12"/>
      <c r="B49" s="15"/>
      <c r="H49" s="34"/>
      <c r="I49" s="22"/>
    </row>
    <row r="50" spans="1:9" s="5" customFormat="1" ht="31.5" customHeight="1">
      <c r="A50" s="12"/>
      <c r="B50" s="15"/>
      <c r="H50" s="34"/>
      <c r="I50" s="22"/>
    </row>
    <row r="51" spans="1:9" s="5" customFormat="1" ht="31.5" customHeight="1">
      <c r="A51" s="12"/>
      <c r="B51" s="15"/>
      <c r="H51" s="34"/>
      <c r="I51" s="22"/>
    </row>
    <row r="52" spans="1:9" s="5" customFormat="1" ht="31.5" customHeight="1">
      <c r="A52" s="12"/>
      <c r="B52" s="15"/>
      <c r="H52" s="34"/>
      <c r="I52" s="22"/>
    </row>
    <row r="53" spans="1:9" s="5" customFormat="1" ht="31.5" customHeight="1">
      <c r="A53" s="12"/>
      <c r="B53" s="15"/>
      <c r="H53" s="34"/>
      <c r="I53" s="22"/>
    </row>
    <row r="54" spans="1:9" s="5" customFormat="1" ht="31.5" customHeight="1">
      <c r="A54" s="12"/>
      <c r="B54" s="15"/>
      <c r="H54" s="34"/>
      <c r="I54" s="22"/>
    </row>
    <row r="55" spans="1:9" s="5" customFormat="1" ht="31.5" customHeight="1">
      <c r="A55" s="12"/>
      <c r="B55" s="15"/>
      <c r="H55" s="34"/>
      <c r="I55" s="22"/>
    </row>
    <row r="56" spans="1:9" s="5" customFormat="1" ht="31.5" customHeight="1">
      <c r="A56" s="12"/>
      <c r="B56" s="15"/>
      <c r="H56" s="34"/>
      <c r="I56" s="22"/>
    </row>
    <row r="57" spans="1:9" s="5" customFormat="1" ht="31.5" customHeight="1">
      <c r="A57" s="12"/>
      <c r="B57" s="15"/>
      <c r="H57" s="34"/>
      <c r="I57" s="22"/>
    </row>
    <row r="58" spans="1:9" s="5" customFormat="1" ht="31.5" customHeight="1">
      <c r="A58" s="12"/>
      <c r="B58" s="15"/>
      <c r="H58" s="34"/>
      <c r="I58" s="22"/>
    </row>
    <row r="59" spans="1:9" s="5" customFormat="1" ht="31.5" customHeight="1">
      <c r="A59" s="12"/>
      <c r="B59" s="15"/>
      <c r="H59" s="34"/>
      <c r="I59" s="22"/>
    </row>
    <row r="60" spans="1:9" s="5" customFormat="1" ht="31.5" customHeight="1">
      <c r="A60" s="12"/>
      <c r="B60" s="15"/>
      <c r="H60" s="34"/>
      <c r="I60" s="22"/>
    </row>
    <row r="61" spans="1:9" s="5" customFormat="1" ht="31.5" customHeight="1">
      <c r="A61" s="12"/>
      <c r="B61" s="15"/>
      <c r="H61" s="34"/>
      <c r="I61" s="22"/>
    </row>
    <row r="62" spans="1:9" s="5" customFormat="1" ht="31.5" customHeight="1">
      <c r="A62" s="12"/>
      <c r="B62" s="15"/>
      <c r="H62" s="34"/>
      <c r="I62" s="22"/>
    </row>
    <row r="63" spans="1:9" s="5" customFormat="1" ht="31.5" customHeight="1">
      <c r="A63" s="12"/>
      <c r="B63" s="15"/>
      <c r="H63" s="34"/>
      <c r="I63" s="22"/>
    </row>
    <row r="64" spans="1:9" s="5" customFormat="1" ht="31.5" customHeight="1">
      <c r="A64" s="12"/>
      <c r="B64" s="15"/>
      <c r="H64" s="34"/>
      <c r="I64" s="22"/>
    </row>
    <row r="65" spans="1:9" s="5" customFormat="1" ht="31.5" customHeight="1">
      <c r="A65" s="12"/>
      <c r="B65" s="15"/>
      <c r="H65" s="34"/>
      <c r="I65" s="22"/>
    </row>
    <row r="66" spans="1:9" s="5" customFormat="1" ht="31.5" customHeight="1">
      <c r="A66" s="12"/>
      <c r="B66" s="15"/>
      <c r="H66" s="34"/>
      <c r="I66" s="22"/>
    </row>
    <row r="67" spans="1:9" s="5" customFormat="1" ht="31.5" customHeight="1">
      <c r="A67" s="12"/>
      <c r="B67" s="15"/>
      <c r="H67" s="34"/>
      <c r="I67" s="22"/>
    </row>
    <row r="68" spans="1:9" s="5" customFormat="1" ht="31.5" customHeight="1">
      <c r="A68" s="12"/>
      <c r="B68" s="15"/>
      <c r="H68" s="34"/>
      <c r="I68" s="22"/>
    </row>
    <row r="69" spans="1:9" s="5" customFormat="1" ht="31.5" customHeight="1">
      <c r="A69" s="12"/>
      <c r="B69" s="15"/>
      <c r="H69" s="34"/>
      <c r="I69" s="22"/>
    </row>
    <row r="70" spans="1:9" s="5" customFormat="1" ht="31.5" customHeight="1">
      <c r="A70" s="12"/>
      <c r="B70" s="15"/>
      <c r="H70" s="34"/>
      <c r="I70" s="22"/>
    </row>
    <row r="71" spans="1:9" s="5" customFormat="1" ht="31.5" customHeight="1">
      <c r="A71" s="12"/>
      <c r="B71" s="15"/>
      <c r="H71" s="34"/>
      <c r="I71" s="22"/>
    </row>
    <row r="72" spans="1:9" s="5" customFormat="1" ht="31.5" customHeight="1">
      <c r="A72" s="12"/>
      <c r="B72" s="15"/>
      <c r="H72" s="34"/>
      <c r="I72" s="22"/>
    </row>
    <row r="73" spans="1:9" s="5" customFormat="1" ht="31.5" customHeight="1">
      <c r="A73" s="12"/>
      <c r="B73" s="15"/>
      <c r="H73" s="34"/>
      <c r="I73" s="22"/>
    </row>
    <row r="74" spans="1:9" s="5" customFormat="1" ht="31.5" customHeight="1">
      <c r="A74" s="12"/>
      <c r="B74" s="15"/>
      <c r="H74" s="34"/>
      <c r="I74" s="22"/>
    </row>
    <row r="75" spans="1:9" s="5" customFormat="1" ht="31.5" customHeight="1">
      <c r="A75" s="12"/>
      <c r="B75" s="15"/>
      <c r="H75" s="34"/>
      <c r="I75" s="22"/>
    </row>
    <row r="76" spans="1:9" s="5" customFormat="1" ht="31.5" customHeight="1">
      <c r="A76" s="12"/>
      <c r="B76" s="15"/>
      <c r="H76" s="34"/>
      <c r="I76" s="22"/>
    </row>
    <row r="77" spans="1:9" s="5" customFormat="1" ht="31.5" customHeight="1">
      <c r="A77" s="12"/>
      <c r="B77" s="15"/>
      <c r="H77" s="34"/>
      <c r="I77" s="22"/>
    </row>
    <row r="78" spans="1:9" s="5" customFormat="1" ht="31.5" customHeight="1">
      <c r="A78" s="12"/>
      <c r="B78" s="15"/>
      <c r="H78" s="34"/>
      <c r="I78" s="22"/>
    </row>
    <row r="79" spans="1:9" s="5" customFormat="1" ht="31.5" customHeight="1">
      <c r="A79" s="12"/>
      <c r="B79" s="15"/>
      <c r="H79" s="34"/>
      <c r="I79" s="22"/>
    </row>
    <row r="80" spans="1:9" s="5" customFormat="1" ht="31.5" customHeight="1">
      <c r="A80" s="12"/>
      <c r="B80" s="15"/>
      <c r="H80" s="34"/>
      <c r="I80" s="22"/>
    </row>
    <row r="81" spans="1:9" s="5" customFormat="1" ht="31.5" customHeight="1">
      <c r="A81" s="12"/>
      <c r="B81" s="15"/>
      <c r="H81" s="34"/>
      <c r="I81" s="22"/>
    </row>
    <row r="82" spans="1:9" s="5" customFormat="1" ht="31.5" customHeight="1">
      <c r="A82" s="12"/>
      <c r="B82" s="15"/>
      <c r="H82" s="34"/>
      <c r="I82" s="22"/>
    </row>
    <row r="83" spans="1:9" s="5" customFormat="1" ht="31.5" customHeight="1">
      <c r="A83" s="12"/>
      <c r="B83" s="15"/>
      <c r="H83" s="34"/>
      <c r="I83" s="22"/>
    </row>
    <row r="84" spans="1:9" s="5" customFormat="1" ht="31.5" customHeight="1">
      <c r="A84" s="12"/>
      <c r="B84" s="15"/>
      <c r="H84" s="34"/>
      <c r="I84" s="22"/>
    </row>
    <row r="85" spans="1:9" s="5" customFormat="1" ht="31.5" customHeight="1">
      <c r="A85" s="12"/>
      <c r="B85" s="15"/>
      <c r="H85" s="34"/>
      <c r="I85" s="22"/>
    </row>
    <row r="86" spans="1:9" s="5" customFormat="1" ht="31.5" customHeight="1">
      <c r="A86" s="12"/>
      <c r="B86" s="15"/>
      <c r="H86" s="34"/>
      <c r="I86" s="22"/>
    </row>
    <row r="87" spans="1:9" s="5" customFormat="1" ht="31.5" customHeight="1">
      <c r="A87" s="12"/>
      <c r="B87" s="15"/>
      <c r="H87" s="34"/>
      <c r="I87" s="22"/>
    </row>
    <row r="88" spans="1:9" s="5" customFormat="1" ht="31.5" customHeight="1">
      <c r="A88" s="12"/>
      <c r="B88" s="15"/>
      <c r="H88" s="34"/>
      <c r="I88" s="22"/>
    </row>
    <row r="89" spans="1:9" s="5" customFormat="1" ht="31.5" customHeight="1">
      <c r="A89" s="12"/>
      <c r="B89" s="15"/>
      <c r="H89" s="34"/>
      <c r="I89" s="22"/>
    </row>
    <row r="90" spans="1:9" s="5" customFormat="1" ht="31.5" customHeight="1">
      <c r="A90" s="12"/>
      <c r="B90" s="15"/>
      <c r="H90" s="34"/>
      <c r="I90" s="22"/>
    </row>
    <row r="91" spans="1:9" s="5" customFormat="1" ht="31.5" customHeight="1">
      <c r="A91" s="12"/>
      <c r="B91" s="15"/>
      <c r="H91" s="34"/>
      <c r="I91" s="22"/>
    </row>
    <row r="92" spans="1:9" s="5" customFormat="1" ht="31.5" customHeight="1">
      <c r="A92" s="12"/>
      <c r="B92" s="15"/>
      <c r="H92" s="34"/>
      <c r="I92" s="22"/>
    </row>
    <row r="93" spans="1:9" s="5" customFormat="1" ht="31.5" customHeight="1">
      <c r="A93" s="12"/>
      <c r="B93" s="15"/>
      <c r="H93" s="34"/>
      <c r="I93" s="22"/>
    </row>
    <row r="94" spans="1:9" s="5" customFormat="1" ht="31.5" customHeight="1">
      <c r="A94" s="12"/>
      <c r="B94" s="15"/>
      <c r="H94" s="34"/>
      <c r="I94" s="22"/>
    </row>
    <row r="95" spans="1:9" s="5" customFormat="1" ht="31.5" customHeight="1">
      <c r="A95" s="12"/>
      <c r="B95" s="15"/>
      <c r="H95" s="34"/>
      <c r="I95" s="22"/>
    </row>
    <row r="96" spans="1:9" s="5" customFormat="1" ht="31.5" customHeight="1">
      <c r="A96" s="12"/>
      <c r="B96" s="15"/>
      <c r="H96" s="34"/>
      <c r="I96" s="22"/>
    </row>
    <row r="97" spans="1:9" s="5" customFormat="1" ht="31.5" customHeight="1">
      <c r="A97" s="12"/>
      <c r="B97" s="15"/>
      <c r="H97" s="34"/>
      <c r="I97" s="22"/>
    </row>
    <row r="98" spans="1:9" s="5" customFormat="1" ht="31.5" customHeight="1">
      <c r="A98" s="12"/>
      <c r="B98" s="15"/>
      <c r="H98" s="34"/>
      <c r="I98" s="22"/>
    </row>
    <row r="99" spans="1:9" s="5" customFormat="1" ht="31.5" customHeight="1">
      <c r="A99" s="12"/>
      <c r="B99" s="15"/>
      <c r="H99" s="34"/>
      <c r="I99" s="22"/>
    </row>
    <row r="100" spans="1:9" s="5" customFormat="1" ht="31.5" customHeight="1">
      <c r="A100" s="12"/>
      <c r="B100" s="15"/>
      <c r="H100" s="34"/>
      <c r="I100" s="22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5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2026-05-11T06:20:06Z</cp:lastPrinted>
  <dcterms:created xsi:type="dcterms:W3CDTF">2026-04-22T15:27:50Z</dcterms:created>
  <dcterms:modified xsi:type="dcterms:W3CDTF">2026-05-16T08:36:14Z</dcterms:modified>
</cp:coreProperties>
</file>