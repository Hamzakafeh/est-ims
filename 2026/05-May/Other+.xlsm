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DC8483D8-4FA0-4812-B922-08018F791541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<sst xmlns="http://schemas.openxmlformats.org/spreadsheetml/2006/main" count="655" uniqueCount="52">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</sst>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196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5" fontId="5" fillId="0" borderId="6" xfId="0" applyNumberFormat="1" applyFont="1" applyBorder="1" applyAlignment="1">
      <alignment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8" fillId="2" borderId="6" xfId="1" applyFont="1" applyBorder="1" applyAlignment="1">
      <alignment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8" borderId="25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5" fontId="25" fillId="0" borderId="2" xfId="0" applyNumberFormat="1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2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" zoomScale="80" zoomScaleNormal="80" workbookViewId="0">
      <selection activeCell="M18" sqref="M18"/>
    </sheetView>
  </sheetViews>
  <sheetFormatPr defaultRowHeight="14.4"/>
  <cols>
    <col min="3" max="3" width="41.44140625" customWidth="1"/>
    <col min="4" max="4" width="23.33203125" customWidth="1"/>
    <col min="5" max="5" width="26.33203125" style="68" customWidth="1"/>
    <col min="6" max="6" width="13.88671875" style="69" customWidth="1"/>
    <col min="7" max="7" width="16.5546875" style="67" customWidth="1"/>
    <col min="8" max="8" width="20.5546875" style="68" customWidth="1"/>
    <col min="9" max="9" width="22.88671875" style="68" customWidth="1"/>
    <col min="10" max="10" width="42.33203125" style="68" customWidth="1"/>
    <col min="12" max="13" width="16.6640625" customWidth="1"/>
  </cols>
  <sheetData>
    <row r="1" spans="3:13" ht="15" thickBot="1"/>
    <row r="2" spans="3:13" ht="27" customHeight="1" thickBot="1">
      <c r="C2" s="104" t="s">
        <v>16</v>
      </c>
      <c r="D2" s="105"/>
      <c r="E2" s="105"/>
      <c r="F2" s="105"/>
      <c r="G2" s="105"/>
      <c r="H2" s="105"/>
      <c r="I2" s="105"/>
      <c r="J2" s="106"/>
      <c r="K2" s="1"/>
    </row>
    <row r="3" spans="3:13" ht="27" customHeight="1" thickBot="1">
      <c r="C3" s="107"/>
      <c r="D3" s="108"/>
      <c r="E3" s="108"/>
      <c r="F3" s="108"/>
      <c r="G3" s="108"/>
      <c r="H3" s="108"/>
      <c r="I3" s="108"/>
      <c r="J3" s="109"/>
      <c r="K3" s="1"/>
      <c r="L3" s="113" t="s">
        <v>8</v>
      </c>
      <c r="M3" s="114"/>
    </row>
    <row r="4" spans="3:13" ht="27.75" customHeight="1" thickTop="1" thickBot="1">
      <c r="C4" s="110"/>
      <c r="D4" s="111"/>
      <c r="E4" s="111"/>
      <c r="F4" s="111"/>
      <c r="G4" s="111"/>
      <c r="H4" s="111"/>
      <c r="I4" s="111"/>
      <c r="J4" s="112"/>
      <c r="K4" s="1"/>
      <c r="L4" s="115"/>
      <c r="M4" s="116"/>
    </row>
    <row r="5" spans="3:13" ht="26.4" thickBot="1">
      <c r="C5" s="117"/>
      <c r="D5" s="118"/>
      <c r="E5" s="118"/>
      <c r="F5" s="118"/>
      <c r="G5" s="118"/>
      <c r="H5" s="118"/>
      <c r="I5" s="118"/>
      <c r="J5" s="119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70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6">
        <v>46143</v>
      </c>
      <c r="D7" s="8" t="s">
        <v>16</v>
      </c>
      <c r="E7" s="36" t="s">
        <v>18</v>
      </c>
      <c r="F7" s="58" t="s">
        <v>18</v>
      </c>
      <c r="G7" s="42" t="s">
        <v>35</v>
      </c>
      <c r="H7" s="14" t="s">
        <v>36</v>
      </c>
      <c r="I7" s="18">
        <v>7800</v>
      </c>
      <c r="J7" s="72">
        <v>7800</v>
      </c>
      <c r="K7" s="1"/>
      <c r="L7" s="8"/>
      <c r="M7" s="8"/>
    </row>
    <row r="8" spans="3:13" ht="26.4" thickBot="1">
      <c r="C8" s="66">
        <v>46143</v>
      </c>
      <c r="D8" s="8" t="s">
        <v>16</v>
      </c>
      <c r="E8" s="8" t="s">
        <v>17</v>
      </c>
      <c r="F8" s="57" t="s">
        <v>17</v>
      </c>
      <c r="G8" s="42" t="s">
        <v>35</v>
      </c>
      <c r="H8" s="14" t="s">
        <v>37</v>
      </c>
      <c r="I8" s="71">
        <v>250</v>
      </c>
      <c r="J8" s="72">
        <v>250</v>
      </c>
      <c r="K8" s="1"/>
      <c r="L8" s="8"/>
      <c r="M8" s="8"/>
    </row>
    <row r="9" spans="3:13" ht="26.4" thickBot="1">
      <c r="C9" s="73">
        <v>46144</v>
      </c>
      <c r="D9" s="77"/>
      <c r="E9" s="75"/>
      <c r="F9" s="76"/>
      <c r="G9" s="77"/>
      <c r="H9" s="78"/>
      <c r="I9" s="79"/>
      <c r="J9" s="80"/>
      <c r="K9" s="1"/>
      <c r="L9" s="31"/>
      <c r="M9" s="31"/>
    </row>
    <row r="10" spans="3:13" ht="26.4" thickBot="1">
      <c r="C10" s="73">
        <v>46145</v>
      </c>
      <c r="D10" s="74"/>
      <c r="E10" s="75"/>
      <c r="F10" s="76"/>
      <c r="G10" s="77"/>
      <c r="H10" s="78"/>
      <c r="I10" s="79"/>
      <c r="J10" s="80"/>
      <c r="K10" s="1"/>
      <c r="L10" s="31"/>
      <c r="M10" s="31"/>
    </row>
    <row r="11" spans="3:13" ht="26.4" thickBot="1">
      <c r="C11" s="66">
        <v>46146</v>
      </c>
      <c r="D11" s="42" t="s">
        <v>16</v>
      </c>
      <c r="E11" s="8" t="s">
        <v>17</v>
      </c>
      <c r="F11" s="57" t="s">
        <v>17</v>
      </c>
      <c r="G11" s="42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6">
        <v>46147</v>
      </c>
      <c r="D12" s="42" t="s">
        <v>16</v>
      </c>
      <c r="E12" s="8" t="s">
        <v>17</v>
      </c>
      <c r="F12" s="58" t="s">
        <v>17</v>
      </c>
      <c r="G12" s="42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6">
        <v>46147</v>
      </c>
      <c r="D13" s="42" t="s">
        <v>16</v>
      </c>
      <c r="E13" s="8" t="s">
        <v>17</v>
      </c>
      <c r="F13" s="57" t="s">
        <v>17</v>
      </c>
      <c r="G13" s="42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6">
        <v>46147</v>
      </c>
      <c r="D14" s="42" t="s">
        <v>16</v>
      </c>
      <c r="E14" s="8" t="s">
        <v>18</v>
      </c>
      <c r="F14" s="59" t="s">
        <v>18</v>
      </c>
      <c r="G14" s="42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3">
        <v>46148</v>
      </c>
      <c r="D15" s="77"/>
      <c r="E15" s="75"/>
      <c r="F15" s="76"/>
      <c r="G15" s="77"/>
      <c r="H15" s="75"/>
      <c r="I15" s="80"/>
      <c r="J15" s="80"/>
      <c r="K15" s="1"/>
      <c r="L15" s="8"/>
      <c r="M15" s="8"/>
    </row>
    <row r="16" spans="3:13" ht="26.4" thickBot="1">
      <c r="C16" s="66">
        <v>46149</v>
      </c>
      <c r="D16" s="42" t="s">
        <v>16</v>
      </c>
      <c r="E16" s="8" t="s">
        <v>17</v>
      </c>
      <c r="F16" s="57" t="s">
        <v>17</v>
      </c>
      <c r="G16" s="42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4"/>
      <c r="D17" s="34" t="s">
        <v>16</v>
      </c>
      <c r="E17" s="8" t="s">
        <v>17</v>
      </c>
      <c r="F17" s="57" t="s">
        <v>17</v>
      </c>
      <c r="G17" s="42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4"/>
      <c r="D18" s="42"/>
      <c r="E18" s="8"/>
      <c r="F18" s="57"/>
      <c r="G18" s="42"/>
      <c r="H18" s="8"/>
      <c r="I18" s="18"/>
      <c r="J18" s="18"/>
      <c r="K18" s="1"/>
      <c r="L18" s="8"/>
      <c r="M18" s="8"/>
    </row>
    <row r="19" spans="3:13" ht="26.4" thickBot="1">
      <c r="C19" s="64"/>
      <c r="D19" s="42"/>
      <c r="E19" s="8"/>
      <c r="F19" s="58"/>
      <c r="G19" s="42"/>
      <c r="H19" s="8"/>
      <c r="I19" s="18"/>
      <c r="J19" s="18"/>
      <c r="K19" s="1"/>
      <c r="L19" s="8"/>
      <c r="M19" s="8"/>
    </row>
    <row r="20" spans="3:13" ht="26.4" thickBot="1">
      <c r="C20" s="64"/>
      <c r="D20" s="42"/>
      <c r="E20" s="8"/>
      <c r="F20" s="58"/>
      <c r="G20" s="42"/>
      <c r="H20" s="8"/>
      <c r="I20" s="18"/>
      <c r="J20" s="18"/>
      <c r="K20" s="1"/>
      <c r="L20" s="8"/>
      <c r="M20" s="8"/>
    </row>
    <row r="21" spans="3:13" ht="26.25" customHeight="1" thickBot="1">
      <c r="C21" s="9"/>
      <c r="D21" s="42"/>
      <c r="E21" s="37"/>
      <c r="F21" s="57"/>
      <c r="G21" s="42"/>
      <c r="H21" s="8"/>
      <c r="I21" s="65"/>
      <c r="J21" s="65"/>
      <c r="K21" s="30"/>
      <c r="L21" s="8"/>
      <c r="M21" s="8"/>
    </row>
    <row r="22" spans="3:13" ht="26.25" customHeight="1" thickBot="1">
      <c r="C22" s="9"/>
      <c r="D22" s="42"/>
      <c r="E22" s="8"/>
      <c r="F22" s="57"/>
      <c r="G22" s="42"/>
      <c r="H22" s="8"/>
      <c r="I22" s="65"/>
      <c r="J22" s="65"/>
      <c r="K22" s="1"/>
      <c r="L22" s="8"/>
      <c r="M22" s="8"/>
    </row>
    <row r="23" spans="3:13" ht="26.25" customHeight="1" thickBot="1">
      <c r="C23" s="10"/>
      <c r="D23" s="42"/>
      <c r="E23" s="8"/>
      <c r="F23" s="57"/>
      <c r="G23" s="42"/>
      <c r="H23" s="8"/>
      <c r="I23" s="65"/>
      <c r="J23" s="65"/>
      <c r="K23" s="1"/>
      <c r="L23" s="8"/>
      <c r="M23" s="8"/>
    </row>
    <row r="24" spans="3:13" ht="26.25" customHeight="1" thickBot="1">
      <c r="C24" s="9"/>
      <c r="D24" s="42"/>
      <c r="E24" s="8"/>
      <c r="F24" s="57"/>
      <c r="G24" s="42"/>
      <c r="H24" s="8"/>
      <c r="I24" s="65"/>
      <c r="J24" s="65"/>
      <c r="K24" s="1"/>
      <c r="L24" s="8"/>
      <c r="M24" s="8"/>
    </row>
    <row r="25" spans="3:13" ht="26.25" customHeight="1" thickBot="1">
      <c r="C25" s="9"/>
      <c r="D25" s="42"/>
      <c r="E25" s="8"/>
      <c r="F25" s="57"/>
      <c r="G25" s="42"/>
      <c r="H25" s="8"/>
      <c r="I25" s="65"/>
      <c r="J25" s="65"/>
      <c r="K25" s="1"/>
      <c r="L25" s="8"/>
      <c r="M25" s="8"/>
    </row>
    <row r="26" spans="3:13" ht="26.25" customHeight="1" thickBot="1">
      <c r="C26" s="9"/>
      <c r="D26" s="34"/>
      <c r="E26" s="8"/>
      <c r="F26" s="57"/>
      <c r="G26" s="42"/>
      <c r="H26" s="8"/>
      <c r="I26" s="65"/>
      <c r="J26" s="65"/>
      <c r="K26" s="1"/>
      <c r="L26" s="8"/>
      <c r="M26" s="12"/>
    </row>
    <row r="27" spans="3:13" ht="26.25" customHeight="1" thickBot="1">
      <c r="C27" s="9"/>
      <c r="D27" s="42"/>
      <c r="E27" s="8"/>
      <c r="F27" s="57"/>
      <c r="G27" s="42"/>
      <c r="H27" s="8"/>
      <c r="I27" s="65"/>
      <c r="J27" s="65"/>
      <c r="K27" s="1"/>
      <c r="L27" s="11"/>
      <c r="M27" s="8"/>
    </row>
    <row r="28" spans="3:13" ht="26.25" customHeight="1" thickBot="1">
      <c r="C28" s="9"/>
      <c r="D28" s="42"/>
      <c r="E28" s="8"/>
      <c r="F28" s="57"/>
      <c r="G28" s="42"/>
      <c r="H28" s="8"/>
      <c r="I28" s="65"/>
      <c r="J28" s="65"/>
      <c r="K28" s="1"/>
      <c r="L28" s="8"/>
      <c r="M28" s="8"/>
    </row>
    <row r="29" spans="3:13" ht="26.25" customHeight="1" thickBot="1">
      <c r="C29" s="10"/>
      <c r="D29" s="42"/>
      <c r="E29" s="8"/>
      <c r="F29" s="57"/>
      <c r="G29" s="42"/>
      <c r="H29" s="8"/>
      <c r="I29" s="65"/>
      <c r="J29" s="65"/>
      <c r="K29" s="1"/>
      <c r="L29" s="8"/>
      <c r="M29" s="8"/>
    </row>
    <row r="30" spans="3:13" ht="26.25" customHeight="1" thickBot="1">
      <c r="C30" s="9"/>
      <c r="D30" s="42"/>
      <c r="E30" s="8"/>
      <c r="F30" s="57"/>
      <c r="G30" s="42"/>
      <c r="H30" s="8"/>
      <c r="I30" s="65"/>
      <c r="J30" s="65"/>
      <c r="K30" s="1"/>
      <c r="L30" s="8"/>
      <c r="M30" s="8"/>
    </row>
    <row r="31" spans="3:13" ht="26.25" customHeight="1" thickBot="1">
      <c r="C31" s="9"/>
      <c r="D31" s="42"/>
      <c r="E31" s="8"/>
      <c r="F31" s="59"/>
      <c r="G31" s="42"/>
      <c r="H31" s="8"/>
      <c r="I31" s="65"/>
      <c r="J31" s="65"/>
      <c r="K31" s="1"/>
      <c r="L31" s="8"/>
      <c r="M31" s="8"/>
    </row>
    <row r="32" spans="3:13" ht="26.25" customHeight="1" thickBot="1">
      <c r="C32" s="9"/>
      <c r="D32" s="42"/>
      <c r="E32" s="8"/>
      <c r="F32" s="57"/>
      <c r="G32" s="42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42"/>
      <c r="E33" s="8"/>
      <c r="F33" s="57"/>
      <c r="G33" s="42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42"/>
      <c r="E34" s="8"/>
      <c r="F34" s="57"/>
      <c r="G34" s="42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42"/>
      <c r="E35" s="8"/>
      <c r="F35" s="57"/>
      <c r="G35" s="42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4"/>
      <c r="E36" s="8"/>
      <c r="F36" s="57"/>
      <c r="G36" s="42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42"/>
      <c r="E37" s="8"/>
      <c r="F37" s="57"/>
      <c r="G37" s="42"/>
      <c r="H37" s="8"/>
      <c r="I37" s="18"/>
      <c r="J37" s="18"/>
      <c r="K37" s="1"/>
      <c r="L37" s="8"/>
      <c r="M37" s="8"/>
    </row>
    <row r="38" spans="3:13" ht="26.4" thickBot="1">
      <c r="C38" s="9"/>
      <c r="D38" s="42"/>
      <c r="E38" s="8"/>
      <c r="F38" s="60"/>
      <c r="G38" s="42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zoomScale="80" zoomScaleNormal="80" workbookViewId="0">
      <selection activeCell="G18" sqref="G1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04" t="s">
        <v>19</v>
      </c>
      <c r="D2" s="105"/>
      <c r="E2" s="105"/>
      <c r="F2" s="105"/>
      <c r="G2" s="105"/>
      <c r="H2" s="105"/>
      <c r="I2" s="105"/>
      <c r="J2" s="106"/>
      <c r="K2" s="1"/>
    </row>
    <row r="3" spans="3:13" ht="27" customHeight="1" thickBot="1">
      <c r="C3" s="107"/>
      <c r="D3" s="108"/>
      <c r="E3" s="108"/>
      <c r="F3" s="108"/>
      <c r="G3" s="108"/>
      <c r="H3" s="108"/>
      <c r="I3" s="108"/>
      <c r="J3" s="109"/>
      <c r="K3" s="1"/>
      <c r="L3" s="113" t="s">
        <v>8</v>
      </c>
      <c r="M3" s="114"/>
    </row>
    <row r="4" spans="3:13" ht="27.75" customHeight="1" thickTop="1" thickBot="1">
      <c r="C4" s="110"/>
      <c r="D4" s="111"/>
      <c r="E4" s="111"/>
      <c r="F4" s="111"/>
      <c r="G4" s="111"/>
      <c r="H4" s="111"/>
      <c r="I4" s="111"/>
      <c r="J4" s="112"/>
      <c r="K4" s="1"/>
      <c r="L4" s="115"/>
      <c r="M4" s="116"/>
    </row>
    <row r="5" spans="3:13" ht="26.4" thickBot="1">
      <c r="C5" s="117"/>
      <c r="D5" s="118"/>
      <c r="E5" s="118"/>
      <c r="F5" s="118"/>
      <c r="G5" s="118"/>
      <c r="H5" s="118"/>
      <c r="I5" s="118"/>
      <c r="J5" s="119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6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72">
        <v>5726</v>
      </c>
      <c r="K7" s="1"/>
      <c r="L7" s="8"/>
      <c r="M7" s="8"/>
    </row>
    <row r="8" spans="3:13" ht="26.4" thickBot="1">
      <c r="C8" s="66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72">
        <v>8660</v>
      </c>
      <c r="K8" s="1"/>
      <c r="L8" s="8"/>
      <c r="M8" s="8"/>
    </row>
    <row r="9" spans="3:13" ht="26.4" thickBot="1">
      <c r="C9" s="66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6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6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6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6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6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6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6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6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6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5">
        <v>5726</v>
      </c>
      <c r="J18" s="65">
        <v>4476</v>
      </c>
      <c r="K18" s="1"/>
      <c r="L18" s="8"/>
      <c r="M18" s="8"/>
    </row>
    <row r="19" spans="3:13" ht="26.4" thickBot="1">
      <c r="C19" s="73">
        <v>46145</v>
      </c>
      <c r="D19" s="77"/>
      <c r="E19" s="77"/>
      <c r="F19" s="75"/>
      <c r="G19" s="75"/>
      <c r="H19" s="75"/>
      <c r="I19" s="81"/>
      <c r="J19" s="81"/>
      <c r="K19" s="1"/>
      <c r="L19" s="8"/>
      <c r="M19" s="8"/>
    </row>
    <row r="20" spans="3:13" ht="26.4" thickBot="1">
      <c r="C20" s="66">
        <v>46146</v>
      </c>
      <c r="D20" s="42"/>
      <c r="E20" s="42"/>
      <c r="F20" s="8"/>
      <c r="G20" s="8"/>
      <c r="H20" s="8"/>
      <c r="I20" s="63"/>
      <c r="J20" s="63"/>
      <c r="K20" s="1"/>
      <c r="L20" s="8"/>
      <c r="M20" s="8"/>
    </row>
    <row r="21" spans="3:13" ht="26.25" customHeight="1" thickBot="1">
      <c r="C21" s="9"/>
      <c r="D21" s="42"/>
      <c r="E21" s="42"/>
      <c r="F21" s="8"/>
      <c r="G21" s="8"/>
      <c r="H21" s="8"/>
      <c r="I21" s="63"/>
      <c r="J21" s="63"/>
      <c r="K21" s="30"/>
      <c r="L21" s="8"/>
      <c r="M21" s="8"/>
    </row>
    <row r="22" spans="3:13" ht="26.25" customHeight="1" thickBot="1">
      <c r="C22" s="9"/>
      <c r="D22" s="42"/>
      <c r="E22" s="42"/>
      <c r="F22" s="8"/>
      <c r="G22" s="8"/>
      <c r="H22" s="8"/>
      <c r="I22" s="63"/>
      <c r="J22" s="63"/>
      <c r="K22" s="1"/>
      <c r="L22" s="8"/>
      <c r="M22" s="8"/>
    </row>
    <row r="23" spans="3:13" ht="26.25" customHeight="1" thickBot="1">
      <c r="C23" s="9"/>
      <c r="D23" s="34"/>
      <c r="E23" s="42"/>
      <c r="F23" s="8"/>
      <c r="G23" s="8"/>
      <c r="H23" s="8"/>
      <c r="I23" s="13"/>
      <c r="J23" s="13"/>
      <c r="K23" s="1"/>
      <c r="L23" s="8"/>
      <c r="M23" s="8"/>
    </row>
    <row r="24" spans="3:13" ht="26.25" customHeight="1" thickBot="1">
      <c r="C24" s="9"/>
      <c r="D24" s="42"/>
      <c r="E24" s="42"/>
      <c r="F24" s="8"/>
      <c r="G24" s="8"/>
      <c r="H24" s="8"/>
      <c r="I24" s="13"/>
      <c r="J24" s="13"/>
      <c r="K24" s="1"/>
      <c r="L24" s="8"/>
      <c r="M24" s="8"/>
    </row>
    <row r="25" spans="3:13" ht="26.25" customHeight="1" thickBot="1">
      <c r="C25" s="9"/>
      <c r="D25" s="42"/>
      <c r="E25" s="42"/>
      <c r="F25" s="8"/>
      <c r="G25" s="8"/>
      <c r="H25" s="8"/>
      <c r="I25" s="13"/>
      <c r="J25" s="13"/>
      <c r="K25" s="1"/>
      <c r="L25" s="8"/>
      <c r="M25" s="8"/>
    </row>
    <row r="26" spans="3:13" ht="26.25" customHeight="1" thickBot="1">
      <c r="C26" s="9"/>
      <c r="D26" s="42"/>
      <c r="E26" s="42"/>
      <c r="F26" s="8"/>
      <c r="G26" s="8"/>
      <c r="H26" s="8"/>
      <c r="I26" s="13"/>
      <c r="J26" s="13"/>
      <c r="K26" s="1"/>
      <c r="L26" s="8"/>
      <c r="M26" s="12"/>
    </row>
    <row r="27" spans="3:13" ht="26.25" customHeight="1" thickBot="1">
      <c r="C27" s="9"/>
      <c r="D27" s="42"/>
      <c r="E27" s="42"/>
      <c r="F27" s="8"/>
      <c r="G27" s="8"/>
      <c r="H27" s="8"/>
      <c r="I27" s="13"/>
      <c r="J27" s="13"/>
      <c r="K27" s="1"/>
      <c r="L27" s="11"/>
      <c r="M27" s="8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zoomScale="70" zoomScaleNormal="70" workbookViewId="0">
      <selection activeCell="M30" sqref="M30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04" t="s">
        <v>20</v>
      </c>
      <c r="D2" s="105"/>
      <c r="E2" s="105"/>
      <c r="F2" s="105"/>
      <c r="G2" s="105"/>
      <c r="H2" s="105"/>
      <c r="I2" s="105"/>
      <c r="J2" s="106"/>
      <c r="K2" s="1"/>
    </row>
    <row r="3" spans="1:22" ht="27" customHeight="1" thickBot="1">
      <c r="C3" s="107"/>
      <c r="D3" s="108"/>
      <c r="E3" s="108"/>
      <c r="F3" s="108"/>
      <c r="G3" s="108"/>
      <c r="H3" s="108"/>
      <c r="I3" s="108"/>
      <c r="J3" s="109"/>
      <c r="K3" s="1"/>
      <c r="L3" s="113" t="s">
        <v>8</v>
      </c>
      <c r="M3" s="114"/>
    </row>
    <row r="4" spans="1:22" ht="27.75" customHeight="1" thickTop="1" thickBot="1">
      <c r="C4" s="110"/>
      <c r="D4" s="111"/>
      <c r="E4" s="111"/>
      <c r="F4" s="111"/>
      <c r="G4" s="111"/>
      <c r="H4" s="111"/>
      <c r="I4" s="111"/>
      <c r="J4" s="112"/>
      <c r="K4" s="1"/>
      <c r="L4" s="115"/>
      <c r="M4" s="116"/>
    </row>
    <row r="5" spans="1:22" ht="26.4" thickBot="1">
      <c r="C5" s="117"/>
      <c r="D5" s="118"/>
      <c r="E5" s="118"/>
      <c r="F5" s="118"/>
      <c r="G5" s="118"/>
      <c r="H5" s="118"/>
      <c r="I5" s="118"/>
      <c r="J5" s="119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82">
        <v>46143</v>
      </c>
      <c r="D7" s="86"/>
      <c r="E7" s="86"/>
      <c r="F7" s="83"/>
      <c r="G7" s="84"/>
      <c r="H7" s="83"/>
      <c r="I7" s="85"/>
      <c r="J7" s="87"/>
      <c r="K7" s="1"/>
      <c r="L7" s="8"/>
      <c r="M7" s="8"/>
    </row>
    <row r="8" spans="1:22" ht="29.4" thickBot="1">
      <c r="C8" s="82">
        <v>46144</v>
      </c>
      <c r="D8" s="86"/>
      <c r="E8" s="86"/>
      <c r="F8" s="83"/>
      <c r="G8" s="84"/>
      <c r="H8" s="83"/>
      <c r="I8" s="85"/>
      <c r="J8" s="87"/>
      <c r="K8" s="1"/>
      <c r="L8" s="8"/>
      <c r="M8" s="8"/>
      <c r="P8" s="54"/>
      <c r="Q8" s="54"/>
      <c r="R8" s="54"/>
      <c r="S8" s="54"/>
    </row>
    <row r="9" spans="1:22" ht="27" customHeight="1" thickBot="1">
      <c r="C9" s="82">
        <v>46145</v>
      </c>
      <c r="D9" s="86"/>
      <c r="E9" s="86"/>
      <c r="F9" s="83"/>
      <c r="G9" s="84"/>
      <c r="H9" s="83"/>
      <c r="I9" s="85"/>
      <c r="J9" s="87"/>
      <c r="K9" s="1"/>
      <c r="L9" s="8"/>
      <c r="M9" s="8"/>
      <c r="P9" s="52"/>
      <c r="Q9" s="52"/>
      <c r="R9" s="52"/>
      <c r="S9" s="52"/>
    </row>
    <row r="10" spans="1:22" ht="27" customHeight="1" thickBot="1">
      <c r="C10" s="66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5">
        <v>4</v>
      </c>
      <c r="J10" s="65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6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5">
        <v>4</v>
      </c>
      <c r="J11" s="65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6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5">
        <v>28</v>
      </c>
      <c r="J12" s="65">
        <v>28</v>
      </c>
      <c r="K12" s="1"/>
      <c r="L12" s="8"/>
      <c r="M12" s="8"/>
    </row>
    <row r="13" spans="1:22" ht="26.4" thickBot="1">
      <c r="C13" s="66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5">
        <v>28</v>
      </c>
      <c r="J13" s="65">
        <v>74</v>
      </c>
      <c r="K13" s="1"/>
      <c r="L13" s="8"/>
      <c r="M13" s="8"/>
    </row>
    <row r="14" spans="1:22" s="32" customFormat="1" ht="26.4" thickBot="1">
      <c r="A14"/>
      <c r="B14"/>
      <c r="C14" s="66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5">
        <v>240</v>
      </c>
      <c r="J14" s="65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6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5">
        <v>74</v>
      </c>
      <c r="J15" s="65">
        <v>166</v>
      </c>
      <c r="K15" s="1"/>
      <c r="L15" s="8"/>
      <c r="M15" s="8"/>
    </row>
    <row r="16" spans="1:22" ht="26.4" thickBot="1">
      <c r="C16" s="66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5">
        <v>240</v>
      </c>
      <c r="J16" s="63">
        <v>720</v>
      </c>
      <c r="K16" s="1"/>
      <c r="L16" s="8"/>
      <c r="M16" s="8"/>
    </row>
    <row r="17" spans="3:13" ht="26.4" thickBot="1">
      <c r="C17" s="66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5">
        <v>10</v>
      </c>
      <c r="J17" s="88">
        <v>9</v>
      </c>
      <c r="K17" s="1"/>
      <c r="L17" s="8"/>
      <c r="M17" s="8"/>
    </row>
    <row r="18" spans="3:13" ht="26.4" thickBot="1">
      <c r="C18" s="66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6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6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6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9">
        <v>46150</v>
      </c>
      <c r="D26" s="42"/>
      <c r="E26" s="42"/>
      <c r="F26" s="39"/>
      <c r="G26" s="8" t="s">
        <v>35</v>
      </c>
      <c r="H26" s="8"/>
      <c r="I26" s="63"/>
      <c r="J26" s="63"/>
      <c r="K26" s="1"/>
      <c r="L26" s="8"/>
      <c r="M26" s="12"/>
    </row>
    <row r="27" spans="3:13" ht="26.25" customHeight="1" thickBot="1">
      <c r="C27" s="9">
        <v>46151</v>
      </c>
      <c r="D27" s="34"/>
      <c r="E27" s="42"/>
      <c r="F27" s="39"/>
      <c r="G27" s="8" t="s">
        <v>35</v>
      </c>
      <c r="H27" s="8"/>
      <c r="I27" s="13"/>
      <c r="J27" s="13"/>
      <c r="K27" s="1"/>
      <c r="L27" s="11"/>
      <c r="M27" s="8"/>
    </row>
    <row r="28" spans="3:13" ht="26.25" customHeight="1" thickBot="1">
      <c r="C28" s="9">
        <v>46152</v>
      </c>
      <c r="D28" s="42" t="s">
        <v>20</v>
      </c>
      <c r="E28" s="42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8">
        <v>6</v>
      </c>
      <c r="K28" s="1"/>
      <c r="L28" s="8"/>
      <c r="M28" s="8"/>
    </row>
    <row r="29" spans="3:13" ht="26.25" customHeight="1" thickBot="1">
      <c r="C29" s="9">
        <v>46152</v>
      </c>
      <c r="D29" s="42" t="s">
        <v>20</v>
      </c>
      <c r="E29" s="42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50"/>
      <c r="D30" s="42"/>
      <c r="E30" s="42"/>
      <c r="F30" s="39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50"/>
      <c r="D31" s="42"/>
      <c r="E31" s="42"/>
      <c r="F31" s="12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50"/>
      <c r="D32" s="42"/>
      <c r="E32" s="42"/>
      <c r="F32" s="39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50"/>
      <c r="D33" s="34"/>
      <c r="E33" s="42"/>
      <c r="F33" s="39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50"/>
      <c r="D34" s="42"/>
      <c r="E34" s="42"/>
      <c r="F34" s="39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50"/>
      <c r="D35" s="42"/>
      <c r="E35" s="42"/>
      <c r="F35" s="39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50"/>
      <c r="D36" s="42"/>
      <c r="E36" s="42"/>
      <c r="F36" s="39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50"/>
      <c r="D37" s="42"/>
      <c r="E37" s="42"/>
      <c r="F37" s="39"/>
      <c r="G37" s="8"/>
      <c r="H37" s="8"/>
      <c r="I37" s="13"/>
      <c r="J37" s="13"/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7 F10:F1048576">
    <cfRule type="containsText" dxfId="31" priority="11" operator="containsText" text="white">
      <formula>NOT(ISERROR(SEARCH("white",F1)))</formula>
    </cfRule>
    <cfRule type="containsText" dxfId="30" priority="12" operator="containsText" text="YELLOW">
      <formula>NOT(ISERROR(SEARCH("YELLOW",F1)))</formula>
    </cfRule>
  </conditionalFormatting>
  <conditionalFormatting sqref="J1:J7 J10:J11 J13 J15:J1048576">
    <cfRule type="containsText" dxfId="29" priority="6" operator="containsText" text="120">
      <formula>NOT(ISERROR(SEARCH("120",J1)))</formula>
    </cfRule>
    <cfRule type="containsText" dxfId="28" priority="7" operator="containsText" text="10">
      <formula>NOT(ISERROR(SEARCH("10",J1)))</formula>
    </cfRule>
  </conditionalFormatting>
  <conditionalFormatting sqref="F8:F9">
    <cfRule type="containsText" dxfId="27" priority="4" operator="containsText" text="white">
      <formula>NOT(ISERROR(SEARCH("white",F8)))</formula>
    </cfRule>
    <cfRule type="containsText" dxfId="26" priority="5" operator="containsText" text="YELLOW">
      <formula>NOT(ISERROR(SEARCH("YELLOW",F8)))</formula>
    </cfRule>
  </conditionalFormatting>
  <conditionalFormatting sqref="J8:J9">
    <cfRule type="containsText" dxfId="25" priority="1" operator="containsText" text="120">
      <formula>NOT(ISERROR(SEARCH("120",J8)))</formula>
    </cfRule>
    <cfRule type="containsText" dxfId="24" priority="2" operator="containsText" text="10">
      <formula>NOT(ISERROR(SEARCH("10",J8)))</formula>
    </cfRule>
  </conditionalFormatting>
  <dataValidations disablePrompts="1" count="3">
    <dataValidation type="list" allowBlank="1" showInputMessage="1" showErrorMessage="1" sqref="D1:E5 D7:E1048576" xr:uid="{00000000-0002-0000-0200-000000000000}">
      <formula1>"Shrink"</formula1>
    </dataValidation>
    <dataValidation type="list" allowBlank="1" showInputMessage="1" showErrorMessage="1" sqref="F1:F1048576" xr:uid="{00000000-0002-0000-0200-000001000000}">
      <formula1>",Machine B, Machine S,Manual"</formula1>
    </dataValidation>
    <dataValidation type="list" allowBlank="1" showInputMessage="1" showErrorMessage="1" sqref="G1:G5 G7:G1048576" xr:uid="{00000000-0002-0000-0200-000002000000}">
      <formula1>"null"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3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zoomScale="70" zoomScaleNormal="70" workbookViewId="0">
      <selection activeCell="C11" sqref="C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20" t="s">
        <v>20</v>
      </c>
      <c r="D2" s="120"/>
      <c r="E2" s="120"/>
      <c r="F2" s="120"/>
      <c r="G2" s="120"/>
      <c r="H2" s="120"/>
      <c r="I2" s="120"/>
      <c r="J2" s="120"/>
      <c r="K2" s="1"/>
    </row>
    <row r="3" spans="1:22" ht="27" customHeight="1">
      <c r="C3" s="120"/>
      <c r="D3" s="120"/>
      <c r="E3" s="120"/>
      <c r="F3" s="120"/>
      <c r="G3" s="120"/>
      <c r="H3" s="120"/>
      <c r="I3" s="120"/>
      <c r="J3" s="120"/>
      <c r="K3" s="1"/>
      <c r="L3" s="121" t="s">
        <v>8</v>
      </c>
      <c r="M3" s="121"/>
    </row>
    <row r="4" spans="1:22" ht="27.75" customHeight="1">
      <c r="C4" s="120"/>
      <c r="D4" s="120"/>
      <c r="E4" s="120"/>
      <c r="F4" s="120"/>
      <c r="G4" s="120"/>
      <c r="H4" s="120"/>
      <c r="I4" s="120"/>
      <c r="J4" s="120"/>
      <c r="K4" s="1"/>
      <c r="L4" s="121"/>
      <c r="M4" s="121"/>
    </row>
    <row r="5" spans="1:22" ht="25.8">
      <c r="C5" s="122"/>
      <c r="D5" s="122"/>
      <c r="E5" s="122"/>
      <c r="F5" s="122"/>
      <c r="G5" s="122"/>
      <c r="H5" s="122"/>
      <c r="I5" s="122"/>
      <c r="J5" s="122"/>
      <c r="K5" s="1"/>
      <c r="L5" s="1"/>
      <c r="M5" s="1"/>
    </row>
    <row r="6" spans="1:22" ht="33" customHeight="1" thickBot="1">
      <c r="C6" s="91" t="s">
        <v>9</v>
      </c>
      <c r="D6" s="91" t="s">
        <v>2</v>
      </c>
      <c r="E6" s="91" t="s">
        <v>3</v>
      </c>
      <c r="F6" s="92" t="s">
        <v>4</v>
      </c>
      <c r="G6" s="91" t="s">
        <v>5</v>
      </c>
      <c r="H6" s="91" t="s">
        <v>15</v>
      </c>
      <c r="I6" s="91" t="s">
        <v>6</v>
      </c>
      <c r="J6" s="91" t="s">
        <v>7</v>
      </c>
      <c r="K6" s="1"/>
      <c r="L6" s="93" t="s">
        <v>1</v>
      </c>
      <c r="M6" s="94" t="s">
        <v>0</v>
      </c>
    </row>
    <row r="7" spans="1:22" ht="26.4" thickBot="1">
      <c r="C7" s="9">
        <v>46149</v>
      </c>
      <c r="D7" s="96" t="s">
        <v>50</v>
      </c>
      <c r="E7" s="96" t="s">
        <v>50</v>
      </c>
      <c r="F7" s="97" t="s">
        <v>51</v>
      </c>
      <c r="G7" s="97" t="s">
        <v>35</v>
      </c>
      <c r="H7" s="96" t="s">
        <v>37</v>
      </c>
      <c r="I7" s="98">
        <v>764</v>
      </c>
      <c r="J7" s="98">
        <v>764</v>
      </c>
      <c r="K7" s="1"/>
      <c r="L7" s="99"/>
      <c r="M7" s="99"/>
    </row>
    <row r="8" spans="1:22" ht="28.8">
      <c r="C8" s="100"/>
      <c r="D8" s="96" t="s">
        <v>50</v>
      </c>
      <c r="E8" s="96" t="s">
        <v>50</v>
      </c>
      <c r="F8" s="97"/>
      <c r="G8" s="97" t="s">
        <v>35</v>
      </c>
      <c r="H8" s="96"/>
      <c r="I8" s="98"/>
      <c r="J8" s="98"/>
      <c r="K8" s="1"/>
      <c r="L8" s="99"/>
      <c r="M8" s="99"/>
      <c r="P8" s="54"/>
      <c r="Q8" s="54"/>
      <c r="R8" s="54"/>
      <c r="S8" s="54"/>
    </row>
    <row r="9" spans="1:22" ht="27" customHeight="1">
      <c r="C9" s="100"/>
      <c r="D9" s="96" t="s">
        <v>50</v>
      </c>
      <c r="E9" s="96" t="s">
        <v>50</v>
      </c>
      <c r="F9" s="97"/>
      <c r="G9" s="97" t="s">
        <v>35</v>
      </c>
      <c r="H9" s="96"/>
      <c r="I9" s="98"/>
      <c r="J9" s="98"/>
      <c r="K9" s="1"/>
      <c r="L9" s="99"/>
      <c r="M9" s="99"/>
      <c r="P9" s="52"/>
      <c r="Q9" s="52"/>
      <c r="R9" s="52"/>
      <c r="S9" s="52"/>
    </row>
    <row r="10" spans="1:22" ht="27" customHeight="1">
      <c r="C10" s="95"/>
      <c r="D10" s="96" t="s">
        <v>50</v>
      </c>
      <c r="E10" s="96" t="s">
        <v>50</v>
      </c>
      <c r="F10" s="97"/>
      <c r="G10" s="97" t="s">
        <v>35</v>
      </c>
      <c r="H10" s="96"/>
      <c r="I10" s="98"/>
      <c r="J10" s="98"/>
      <c r="K10" s="1"/>
      <c r="L10" s="99"/>
      <c r="M10" s="99"/>
      <c r="P10" s="52"/>
      <c r="Q10" s="52"/>
      <c r="R10" s="52"/>
      <c r="S10" s="52"/>
    </row>
    <row r="11" spans="1:22" ht="27" customHeight="1">
      <c r="C11" s="95"/>
      <c r="D11" s="96" t="s">
        <v>50</v>
      </c>
      <c r="E11" s="96" t="s">
        <v>50</v>
      </c>
      <c r="F11" s="97"/>
      <c r="G11" s="97" t="s">
        <v>35</v>
      </c>
      <c r="H11" s="96"/>
      <c r="I11" s="98"/>
      <c r="J11" s="98"/>
      <c r="K11" s="1"/>
      <c r="L11" s="99"/>
      <c r="M11" s="99"/>
      <c r="P11" s="52"/>
      <c r="Q11" s="52"/>
      <c r="R11" s="52"/>
      <c r="S11" s="52"/>
    </row>
    <row r="12" spans="1:22" ht="25.8">
      <c r="C12" s="95"/>
      <c r="D12" s="96" t="s">
        <v>50</v>
      </c>
      <c r="E12" s="96" t="s">
        <v>50</v>
      </c>
      <c r="F12" s="97"/>
      <c r="G12" s="97" t="s">
        <v>35</v>
      </c>
      <c r="H12" s="96"/>
      <c r="I12" s="98"/>
      <c r="J12" s="98"/>
      <c r="K12" s="1"/>
      <c r="L12" s="99"/>
      <c r="M12" s="99"/>
    </row>
    <row r="13" spans="1:22" ht="25.8">
      <c r="C13" s="95"/>
      <c r="D13" s="96" t="s">
        <v>50</v>
      </c>
      <c r="E13" s="96" t="s">
        <v>50</v>
      </c>
      <c r="F13" s="97"/>
      <c r="G13" s="97" t="s">
        <v>35</v>
      </c>
      <c r="H13" s="96"/>
      <c r="I13" s="98"/>
      <c r="J13" s="98"/>
      <c r="K13" s="1"/>
      <c r="L13" s="99"/>
      <c r="M13" s="99"/>
    </row>
    <row r="14" spans="1:22" s="32" customFormat="1" ht="25.8">
      <c r="A14"/>
      <c r="B14"/>
      <c r="C14" s="95"/>
      <c r="D14" s="96" t="s">
        <v>50</v>
      </c>
      <c r="E14" s="96" t="s">
        <v>50</v>
      </c>
      <c r="F14" s="97"/>
      <c r="G14" s="97" t="s">
        <v>35</v>
      </c>
      <c r="H14" s="96"/>
      <c r="I14" s="98"/>
      <c r="J14" s="98"/>
      <c r="K14" s="1"/>
      <c r="L14" s="99"/>
      <c r="M14" s="99"/>
      <c r="N14"/>
      <c r="O14"/>
      <c r="P14"/>
      <c r="Q14"/>
      <c r="R14"/>
      <c r="S14"/>
      <c r="T14"/>
      <c r="U14"/>
      <c r="V14"/>
    </row>
    <row r="15" spans="1:22" ht="25.8">
      <c r="C15" s="95"/>
      <c r="D15" s="96" t="s">
        <v>50</v>
      </c>
      <c r="E15" s="96" t="s">
        <v>50</v>
      </c>
      <c r="F15" s="97"/>
      <c r="G15" s="97" t="s">
        <v>35</v>
      </c>
      <c r="H15" s="96"/>
      <c r="I15" s="98"/>
      <c r="J15" s="98"/>
      <c r="K15" s="1"/>
      <c r="L15" s="99"/>
      <c r="M15" s="99"/>
    </row>
    <row r="16" spans="1:22" ht="25.8">
      <c r="C16" s="95"/>
      <c r="D16" s="96" t="s">
        <v>50</v>
      </c>
      <c r="E16" s="96" t="s">
        <v>50</v>
      </c>
      <c r="F16" s="97"/>
      <c r="G16" s="97" t="s">
        <v>35</v>
      </c>
      <c r="H16" s="96"/>
      <c r="I16" s="98"/>
      <c r="J16" s="101"/>
      <c r="K16" s="1"/>
      <c r="L16" s="99"/>
      <c r="M16" s="99"/>
    </row>
    <row r="17" spans="3:13" ht="25.8">
      <c r="C17" s="95"/>
      <c r="D17" s="96" t="s">
        <v>50</v>
      </c>
      <c r="E17" s="96" t="s">
        <v>50</v>
      </c>
      <c r="F17" s="97"/>
      <c r="G17" s="97" t="s">
        <v>35</v>
      </c>
      <c r="H17" s="96"/>
      <c r="I17" s="98"/>
      <c r="J17" s="101"/>
      <c r="K17" s="1"/>
      <c r="L17" s="99"/>
      <c r="M17" s="99"/>
    </row>
    <row r="18" spans="3:13" ht="25.8">
      <c r="C18" s="95"/>
      <c r="D18" s="96" t="s">
        <v>50</v>
      </c>
      <c r="E18" s="96" t="s">
        <v>50</v>
      </c>
      <c r="F18" s="97"/>
      <c r="G18" s="97" t="s">
        <v>35</v>
      </c>
      <c r="H18" s="96"/>
      <c r="I18" s="101"/>
      <c r="J18" s="101"/>
      <c r="K18" s="1"/>
      <c r="L18" s="99"/>
      <c r="M18" s="99"/>
    </row>
    <row r="19" spans="3:13" ht="25.8">
      <c r="C19" s="95"/>
      <c r="D19" s="96" t="s">
        <v>50</v>
      </c>
      <c r="E19" s="96" t="s">
        <v>50</v>
      </c>
      <c r="F19" s="97"/>
      <c r="G19" s="97" t="s">
        <v>35</v>
      </c>
      <c r="H19" s="96"/>
      <c r="I19" s="101"/>
      <c r="J19" s="101"/>
      <c r="K19" s="1"/>
      <c r="L19" s="99"/>
      <c r="M19" s="99"/>
    </row>
    <row r="20" spans="3:13" ht="25.8">
      <c r="C20" s="95"/>
      <c r="D20" s="96" t="s">
        <v>50</v>
      </c>
      <c r="E20" s="96" t="s">
        <v>50</v>
      </c>
      <c r="F20" s="97"/>
      <c r="G20" s="97" t="s">
        <v>35</v>
      </c>
      <c r="H20" s="96"/>
      <c r="I20" s="101"/>
      <c r="J20" s="101"/>
      <c r="K20" s="1"/>
      <c r="L20" s="99"/>
      <c r="M20" s="99"/>
    </row>
    <row r="21" spans="3:13" ht="26.25" customHeight="1">
      <c r="C21" s="95"/>
      <c r="D21" s="96" t="s">
        <v>50</v>
      </c>
      <c r="E21" s="96" t="s">
        <v>50</v>
      </c>
      <c r="F21" s="97"/>
      <c r="G21" s="97" t="s">
        <v>35</v>
      </c>
      <c r="H21" s="96"/>
      <c r="I21" s="101"/>
      <c r="J21" s="101"/>
      <c r="K21" s="30"/>
      <c r="L21" s="26"/>
      <c r="M21" s="26"/>
    </row>
    <row r="22" spans="3:13" ht="26.25" customHeight="1">
      <c r="C22" s="95"/>
      <c r="D22" s="96" t="s">
        <v>50</v>
      </c>
      <c r="E22" s="96" t="s">
        <v>50</v>
      </c>
      <c r="F22" s="97"/>
      <c r="G22" s="97" t="s">
        <v>35</v>
      </c>
      <c r="H22" s="96"/>
      <c r="I22" s="101"/>
      <c r="J22" s="101"/>
      <c r="K22" s="1"/>
      <c r="L22" s="99"/>
      <c r="M22" s="99"/>
    </row>
    <row r="23" spans="3:13" ht="26.25" customHeight="1">
      <c r="C23" s="95"/>
      <c r="D23" s="96" t="s">
        <v>50</v>
      </c>
      <c r="E23" s="96" t="s">
        <v>50</v>
      </c>
      <c r="F23" s="97"/>
      <c r="G23" s="97" t="s">
        <v>35</v>
      </c>
      <c r="H23" s="96"/>
      <c r="I23" s="101"/>
      <c r="J23" s="101"/>
      <c r="K23" s="1"/>
      <c r="L23" s="99"/>
      <c r="M23" s="99"/>
    </row>
    <row r="24" spans="3:13" ht="26.25" customHeight="1">
      <c r="C24" s="95"/>
      <c r="D24" s="96" t="s">
        <v>50</v>
      </c>
      <c r="E24" s="96" t="s">
        <v>50</v>
      </c>
      <c r="F24" s="97"/>
      <c r="G24" s="97" t="s">
        <v>35</v>
      </c>
      <c r="H24" s="96"/>
      <c r="I24" s="101"/>
      <c r="J24" s="101"/>
      <c r="K24" s="1"/>
      <c r="L24" s="99"/>
      <c r="M24" s="99"/>
    </row>
    <row r="25" spans="3:13" ht="26.25" customHeight="1">
      <c r="C25" s="95"/>
      <c r="D25" s="96" t="s">
        <v>50</v>
      </c>
      <c r="E25" s="96" t="s">
        <v>50</v>
      </c>
      <c r="F25" s="97"/>
      <c r="G25" s="97" t="s">
        <v>35</v>
      </c>
      <c r="H25" s="96"/>
      <c r="I25" s="101"/>
      <c r="J25" s="101"/>
      <c r="K25" s="1"/>
      <c r="L25" s="99"/>
      <c r="M25" s="99"/>
    </row>
    <row r="26" spans="3:13" ht="26.25" customHeight="1">
      <c r="C26" s="95"/>
      <c r="D26" s="96" t="s">
        <v>50</v>
      </c>
      <c r="E26" s="96" t="s">
        <v>50</v>
      </c>
      <c r="F26" s="97"/>
      <c r="G26" s="97" t="s">
        <v>35</v>
      </c>
      <c r="H26" s="96"/>
      <c r="I26" s="101"/>
      <c r="J26" s="101"/>
      <c r="K26" s="1"/>
      <c r="L26" s="99"/>
      <c r="M26" s="99"/>
    </row>
    <row r="27" spans="3:13" ht="26.25" customHeight="1">
      <c r="C27" s="95"/>
      <c r="D27" s="96" t="s">
        <v>50</v>
      </c>
      <c r="E27" s="96" t="s">
        <v>50</v>
      </c>
      <c r="F27" s="97"/>
      <c r="G27" s="97" t="s">
        <v>35</v>
      </c>
      <c r="H27" s="96"/>
      <c r="I27" s="102"/>
      <c r="J27" s="102"/>
      <c r="K27" s="1"/>
      <c r="L27" s="99"/>
      <c r="M27" s="99"/>
    </row>
    <row r="28" spans="3:13" ht="26.25" customHeight="1">
      <c r="C28" s="95"/>
      <c r="D28" s="96" t="s">
        <v>50</v>
      </c>
      <c r="E28" s="96" t="s">
        <v>50</v>
      </c>
      <c r="F28" s="97"/>
      <c r="G28" s="97" t="s">
        <v>35</v>
      </c>
      <c r="H28" s="96"/>
      <c r="I28" s="102"/>
      <c r="J28" s="102"/>
      <c r="K28" s="1"/>
      <c r="L28" s="99"/>
      <c r="M28" s="99"/>
    </row>
    <row r="29" spans="3:13" ht="26.25" customHeight="1">
      <c r="C29" s="95"/>
      <c r="D29" s="96" t="s">
        <v>50</v>
      </c>
      <c r="E29" s="96" t="s">
        <v>50</v>
      </c>
      <c r="F29" s="97"/>
      <c r="G29" s="97" t="s">
        <v>35</v>
      </c>
      <c r="H29" s="96"/>
      <c r="I29" s="102"/>
      <c r="J29" s="102"/>
      <c r="K29" s="1"/>
      <c r="L29" s="99"/>
      <c r="M29" s="99"/>
    </row>
    <row r="30" spans="3:13" ht="26.25" customHeight="1">
      <c r="C30" s="95"/>
      <c r="D30" s="96" t="s">
        <v>50</v>
      </c>
      <c r="E30" s="96" t="s">
        <v>50</v>
      </c>
      <c r="F30" s="97"/>
      <c r="G30" s="97" t="s">
        <v>35</v>
      </c>
      <c r="H30" s="96"/>
      <c r="I30" s="102"/>
      <c r="J30" s="102"/>
      <c r="K30" s="1"/>
      <c r="L30" s="99"/>
      <c r="M30" s="99"/>
    </row>
    <row r="31" spans="3:13" ht="26.25" customHeight="1">
      <c r="C31" s="95"/>
      <c r="D31" s="96" t="s">
        <v>50</v>
      </c>
      <c r="E31" s="96" t="s">
        <v>50</v>
      </c>
      <c r="F31" s="97"/>
      <c r="G31" s="97" t="s">
        <v>35</v>
      </c>
      <c r="H31" s="96"/>
      <c r="I31" s="102"/>
      <c r="J31" s="102"/>
      <c r="K31" s="1"/>
      <c r="L31" s="99"/>
      <c r="M31" s="99"/>
    </row>
    <row r="32" spans="3:13" ht="26.25" customHeight="1">
      <c r="C32" s="95"/>
      <c r="D32" s="96" t="s">
        <v>50</v>
      </c>
      <c r="E32" s="96" t="s">
        <v>50</v>
      </c>
      <c r="F32" s="97"/>
      <c r="G32" s="97" t="s">
        <v>35</v>
      </c>
      <c r="H32" s="96"/>
      <c r="I32" s="102"/>
      <c r="J32" s="102"/>
      <c r="K32" s="1"/>
      <c r="L32" s="99"/>
      <c r="M32" s="99"/>
    </row>
    <row r="33" spans="3:13" ht="26.25" customHeight="1">
      <c r="C33" s="95"/>
      <c r="D33" s="96" t="s">
        <v>50</v>
      </c>
      <c r="E33" s="96" t="s">
        <v>50</v>
      </c>
      <c r="F33" s="97"/>
      <c r="G33" s="97" t="s">
        <v>35</v>
      </c>
      <c r="H33" s="96"/>
      <c r="I33" s="102"/>
      <c r="J33" s="102"/>
      <c r="K33" s="1"/>
      <c r="L33" s="99"/>
      <c r="M33" s="99"/>
    </row>
    <row r="34" spans="3:13" ht="26.25" customHeight="1">
      <c r="C34" s="95"/>
      <c r="D34" s="96" t="s">
        <v>50</v>
      </c>
      <c r="E34" s="96" t="s">
        <v>50</v>
      </c>
      <c r="F34" s="97"/>
      <c r="G34" s="97" t="s">
        <v>35</v>
      </c>
      <c r="H34" s="96"/>
      <c r="I34" s="102"/>
      <c r="J34" s="102"/>
      <c r="K34" s="1"/>
      <c r="L34" s="99"/>
      <c r="M34" s="99"/>
    </row>
    <row r="35" spans="3:13" ht="26.25" customHeight="1">
      <c r="C35" s="95"/>
      <c r="D35" s="96" t="s">
        <v>50</v>
      </c>
      <c r="E35" s="96" t="s">
        <v>50</v>
      </c>
      <c r="F35" s="97"/>
      <c r="G35" s="97" t="s">
        <v>35</v>
      </c>
      <c r="H35" s="96"/>
      <c r="I35" s="102"/>
      <c r="J35" s="102"/>
      <c r="K35" s="1"/>
      <c r="L35" s="99"/>
      <c r="M35" s="99"/>
    </row>
    <row r="36" spans="3:13" ht="26.25" customHeight="1">
      <c r="C36" s="95"/>
      <c r="D36" s="96" t="s">
        <v>50</v>
      </c>
      <c r="E36" s="96" t="s">
        <v>50</v>
      </c>
      <c r="F36" s="97"/>
      <c r="G36" s="97" t="s">
        <v>35</v>
      </c>
      <c r="H36" s="96"/>
      <c r="I36" s="102"/>
      <c r="J36" s="102"/>
      <c r="K36" s="1"/>
      <c r="L36" s="99"/>
      <c r="M36" s="99"/>
    </row>
    <row r="37" spans="3:13" ht="26.25" customHeight="1">
      <c r="C37" s="95"/>
      <c r="D37" s="96" t="s">
        <v>50</v>
      </c>
      <c r="E37" s="96" t="s">
        <v>50</v>
      </c>
      <c r="F37" s="97"/>
      <c r="G37" s="97" t="s">
        <v>35</v>
      </c>
      <c r="H37" s="96"/>
      <c r="I37" s="102"/>
      <c r="J37" s="102"/>
      <c r="K37" s="1"/>
      <c r="L37" s="99"/>
      <c r="M37" s="99"/>
    </row>
    <row r="38" spans="3:13" ht="25.8">
      <c r="C38" s="17"/>
      <c r="D38" s="96" t="s">
        <v>50</v>
      </c>
      <c r="E38" s="96" t="s">
        <v>50</v>
      </c>
      <c r="F38" s="97"/>
      <c r="G38" s="97" t="s">
        <v>35</v>
      </c>
      <c r="H38" s="103"/>
      <c r="I38" s="103"/>
      <c r="J38" s="103"/>
      <c r="K38" s="1"/>
      <c r="L38" s="99"/>
      <c r="M38" s="99"/>
    </row>
    <row r="39" spans="3:13" ht="26.25" customHeight="1">
      <c r="C39" s="17"/>
      <c r="D39" s="96" t="s">
        <v>50</v>
      </c>
      <c r="E39" s="96" t="s">
        <v>50</v>
      </c>
      <c r="F39" s="97"/>
      <c r="G39" s="97" t="s">
        <v>35</v>
      </c>
      <c r="H39" s="103"/>
      <c r="I39" s="103"/>
      <c r="J39" s="103"/>
      <c r="L39" s="17"/>
      <c r="M39" s="17"/>
    </row>
    <row r="40" spans="3:13" ht="26.25" customHeight="1">
      <c r="C40" s="17"/>
      <c r="D40" s="96" t="s">
        <v>50</v>
      </c>
      <c r="E40" s="96" t="s">
        <v>50</v>
      </c>
      <c r="F40" s="97"/>
      <c r="G40" s="97" t="s">
        <v>35</v>
      </c>
      <c r="H40" s="103"/>
      <c r="I40" s="103"/>
      <c r="J40" s="103"/>
      <c r="L40" s="17"/>
      <c r="M40" s="17"/>
    </row>
    <row r="41" spans="3:13" ht="26.25" customHeight="1">
      <c r="C41" s="17"/>
      <c r="D41" s="96" t="s">
        <v>50</v>
      </c>
      <c r="E41" s="96" t="s">
        <v>50</v>
      </c>
      <c r="F41" s="97"/>
      <c r="G41" s="97" t="s">
        <v>35</v>
      </c>
      <c r="H41" s="103"/>
      <c r="I41" s="103"/>
      <c r="J41" s="103"/>
      <c r="L41" s="17"/>
      <c r="M41" s="17"/>
    </row>
    <row r="42" spans="3:13" ht="26.25" customHeight="1">
      <c r="C42" s="17"/>
      <c r="D42" s="96" t="s">
        <v>50</v>
      </c>
      <c r="E42" s="96" t="s">
        <v>50</v>
      </c>
      <c r="F42" s="97"/>
      <c r="G42" s="97" t="s">
        <v>35</v>
      </c>
      <c r="H42" s="103"/>
      <c r="I42" s="103"/>
      <c r="J42" s="103"/>
      <c r="L42" s="17"/>
      <c r="M42" s="17"/>
    </row>
    <row r="43" spans="3:13" ht="26.25" customHeight="1">
      <c r="C43" s="17"/>
      <c r="D43" s="96" t="s">
        <v>50</v>
      </c>
      <c r="E43" s="96" t="s">
        <v>50</v>
      </c>
      <c r="F43" s="97"/>
      <c r="G43" s="97" t="s">
        <v>35</v>
      </c>
      <c r="H43" s="103"/>
      <c r="I43" s="103"/>
      <c r="J43" s="103"/>
      <c r="L43" s="17"/>
      <c r="M43" s="17"/>
    </row>
    <row r="44" spans="3:13" ht="26.25" customHeight="1">
      <c r="C44" s="17"/>
      <c r="D44" s="96" t="s">
        <v>50</v>
      </c>
      <c r="E44" s="96" t="s">
        <v>50</v>
      </c>
      <c r="F44" s="97"/>
      <c r="G44" s="97" t="s">
        <v>35</v>
      </c>
      <c r="H44" s="103"/>
      <c r="I44" s="103"/>
      <c r="J44" s="103"/>
      <c r="L44" s="17"/>
      <c r="M44" s="17"/>
    </row>
    <row r="45" spans="3:13" ht="26.25" customHeight="1">
      <c r="C45" s="17"/>
      <c r="D45" s="96" t="s">
        <v>50</v>
      </c>
      <c r="E45" s="96" t="s">
        <v>50</v>
      </c>
      <c r="F45" s="97"/>
      <c r="G45" s="97" t="s">
        <v>35</v>
      </c>
      <c r="H45" s="103"/>
      <c r="I45" s="103"/>
      <c r="J45" s="103"/>
      <c r="L45" s="17"/>
      <c r="M45" s="17"/>
    </row>
    <row r="46" spans="3:13" ht="26.25" customHeight="1">
      <c r="C46" s="17"/>
      <c r="D46" s="96" t="s">
        <v>50</v>
      </c>
      <c r="E46" s="96" t="s">
        <v>50</v>
      </c>
      <c r="F46" s="97"/>
      <c r="G46" s="97" t="s">
        <v>35</v>
      </c>
      <c r="H46" s="103"/>
      <c r="I46" s="103"/>
      <c r="J46" s="103"/>
      <c r="L46" s="17"/>
      <c r="M46" s="17"/>
    </row>
    <row r="47" spans="3:13" ht="26.25" customHeight="1">
      <c r="C47" s="96"/>
      <c r="D47" s="96" t="s">
        <v>50</v>
      </c>
      <c r="E47" s="96" t="s">
        <v>50</v>
      </c>
      <c r="F47" s="97"/>
      <c r="G47" s="97" t="s">
        <v>35</v>
      </c>
      <c r="H47" s="96"/>
      <c r="I47" s="96"/>
      <c r="J47" s="96"/>
      <c r="L47" s="96"/>
      <c r="M47" s="96"/>
    </row>
    <row r="48" spans="3:13" ht="26.25" customHeight="1">
      <c r="C48" s="96"/>
      <c r="D48" s="96" t="s">
        <v>50</v>
      </c>
      <c r="E48" s="96" t="s">
        <v>50</v>
      </c>
      <c r="F48" s="97"/>
      <c r="G48" s="97" t="s">
        <v>35</v>
      </c>
      <c r="H48" s="96"/>
      <c r="I48" s="96"/>
      <c r="J48" s="96"/>
      <c r="L48" s="96"/>
      <c r="M48" s="96"/>
    </row>
    <row r="49" spans="3:13" ht="26.25" customHeight="1">
      <c r="C49" s="96"/>
      <c r="D49" s="96" t="s">
        <v>50</v>
      </c>
      <c r="E49" s="96" t="s">
        <v>50</v>
      </c>
      <c r="F49" s="97"/>
      <c r="G49" s="97" t="s">
        <v>35</v>
      </c>
      <c r="H49" s="96"/>
      <c r="I49" s="96"/>
      <c r="J49" s="96"/>
      <c r="L49" s="96"/>
      <c r="M49" s="96"/>
    </row>
    <row r="50" spans="3:13" ht="26.25" customHeight="1">
      <c r="C50" s="96"/>
      <c r="D50" s="96" t="s">
        <v>50</v>
      </c>
      <c r="E50" s="96" t="s">
        <v>50</v>
      </c>
      <c r="F50" s="97"/>
      <c r="G50" s="97" t="s">
        <v>35</v>
      </c>
      <c r="H50" s="96"/>
      <c r="I50" s="96"/>
      <c r="J50" s="96"/>
      <c r="L50" s="96"/>
      <c r="M50" s="96"/>
    </row>
    <row r="51" spans="3:13" ht="26.25" customHeight="1">
      <c r="C51" s="96"/>
      <c r="D51" s="96" t="s">
        <v>50</v>
      </c>
      <c r="E51" s="96" t="s">
        <v>50</v>
      </c>
      <c r="F51" s="97"/>
      <c r="G51" s="97" t="s">
        <v>35</v>
      </c>
      <c r="H51" s="96"/>
      <c r="I51" s="96"/>
      <c r="J51" s="96"/>
      <c r="L51" s="96"/>
      <c r="M51" s="96"/>
    </row>
    <row r="52" spans="3:13" ht="26.25" customHeight="1">
      <c r="C52" s="96"/>
      <c r="D52" s="96" t="s">
        <v>50</v>
      </c>
      <c r="E52" s="96" t="s">
        <v>50</v>
      </c>
      <c r="F52" s="97"/>
      <c r="G52" s="97" t="s">
        <v>35</v>
      </c>
      <c r="H52" s="96"/>
      <c r="I52" s="96"/>
      <c r="J52" s="96"/>
      <c r="L52" s="96"/>
      <c r="M52" s="96"/>
    </row>
    <row r="53" spans="3:13" ht="26.25" customHeight="1">
      <c r="C53" s="96"/>
      <c r="D53" s="96" t="s">
        <v>50</v>
      </c>
      <c r="E53" s="96" t="s">
        <v>50</v>
      </c>
      <c r="F53" s="97"/>
      <c r="G53" s="97" t="s">
        <v>35</v>
      </c>
      <c r="H53" s="96"/>
      <c r="I53" s="96"/>
      <c r="J53" s="96"/>
      <c r="L53" s="96"/>
      <c r="M53" s="96"/>
    </row>
    <row r="54" spans="3:13" ht="26.25" customHeight="1">
      <c r="C54" s="96"/>
      <c r="D54" s="96" t="s">
        <v>50</v>
      </c>
      <c r="E54" s="96" t="s">
        <v>50</v>
      </c>
      <c r="F54" s="97"/>
      <c r="G54" s="97" t="s">
        <v>35</v>
      </c>
      <c r="H54" s="96"/>
      <c r="I54" s="96"/>
      <c r="J54" s="96"/>
      <c r="L54" s="96"/>
      <c r="M54" s="96"/>
    </row>
    <row r="55" spans="3:13" ht="26.25" customHeight="1">
      <c r="C55" s="96"/>
      <c r="D55" s="96" t="s">
        <v>50</v>
      </c>
      <c r="E55" s="96" t="s">
        <v>50</v>
      </c>
      <c r="F55" s="97"/>
      <c r="G55" s="97" t="s">
        <v>35</v>
      </c>
      <c r="H55" s="96"/>
      <c r="I55" s="96"/>
      <c r="J55" s="96"/>
      <c r="L55" s="96"/>
      <c r="M55" s="96"/>
    </row>
    <row r="56" spans="3:13" ht="26.25" customHeight="1">
      <c r="C56" s="96"/>
      <c r="D56" s="96" t="s">
        <v>50</v>
      </c>
      <c r="E56" s="96" t="s">
        <v>50</v>
      </c>
      <c r="F56" s="97"/>
      <c r="G56" s="97" t="s">
        <v>35</v>
      </c>
      <c r="H56" s="96"/>
      <c r="I56" s="96"/>
      <c r="J56" s="96"/>
      <c r="L56" s="96"/>
      <c r="M56" s="96"/>
    </row>
    <row r="57" spans="3:13" ht="26.25" customHeight="1">
      <c r="C57" s="96"/>
      <c r="D57" s="96" t="s">
        <v>50</v>
      </c>
      <c r="E57" s="96" t="s">
        <v>50</v>
      </c>
      <c r="F57" s="97"/>
      <c r="G57" s="97" t="s">
        <v>35</v>
      </c>
      <c r="H57" s="96"/>
      <c r="I57" s="96"/>
      <c r="J57" s="96"/>
      <c r="L57" s="96"/>
      <c r="M57" s="96"/>
    </row>
    <row r="58" spans="3:13" ht="26.25" customHeight="1">
      <c r="C58" s="96"/>
      <c r="D58" s="96" t="s">
        <v>50</v>
      </c>
      <c r="E58" s="96" t="s">
        <v>50</v>
      </c>
      <c r="F58" s="97"/>
      <c r="G58" s="97" t="s">
        <v>35</v>
      </c>
      <c r="H58" s="96"/>
      <c r="I58" s="96"/>
      <c r="J58" s="96"/>
      <c r="L58" s="96"/>
      <c r="M58" s="96"/>
    </row>
    <row r="59" spans="3:13" ht="25.8">
      <c r="C59" s="96"/>
      <c r="D59" s="96" t="s">
        <v>50</v>
      </c>
      <c r="E59" s="96" t="s">
        <v>50</v>
      </c>
      <c r="F59" s="97"/>
      <c r="G59" s="97" t="s">
        <v>35</v>
      </c>
      <c r="H59" s="96"/>
      <c r="I59" s="96"/>
      <c r="J59" s="96"/>
      <c r="L59" s="96"/>
      <c r="M59" s="96"/>
    </row>
    <row r="60" spans="3:13" ht="25.8">
      <c r="C60" s="96"/>
      <c r="D60" s="96" t="s">
        <v>50</v>
      </c>
      <c r="E60" s="96" t="s">
        <v>50</v>
      </c>
      <c r="F60" s="97"/>
      <c r="G60" s="97" t="s">
        <v>35</v>
      </c>
      <c r="H60" s="96"/>
      <c r="I60" s="96"/>
      <c r="J60" s="96"/>
      <c r="L60" s="96"/>
      <c r="M60" s="96"/>
    </row>
    <row r="61" spans="3:13" ht="25.8">
      <c r="C61" s="96"/>
      <c r="D61" s="96" t="s">
        <v>50</v>
      </c>
      <c r="E61" s="96" t="s">
        <v>50</v>
      </c>
      <c r="F61" s="97"/>
      <c r="G61" s="97" t="s">
        <v>35</v>
      </c>
      <c r="H61" s="96"/>
      <c r="I61" s="96"/>
      <c r="J61" s="96"/>
      <c r="L61" s="96"/>
      <c r="M61" s="96"/>
    </row>
    <row r="62" spans="3:13" ht="25.8">
      <c r="C62" s="96"/>
      <c r="D62" s="96" t="s">
        <v>50</v>
      </c>
      <c r="E62" s="96" t="s">
        <v>50</v>
      </c>
      <c r="F62" s="97"/>
      <c r="G62" s="97" t="s">
        <v>35</v>
      </c>
      <c r="H62" s="96"/>
      <c r="I62" s="96"/>
      <c r="J62" s="96"/>
      <c r="L62" s="96"/>
      <c r="M62" s="96"/>
    </row>
    <row r="63" spans="3:13" ht="25.8">
      <c r="C63" s="96"/>
      <c r="D63" s="96" t="s">
        <v>50</v>
      </c>
      <c r="E63" s="96" t="s">
        <v>50</v>
      </c>
      <c r="F63" s="97"/>
      <c r="G63" s="97" t="s">
        <v>35</v>
      </c>
      <c r="H63" s="96"/>
      <c r="I63" s="96"/>
      <c r="J63" s="96"/>
      <c r="L63" s="96"/>
      <c r="M63" s="96"/>
    </row>
    <row r="64" spans="3:13" ht="25.8">
      <c r="C64" s="96"/>
      <c r="D64" s="96" t="s">
        <v>50</v>
      </c>
      <c r="E64" s="96" t="s">
        <v>50</v>
      </c>
      <c r="F64" s="97"/>
      <c r="G64" s="97" t="s">
        <v>35</v>
      </c>
      <c r="H64" s="96"/>
      <c r="I64" s="96"/>
      <c r="J64" s="96"/>
      <c r="L64" s="96"/>
      <c r="M64" s="96"/>
    </row>
    <row r="65" spans="3:13" ht="25.8">
      <c r="C65" s="96"/>
      <c r="D65" s="96" t="s">
        <v>50</v>
      </c>
      <c r="E65" s="96" t="s">
        <v>50</v>
      </c>
      <c r="F65" s="97"/>
      <c r="G65" s="97" t="s">
        <v>35</v>
      </c>
      <c r="H65" s="96"/>
      <c r="I65" s="96"/>
      <c r="J65" s="96"/>
      <c r="L65" s="96"/>
      <c r="M65" s="96"/>
    </row>
    <row r="66" spans="3:13" ht="25.8">
      <c r="C66" s="96"/>
      <c r="D66" s="96" t="s">
        <v>50</v>
      </c>
      <c r="E66" s="96" t="s">
        <v>50</v>
      </c>
      <c r="F66" s="97"/>
      <c r="G66" s="97" t="s">
        <v>35</v>
      </c>
      <c r="H66" s="96"/>
      <c r="I66" s="96"/>
      <c r="J66" s="96"/>
      <c r="L66" s="96"/>
      <c r="M66" s="96"/>
    </row>
    <row r="67" spans="3:13" ht="25.8">
      <c r="C67" s="96"/>
      <c r="D67" s="96" t="s">
        <v>50</v>
      </c>
      <c r="E67" s="96" t="s">
        <v>50</v>
      </c>
      <c r="F67" s="97"/>
      <c r="G67" s="97" t="s">
        <v>35</v>
      </c>
      <c r="H67" s="96"/>
      <c r="I67" s="96"/>
      <c r="J67" s="96"/>
      <c r="L67" s="96"/>
      <c r="M67" s="96"/>
    </row>
    <row r="68" spans="3:13" ht="25.8">
      <c r="C68" s="96"/>
      <c r="D68" s="96" t="s">
        <v>50</v>
      </c>
      <c r="E68" s="96" t="s">
        <v>50</v>
      </c>
      <c r="F68" s="97"/>
      <c r="G68" s="97" t="s">
        <v>35</v>
      </c>
      <c r="H68" s="96"/>
      <c r="I68" s="96"/>
      <c r="J68" s="96"/>
      <c r="L68" s="96"/>
      <c r="M68" s="96"/>
    </row>
    <row r="69" spans="3:13" ht="25.8">
      <c r="C69" s="96"/>
      <c r="D69" s="96" t="s">
        <v>50</v>
      </c>
      <c r="E69" s="96" t="s">
        <v>50</v>
      </c>
      <c r="F69" s="97"/>
      <c r="G69" s="97" t="s">
        <v>35</v>
      </c>
      <c r="H69" s="96"/>
      <c r="I69" s="96"/>
      <c r="J69" s="96"/>
      <c r="L69" s="96"/>
      <c r="M69" s="96"/>
    </row>
    <row r="70" spans="3:13" ht="25.8">
      <c r="C70" s="96"/>
      <c r="D70" s="96" t="s">
        <v>50</v>
      </c>
      <c r="E70" s="96" t="s">
        <v>50</v>
      </c>
      <c r="F70" s="97"/>
      <c r="G70" s="97" t="s">
        <v>35</v>
      </c>
      <c r="H70" s="96"/>
      <c r="I70" s="96"/>
      <c r="J70" s="96"/>
      <c r="L70" s="96"/>
      <c r="M70" s="96"/>
    </row>
    <row r="71" spans="3:13" ht="25.8">
      <c r="C71" s="96"/>
      <c r="D71" s="96" t="s">
        <v>50</v>
      </c>
      <c r="E71" s="96" t="s">
        <v>50</v>
      </c>
      <c r="F71" s="97"/>
      <c r="G71" s="97" t="s">
        <v>35</v>
      </c>
      <c r="H71" s="96"/>
      <c r="I71" s="96"/>
      <c r="J71" s="96"/>
      <c r="L71" s="96"/>
      <c r="M71" s="96"/>
    </row>
    <row r="72" spans="3:13" ht="25.8">
      <c r="C72" s="96"/>
      <c r="D72" s="96" t="s">
        <v>50</v>
      </c>
      <c r="E72" s="96" t="s">
        <v>50</v>
      </c>
      <c r="F72" s="97"/>
      <c r="G72" s="97" t="s">
        <v>35</v>
      </c>
      <c r="H72" s="96"/>
      <c r="I72" s="96"/>
      <c r="J72" s="96"/>
      <c r="L72" s="96"/>
      <c r="M72" s="96"/>
    </row>
    <row r="73" spans="3:13" ht="25.8">
      <c r="C73" s="96"/>
      <c r="D73" s="96" t="s">
        <v>50</v>
      </c>
      <c r="E73" s="96" t="s">
        <v>50</v>
      </c>
      <c r="F73" s="97"/>
      <c r="G73" s="97" t="s">
        <v>35</v>
      </c>
      <c r="H73" s="96"/>
      <c r="I73" s="96"/>
      <c r="J73" s="96"/>
      <c r="L73" s="96"/>
      <c r="M73" s="96"/>
    </row>
    <row r="74" spans="3:13" ht="25.8">
      <c r="C74" s="96"/>
      <c r="D74" s="96" t="s">
        <v>50</v>
      </c>
      <c r="E74" s="96" t="s">
        <v>50</v>
      </c>
      <c r="F74" s="97"/>
      <c r="G74" s="97" t="s">
        <v>35</v>
      </c>
      <c r="H74" s="96"/>
      <c r="I74" s="96"/>
      <c r="J74" s="96"/>
      <c r="L74" s="96"/>
      <c r="M74" s="96"/>
    </row>
    <row r="75" spans="3:13" ht="25.8">
      <c r="C75" s="96"/>
      <c r="D75" s="96" t="s">
        <v>50</v>
      </c>
      <c r="E75" s="96" t="s">
        <v>50</v>
      </c>
      <c r="F75" s="97"/>
      <c r="G75" s="97" t="s">
        <v>35</v>
      </c>
      <c r="H75" s="96"/>
      <c r="I75" s="96"/>
      <c r="J75" s="96"/>
      <c r="L75" s="96"/>
      <c r="M75" s="96"/>
    </row>
    <row r="76" spans="3:13" ht="25.8">
      <c r="C76" s="96"/>
      <c r="D76" s="96" t="s">
        <v>50</v>
      </c>
      <c r="E76" s="96" t="s">
        <v>50</v>
      </c>
      <c r="F76" s="97"/>
      <c r="G76" s="97" t="s">
        <v>35</v>
      </c>
      <c r="H76" s="96"/>
      <c r="I76" s="96"/>
      <c r="J76" s="96"/>
      <c r="L76" s="96"/>
      <c r="M76" s="96"/>
    </row>
    <row r="77" spans="3:13" ht="25.8">
      <c r="C77" s="96"/>
      <c r="D77" s="96" t="s">
        <v>50</v>
      </c>
      <c r="E77" s="96" t="s">
        <v>50</v>
      </c>
      <c r="F77" s="97"/>
      <c r="G77" s="97" t="s">
        <v>35</v>
      </c>
      <c r="H77" s="96"/>
      <c r="I77" s="96"/>
      <c r="J77" s="96"/>
      <c r="L77" s="96"/>
      <c r="M77" s="96"/>
    </row>
    <row r="78" spans="3:13" ht="25.8">
      <c r="C78" s="96"/>
      <c r="D78" s="96" t="s">
        <v>50</v>
      </c>
      <c r="E78" s="96" t="s">
        <v>50</v>
      </c>
      <c r="F78" s="97"/>
      <c r="G78" s="97" t="s">
        <v>35</v>
      </c>
      <c r="H78" s="96"/>
      <c r="I78" s="96"/>
      <c r="J78" s="96"/>
      <c r="L78" s="96"/>
      <c r="M78" s="96"/>
    </row>
    <row r="79" spans="3:13" ht="25.8">
      <c r="C79" s="96"/>
      <c r="D79" s="96" t="s">
        <v>50</v>
      </c>
      <c r="E79" s="96" t="s">
        <v>50</v>
      </c>
      <c r="F79" s="97"/>
      <c r="G79" s="97" t="s">
        <v>35</v>
      </c>
      <c r="H79" s="96"/>
      <c r="I79" s="96"/>
      <c r="J79" s="96"/>
      <c r="L79" s="96"/>
      <c r="M79" s="96"/>
    </row>
    <row r="80" spans="3:13" ht="25.8">
      <c r="C80" s="96"/>
      <c r="D80" s="96" t="s">
        <v>50</v>
      </c>
      <c r="E80" s="96" t="s">
        <v>50</v>
      </c>
      <c r="F80" s="97"/>
      <c r="G80" s="97" t="s">
        <v>35</v>
      </c>
      <c r="H80" s="96"/>
      <c r="I80" s="96"/>
      <c r="J80" s="96"/>
      <c r="L80" s="96"/>
      <c r="M80" s="96"/>
    </row>
    <row r="81" spans="3:13" ht="25.8">
      <c r="C81" s="96"/>
      <c r="D81" s="96" t="s">
        <v>50</v>
      </c>
      <c r="E81" s="96" t="s">
        <v>50</v>
      </c>
      <c r="F81" s="97"/>
      <c r="G81" s="97" t="s">
        <v>35</v>
      </c>
      <c r="H81" s="96"/>
      <c r="I81" s="96"/>
      <c r="J81" s="96"/>
      <c r="L81" s="96"/>
      <c r="M81" s="96"/>
    </row>
    <row r="82" spans="3:13" ht="25.8">
      <c r="C82" s="96"/>
      <c r="D82" s="96" t="s">
        <v>50</v>
      </c>
      <c r="E82" s="96" t="s">
        <v>50</v>
      </c>
      <c r="F82" s="97"/>
      <c r="G82" s="97" t="s">
        <v>35</v>
      </c>
      <c r="H82" s="96"/>
      <c r="I82" s="96"/>
      <c r="J82" s="96"/>
      <c r="L82" s="96"/>
      <c r="M82" s="96"/>
    </row>
    <row r="83" spans="3:13" ht="25.8">
      <c r="C83" s="96"/>
      <c r="D83" s="96" t="s">
        <v>50</v>
      </c>
      <c r="E83" s="96" t="s">
        <v>50</v>
      </c>
      <c r="F83" s="97"/>
      <c r="G83" s="97" t="s">
        <v>35</v>
      </c>
      <c r="H83" s="96"/>
      <c r="I83" s="96"/>
      <c r="J83" s="96"/>
      <c r="L83" s="96"/>
      <c r="M83" s="96"/>
    </row>
    <row r="84" spans="3:13" ht="25.8">
      <c r="C84" s="96"/>
      <c r="D84" s="96" t="s">
        <v>50</v>
      </c>
      <c r="E84" s="96" t="s">
        <v>50</v>
      </c>
      <c r="F84" s="97"/>
      <c r="G84" s="97" t="s">
        <v>35</v>
      </c>
      <c r="H84" s="96"/>
      <c r="I84" s="96"/>
      <c r="J84" s="96"/>
      <c r="L84" s="96"/>
      <c r="M84" s="96"/>
    </row>
    <row r="85" spans="3:13" ht="25.8">
      <c r="C85" s="96"/>
      <c r="D85" s="96" t="s">
        <v>50</v>
      </c>
      <c r="E85" s="96" t="s">
        <v>50</v>
      </c>
      <c r="F85" s="97"/>
      <c r="G85" s="97" t="s">
        <v>35</v>
      </c>
      <c r="H85" s="96"/>
      <c r="I85" s="96"/>
      <c r="J85" s="96"/>
      <c r="L85" s="96"/>
      <c r="M85" s="96"/>
    </row>
    <row r="86" spans="3:13" ht="25.8">
      <c r="C86" s="96"/>
      <c r="D86" s="96" t="s">
        <v>50</v>
      </c>
      <c r="E86" s="96" t="s">
        <v>50</v>
      </c>
      <c r="F86" s="97"/>
      <c r="G86" s="97" t="s">
        <v>35</v>
      </c>
      <c r="H86" s="96"/>
      <c r="I86" s="96"/>
      <c r="J86" s="96"/>
      <c r="L86" s="96"/>
      <c r="M86" s="96"/>
    </row>
    <row r="87" spans="3:13" ht="25.8">
      <c r="C87" s="96"/>
      <c r="D87" s="96" t="s">
        <v>50</v>
      </c>
      <c r="E87" s="96" t="s">
        <v>50</v>
      </c>
      <c r="F87" s="97"/>
      <c r="G87" s="97" t="s">
        <v>35</v>
      </c>
      <c r="H87" s="96"/>
      <c r="I87" s="96"/>
      <c r="J87" s="96"/>
      <c r="L87" s="96"/>
      <c r="M87" s="96"/>
    </row>
    <row r="88" spans="3:13" ht="25.8">
      <c r="C88" s="96"/>
      <c r="D88" s="96" t="s">
        <v>50</v>
      </c>
      <c r="E88" s="96" t="s">
        <v>50</v>
      </c>
      <c r="F88" s="97"/>
      <c r="G88" s="97" t="s">
        <v>35</v>
      </c>
      <c r="H88" s="96"/>
      <c r="I88" s="96"/>
      <c r="J88" s="96"/>
      <c r="L88" s="96"/>
      <c r="M88" s="96"/>
    </row>
    <row r="89" spans="3:13" ht="25.8">
      <c r="C89" s="96"/>
      <c r="D89" s="96" t="s">
        <v>50</v>
      </c>
      <c r="E89" s="96" t="s">
        <v>50</v>
      </c>
      <c r="F89" s="97"/>
      <c r="G89" s="97" t="s">
        <v>35</v>
      </c>
      <c r="H89" s="96"/>
      <c r="I89" s="96"/>
      <c r="J89" s="96"/>
      <c r="L89" s="96"/>
      <c r="M89" s="96"/>
    </row>
    <row r="90" spans="3:13" ht="25.8">
      <c r="C90" s="96"/>
      <c r="D90" s="96" t="s">
        <v>50</v>
      </c>
      <c r="E90" s="96" t="s">
        <v>50</v>
      </c>
      <c r="F90" s="97"/>
      <c r="G90" s="97" t="s">
        <v>35</v>
      </c>
      <c r="H90" s="96"/>
      <c r="I90" s="96"/>
      <c r="J90" s="96"/>
      <c r="L90" s="96"/>
      <c r="M90" s="96"/>
    </row>
    <row r="91" spans="3:13" ht="25.8">
      <c r="C91" s="96"/>
      <c r="D91" s="96" t="s">
        <v>50</v>
      </c>
      <c r="E91" s="96" t="s">
        <v>50</v>
      </c>
      <c r="F91" s="97"/>
      <c r="G91" s="97" t="s">
        <v>35</v>
      </c>
      <c r="H91" s="96"/>
      <c r="I91" s="96"/>
      <c r="J91" s="96"/>
      <c r="L91" s="96"/>
      <c r="M91" s="96"/>
    </row>
    <row r="92" spans="3:13" ht="25.8">
      <c r="C92" s="96"/>
      <c r="D92" s="96" t="s">
        <v>50</v>
      </c>
      <c r="E92" s="96" t="s">
        <v>50</v>
      </c>
      <c r="F92" s="97"/>
      <c r="G92" s="97" t="s">
        <v>35</v>
      </c>
      <c r="H92" s="96"/>
      <c r="I92" s="96"/>
      <c r="J92" s="96"/>
      <c r="L92" s="96"/>
      <c r="M92" s="96"/>
    </row>
    <row r="93" spans="3:13" ht="25.8">
      <c r="C93" s="96"/>
      <c r="D93" s="96" t="s">
        <v>50</v>
      </c>
      <c r="E93" s="96" t="s">
        <v>50</v>
      </c>
      <c r="F93" s="97"/>
      <c r="G93" s="97" t="s">
        <v>35</v>
      </c>
      <c r="H93" s="96"/>
      <c r="I93" s="96"/>
      <c r="J93" s="96"/>
      <c r="L93" s="96"/>
      <c r="M93" s="96"/>
    </row>
    <row r="94" spans="3:13" ht="25.8">
      <c r="C94" s="96"/>
      <c r="D94" s="96" t="s">
        <v>50</v>
      </c>
      <c r="E94" s="96" t="s">
        <v>50</v>
      </c>
      <c r="F94" s="97"/>
      <c r="G94" s="97" t="s">
        <v>35</v>
      </c>
      <c r="H94" s="96"/>
      <c r="I94" s="96"/>
      <c r="J94" s="96"/>
      <c r="L94" s="96"/>
      <c r="M94" s="96"/>
    </row>
    <row r="95" spans="3:13" ht="25.8">
      <c r="C95" s="96"/>
      <c r="D95" s="96" t="s">
        <v>50</v>
      </c>
      <c r="E95" s="96" t="s">
        <v>50</v>
      </c>
      <c r="F95" s="97"/>
      <c r="G95" s="97" t="s">
        <v>35</v>
      </c>
      <c r="H95" s="96"/>
      <c r="I95" s="96"/>
      <c r="J95" s="96"/>
      <c r="L95" s="96"/>
      <c r="M95" s="96"/>
    </row>
    <row r="96" spans="3:13" ht="25.8">
      <c r="C96" s="96"/>
      <c r="D96" s="96" t="s">
        <v>50</v>
      </c>
      <c r="E96" s="96" t="s">
        <v>50</v>
      </c>
      <c r="F96" s="97"/>
      <c r="G96" s="97" t="s">
        <v>35</v>
      </c>
      <c r="H96" s="96"/>
      <c r="I96" s="96"/>
      <c r="J96" s="96"/>
      <c r="L96" s="96"/>
      <c r="M96" s="96"/>
    </row>
    <row r="97" spans="3:13" ht="25.8">
      <c r="C97" s="96"/>
      <c r="D97" s="96" t="s">
        <v>50</v>
      </c>
      <c r="E97" s="96" t="s">
        <v>50</v>
      </c>
      <c r="F97" s="97"/>
      <c r="G97" s="97" t="s">
        <v>35</v>
      </c>
      <c r="H97" s="96"/>
      <c r="I97" s="96"/>
      <c r="J97" s="96"/>
      <c r="L97" s="96"/>
      <c r="M97" s="96"/>
    </row>
    <row r="98" spans="3:13" ht="25.8">
      <c r="C98" s="96"/>
      <c r="D98" s="96" t="s">
        <v>50</v>
      </c>
      <c r="E98" s="96" t="s">
        <v>50</v>
      </c>
      <c r="F98" s="97"/>
      <c r="G98" s="97" t="s">
        <v>35</v>
      </c>
      <c r="H98" s="96"/>
      <c r="I98" s="96"/>
      <c r="J98" s="96"/>
      <c r="L98" s="96"/>
      <c r="M98" s="96"/>
    </row>
    <row r="99" spans="3:13" ht="25.8">
      <c r="C99" s="96"/>
      <c r="D99" s="96" t="s">
        <v>50</v>
      </c>
      <c r="E99" s="96" t="s">
        <v>50</v>
      </c>
      <c r="F99" s="97"/>
      <c r="G99" s="97" t="s">
        <v>35</v>
      </c>
      <c r="H99" s="96"/>
      <c r="I99" s="96"/>
      <c r="J99" s="96"/>
      <c r="L99" s="96"/>
      <c r="M99" s="96"/>
    </row>
    <row r="100" spans="3:13" ht="25.8">
      <c r="C100" s="96"/>
      <c r="D100" s="96" t="s">
        <v>50</v>
      </c>
      <c r="E100" s="96" t="s">
        <v>50</v>
      </c>
      <c r="F100" s="97"/>
      <c r="G100" s="97" t="s">
        <v>35</v>
      </c>
      <c r="H100" s="96"/>
      <c r="I100" s="96"/>
      <c r="J100" s="96"/>
      <c r="L100" s="96"/>
      <c r="M100" s="96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topLeftCell="A4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27" t="s">
        <v>20</v>
      </c>
      <c r="H1" s="128"/>
      <c r="I1" s="128"/>
      <c r="J1" s="129"/>
      <c r="K1" s="133" t="s">
        <v>16</v>
      </c>
      <c r="L1" s="134"/>
      <c r="M1" s="134"/>
      <c r="N1" s="135"/>
      <c r="O1" s="127" t="s">
        <v>19</v>
      </c>
      <c r="P1" s="128"/>
      <c r="Q1" s="128"/>
      <c r="R1" s="123"/>
      <c r="S1" s="123"/>
    </row>
    <row r="2" spans="4:19" ht="15" customHeight="1" thickBot="1">
      <c r="D2" s="55"/>
      <c r="E2" s="55"/>
      <c r="F2" s="55"/>
      <c r="G2" s="130"/>
      <c r="H2" s="131"/>
      <c r="I2" s="131"/>
      <c r="J2" s="132"/>
      <c r="K2" s="136"/>
      <c r="L2" s="137"/>
      <c r="M2" s="137"/>
      <c r="N2" s="138"/>
      <c r="O2" s="130"/>
      <c r="P2" s="131"/>
      <c r="Q2" s="131"/>
      <c r="R2" s="123"/>
      <c r="S2" s="123"/>
    </row>
    <row r="3" spans="4:19" ht="15" customHeight="1">
      <c r="D3" s="55"/>
      <c r="E3" s="55"/>
      <c r="F3" s="55"/>
      <c r="G3" s="127"/>
      <c r="H3" s="128"/>
      <c r="I3" s="128"/>
      <c r="J3" s="129"/>
      <c r="K3" s="133"/>
      <c r="L3" s="134"/>
      <c r="M3" s="134"/>
      <c r="N3" s="135"/>
      <c r="O3" s="127"/>
      <c r="P3" s="128"/>
      <c r="Q3" s="128"/>
      <c r="R3" s="124"/>
      <c r="S3" s="124"/>
    </row>
    <row r="4" spans="4:19" ht="15.75" customHeight="1" thickBot="1">
      <c r="D4" s="55"/>
      <c r="E4" s="55"/>
      <c r="F4" s="55"/>
      <c r="G4" s="130"/>
      <c r="H4" s="131"/>
      <c r="I4" s="131"/>
      <c r="J4" s="132"/>
      <c r="K4" s="136"/>
      <c r="L4" s="137"/>
      <c r="M4" s="137"/>
      <c r="N4" s="138"/>
      <c r="O4" s="130"/>
      <c r="P4" s="131"/>
      <c r="Q4" s="131"/>
      <c r="R4" s="124"/>
      <c r="S4" s="124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42" t="s">
        <v>22</v>
      </c>
      <c r="H6" s="143"/>
      <c r="I6" s="143"/>
      <c r="J6" s="144"/>
      <c r="K6" s="142" t="s">
        <v>18</v>
      </c>
      <c r="L6" s="143"/>
      <c r="M6" s="143"/>
      <c r="N6" s="144"/>
      <c r="O6" s="62" t="s">
        <v>24</v>
      </c>
      <c r="P6" s="62" t="s">
        <v>25</v>
      </c>
      <c r="Q6" s="62" t="s">
        <v>26</v>
      </c>
      <c r="R6" s="125" t="s">
        <v>50</v>
      </c>
      <c r="S6" s="126"/>
    </row>
    <row r="7" spans="4:19" ht="15" customHeight="1">
      <c r="D7" s="55"/>
      <c r="E7" s="55"/>
      <c r="F7" s="55"/>
      <c r="G7" s="183">
        <f>LOOKUP(2,1/(Shrink!F:F="Machine S"),Shrink!J:J)</f>
        <v>151</v>
      </c>
      <c r="H7" s="184"/>
      <c r="I7" s="184"/>
      <c r="J7" s="185"/>
      <c r="K7" s="146">
        <f>LOOKUP(2,1/(Pallet!E:E="Cartoon"),Pallet!J:J)</f>
        <v>6800</v>
      </c>
      <c r="L7" s="147"/>
      <c r="M7" s="147"/>
      <c r="N7" s="148"/>
      <c r="O7" s="139">
        <f>LOOKUP(2,1/(Card!F:F=1028),Card!J:J)</f>
        <v>4476</v>
      </c>
      <c r="P7" s="139">
        <f>LOOKUP(2,1/(Card!F:F=1031),Card!J:J)</f>
        <v>8660</v>
      </c>
      <c r="Q7" s="139">
        <f>LOOKUP(2,1/(Card!F:F=3024),Card!J:J)</f>
        <v>377</v>
      </c>
      <c r="R7" s="189" cm="1">
        <f t="array" ref="R7">LOOKUP(2,1/(String!F:F="White"),String!J:J)</f>
        <v>764</v>
      </c>
      <c r="S7" s="190"/>
    </row>
    <row r="8" spans="4:19" ht="15" customHeight="1">
      <c r="D8" s="55"/>
      <c r="E8" s="55"/>
      <c r="F8" s="55"/>
      <c r="G8" s="183"/>
      <c r="H8" s="184"/>
      <c r="I8" s="184"/>
      <c r="J8" s="185"/>
      <c r="K8" s="149"/>
      <c r="L8" s="150"/>
      <c r="M8" s="150"/>
      <c r="N8" s="151"/>
      <c r="O8" s="140"/>
      <c r="P8" s="140"/>
      <c r="Q8" s="140"/>
      <c r="R8" s="191"/>
      <c r="S8" s="192"/>
    </row>
    <row r="9" spans="4:19" ht="15.75" customHeight="1" thickBot="1">
      <c r="D9" s="55"/>
      <c r="E9" s="55"/>
      <c r="F9" s="55"/>
      <c r="G9" s="186"/>
      <c r="H9" s="187"/>
      <c r="I9" s="187"/>
      <c r="J9" s="188"/>
      <c r="K9" s="152"/>
      <c r="L9" s="153"/>
      <c r="M9" s="153"/>
      <c r="N9" s="154"/>
      <c r="O9" s="141"/>
      <c r="P9" s="141"/>
      <c r="Q9" s="141"/>
      <c r="R9" s="193"/>
      <c r="S9" s="194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42" t="s">
        <v>21</v>
      </c>
      <c r="H13" s="143"/>
      <c r="I13" s="143"/>
      <c r="J13" s="144"/>
      <c r="K13" s="142" t="s">
        <v>17</v>
      </c>
      <c r="L13" s="143"/>
      <c r="M13" s="143"/>
      <c r="N13" s="144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74">
        <f>LOOKUP(2,1/(Shrink!F:F="Machine B"),Shrink!J:J)</f>
        <v>6</v>
      </c>
      <c r="H14" s="175"/>
      <c r="I14" s="175"/>
      <c r="J14" s="176"/>
      <c r="K14" s="155">
        <f>LOOKUP(2,1/(Pallet!E:E="Wood"),Pallet!J:J)</f>
        <v>340</v>
      </c>
      <c r="L14" s="156"/>
      <c r="M14" s="156"/>
      <c r="N14" s="157"/>
      <c r="O14" s="139">
        <f>LOOKUP(2,1/(Card!F:F=3023),Card!J:J)</f>
        <v>1250</v>
      </c>
      <c r="P14" s="139">
        <f>LOOKUP(2,1/(Card!F:F=3014),Card!J:J)</f>
        <v>3500</v>
      </c>
      <c r="Q14" s="139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77"/>
      <c r="H15" s="178"/>
      <c r="I15" s="178"/>
      <c r="J15" s="179"/>
      <c r="K15" s="158"/>
      <c r="L15" s="159"/>
      <c r="M15" s="159"/>
      <c r="N15" s="160"/>
      <c r="O15" s="140"/>
      <c r="P15" s="140"/>
      <c r="Q15" s="140"/>
      <c r="R15" s="61"/>
      <c r="S15" s="61"/>
    </row>
    <row r="16" spans="4:19" ht="15.75" customHeight="1" thickBot="1">
      <c r="D16" s="55"/>
      <c r="E16" s="55"/>
      <c r="F16" s="55"/>
      <c r="G16" s="180"/>
      <c r="H16" s="181"/>
      <c r="I16" s="181"/>
      <c r="J16" s="182"/>
      <c r="K16" s="161"/>
      <c r="L16" s="162"/>
      <c r="M16" s="162"/>
      <c r="N16" s="163"/>
      <c r="O16" s="141"/>
      <c r="P16" s="141"/>
      <c r="Q16" s="141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42" t="s">
        <v>23</v>
      </c>
      <c r="H20" s="143"/>
      <c r="I20" s="143"/>
      <c r="J20" s="144"/>
      <c r="K20" s="164"/>
      <c r="L20" s="164"/>
      <c r="M20" s="164"/>
      <c r="N20" s="164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65">
        <f>LOOKUP(2,1/(Shrink!F:F="Manual"),Shrink!J:J)</f>
        <v>701</v>
      </c>
      <c r="H21" s="166"/>
      <c r="I21" s="166"/>
      <c r="J21" s="167"/>
      <c r="K21" s="145"/>
      <c r="L21" s="145"/>
      <c r="M21" s="145"/>
      <c r="N21" s="145"/>
      <c r="O21" s="139">
        <f>LOOKUP(2,1/(Card!F:F=2013),Card!J:J)</f>
        <v>4250</v>
      </c>
      <c r="P21" s="139">
        <f>LOOKUP(2,1/(Card!F:F=1029),Card!J:J)</f>
        <v>9251</v>
      </c>
      <c r="Q21" s="139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68"/>
      <c r="H22" s="169"/>
      <c r="I22" s="169"/>
      <c r="J22" s="170"/>
      <c r="K22" s="145"/>
      <c r="L22" s="145"/>
      <c r="M22" s="145"/>
      <c r="N22" s="145"/>
      <c r="O22" s="140"/>
      <c r="P22" s="140"/>
      <c r="Q22" s="140"/>
      <c r="R22" s="61"/>
      <c r="S22" s="61"/>
    </row>
    <row r="23" spans="4:19" ht="15.75" customHeight="1" thickBot="1">
      <c r="D23" s="55"/>
      <c r="E23" s="55"/>
      <c r="F23" s="55"/>
      <c r="G23" s="171"/>
      <c r="H23" s="172"/>
      <c r="I23" s="172"/>
      <c r="J23" s="173"/>
      <c r="K23" s="145"/>
      <c r="L23" s="145"/>
      <c r="M23" s="145"/>
      <c r="N23" s="145"/>
      <c r="O23" s="141"/>
      <c r="P23" s="141"/>
      <c r="Q23" s="141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39">
        <f>LOOKUP(2,1/(Card!F:F=1016),Card!J:J)</f>
        <v>5020</v>
      </c>
      <c r="P26" s="139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64"/>
      <c r="H27" s="164"/>
      <c r="I27" s="164"/>
      <c r="J27" s="164"/>
      <c r="K27" s="55"/>
      <c r="L27" s="55"/>
      <c r="M27" s="55"/>
      <c r="N27" s="55"/>
      <c r="O27" s="140"/>
      <c r="P27" s="140"/>
      <c r="Q27" s="61"/>
      <c r="R27" s="61"/>
      <c r="S27" s="61"/>
    </row>
    <row r="28" spans="4:19" ht="15" customHeight="1" thickBot="1">
      <c r="D28" s="55"/>
      <c r="E28" s="55"/>
      <c r="F28" s="55"/>
      <c r="G28" s="145"/>
      <c r="H28" s="145"/>
      <c r="I28" s="145"/>
      <c r="J28" s="145"/>
      <c r="K28" s="55"/>
      <c r="L28" s="55"/>
      <c r="M28" s="55"/>
      <c r="N28" s="55"/>
      <c r="O28" s="141"/>
      <c r="P28" s="141"/>
      <c r="Q28" s="61"/>
      <c r="R28" s="61"/>
      <c r="S28" s="61"/>
    </row>
    <row r="29" spans="4:19" ht="15" customHeight="1">
      <c r="D29" s="55"/>
      <c r="E29" s="55"/>
      <c r="F29" s="55"/>
      <c r="G29" s="145"/>
      <c r="H29" s="145"/>
      <c r="I29" s="145"/>
      <c r="J29" s="145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45"/>
      <c r="H30" s="145"/>
      <c r="I30" s="145"/>
      <c r="J30" s="145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abSelected="1" zoomScale="80" zoomScaleNormal="80" workbookViewId="0">
      <selection activeCell="C28" sqref="C28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90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/>
      <c r="B25" s="26"/>
      <c r="C25" s="15"/>
      <c r="D25" s="15"/>
      <c r="E25" s="15"/>
      <c r="F25" s="15"/>
      <c r="G25" s="15"/>
      <c r="H25" s="2"/>
      <c r="I25" s="43"/>
    </row>
    <row r="26" spans="1:9" s="17" customFormat="1" ht="31.5" customHeight="1">
      <c r="A26" s="23"/>
      <c r="B26" s="26"/>
      <c r="C26" s="15"/>
      <c r="D26" s="15"/>
      <c r="E26" s="15"/>
      <c r="F26" s="15"/>
      <c r="G26" s="15"/>
      <c r="H26" s="2"/>
      <c r="I26" s="43"/>
    </row>
    <row r="27" spans="1:9" s="17" customFormat="1" ht="31.5" customHeight="1">
      <c r="A27" s="23"/>
      <c r="B27" s="26"/>
      <c r="C27" s="15"/>
      <c r="D27" s="15"/>
      <c r="E27" s="15"/>
      <c r="F27" s="15"/>
      <c r="G27" s="15"/>
      <c r="H27" s="2"/>
      <c r="I27" s="43"/>
    </row>
    <row r="28" spans="1:9" s="17" customFormat="1" ht="31.5" customHeight="1">
      <c r="A28" s="23"/>
      <c r="B28" s="26"/>
      <c r="C28" s="15"/>
      <c r="D28" s="15"/>
      <c r="E28" s="15"/>
      <c r="F28" s="15"/>
      <c r="G28" s="15"/>
      <c r="H28" s="2"/>
      <c r="I28" s="43"/>
    </row>
    <row r="29" spans="1:9" s="17" customFormat="1" ht="31.5" customHeight="1">
      <c r="A29" s="23"/>
      <c r="B29" s="26"/>
      <c r="C29" s="15"/>
      <c r="D29" s="15"/>
      <c r="E29" s="15"/>
      <c r="F29" s="15"/>
      <c r="G29" s="15"/>
      <c r="H29" s="2"/>
      <c r="I29" s="43"/>
    </row>
    <row r="30" spans="1:9" s="17" customFormat="1" ht="31.5" customHeight="1">
      <c r="A30" s="23"/>
      <c r="B30" s="26"/>
      <c r="C30" s="15"/>
      <c r="D30" s="15"/>
      <c r="E30" s="15"/>
      <c r="F30" s="15"/>
      <c r="G30" s="15"/>
      <c r="H30" s="2"/>
      <c r="I30" s="43"/>
    </row>
    <row r="31" spans="1:9" s="17" customFormat="1" ht="31.5" customHeight="1">
      <c r="A31" s="23"/>
      <c r="B31" s="26"/>
      <c r="C31" s="15"/>
      <c r="D31" s="15"/>
      <c r="E31" s="15"/>
      <c r="F31" s="15"/>
      <c r="G31" s="15"/>
      <c r="H31" s="2"/>
      <c r="I31" s="43"/>
    </row>
    <row r="32" spans="1:9" s="17" customFormat="1" ht="31.5" customHeight="1">
      <c r="A32" s="23"/>
      <c r="B32" s="26"/>
      <c r="C32" s="15"/>
      <c r="D32" s="15"/>
      <c r="E32" s="15"/>
      <c r="F32" s="15"/>
      <c r="G32" s="15"/>
      <c r="H32" s="2"/>
      <c r="I32" s="43"/>
    </row>
    <row r="33" spans="1:9" s="17" customFormat="1" ht="31.5" customHeight="1">
      <c r="A33" s="23"/>
      <c r="B33" s="26"/>
      <c r="C33" s="15"/>
      <c r="D33" s="15"/>
      <c r="E33" s="15"/>
      <c r="F33" s="15"/>
      <c r="G33" s="15"/>
      <c r="H33" s="2"/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195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9"/>
      <c r="I37" s="43"/>
    </row>
    <row r="38" spans="1:9" s="17" customFormat="1" ht="31.5" customHeight="1">
      <c r="A38" s="24"/>
      <c r="B38" s="27"/>
      <c r="H38" s="89"/>
      <c r="I38" s="43"/>
    </row>
    <row r="39" spans="1:9" s="17" customFormat="1" ht="31.5" customHeight="1">
      <c r="A39" s="24"/>
      <c r="B39" s="27"/>
      <c r="H39" s="89"/>
      <c r="I39" s="43"/>
    </row>
    <row r="40" spans="1:9" s="17" customFormat="1" ht="31.5" customHeight="1">
      <c r="A40" s="24"/>
      <c r="B40" s="27"/>
      <c r="H40" s="89"/>
      <c r="I40" s="43"/>
    </row>
    <row r="41" spans="1:9" s="17" customFormat="1" ht="31.5" customHeight="1">
      <c r="A41" s="24"/>
      <c r="B41" s="27"/>
      <c r="H41" s="89"/>
      <c r="I41" s="43"/>
    </row>
    <row r="42" spans="1:9" s="17" customFormat="1" ht="31.5" customHeight="1">
      <c r="A42" s="24"/>
      <c r="B42" s="27"/>
      <c r="H42" s="89"/>
      <c r="I42" s="43"/>
    </row>
    <row r="43" spans="1:9" s="17" customFormat="1" ht="31.5" customHeight="1">
      <c r="A43" s="24"/>
      <c r="B43" s="27"/>
      <c r="H43" s="89"/>
      <c r="I43" s="43"/>
    </row>
    <row r="44" spans="1:9" s="17" customFormat="1" ht="31.5" customHeight="1">
      <c r="A44" s="24"/>
      <c r="B44" s="27"/>
      <c r="H44" s="89"/>
      <c r="I44" s="43"/>
    </row>
    <row r="45" spans="1:9" s="17" customFormat="1" ht="31.5" customHeight="1">
      <c r="A45" s="24"/>
      <c r="B45" s="27"/>
      <c r="H45" s="89"/>
      <c r="I45" s="43"/>
    </row>
    <row r="46" spans="1:9" s="17" customFormat="1" ht="31.5" customHeight="1">
      <c r="A46" s="24"/>
      <c r="B46" s="27"/>
      <c r="H46" s="89"/>
      <c r="I46" s="43"/>
    </row>
    <row r="47" spans="1:9" s="17" customFormat="1" ht="31.5" customHeight="1">
      <c r="A47" s="24"/>
      <c r="B47" s="27"/>
      <c r="H47" s="89"/>
      <c r="I47" s="43"/>
    </row>
    <row r="48" spans="1:9" s="17" customFormat="1" ht="31.5" customHeight="1">
      <c r="A48" s="24"/>
      <c r="B48" s="27"/>
      <c r="H48" s="89"/>
      <c r="I48" s="43"/>
    </row>
    <row r="49" spans="1:9" s="17" customFormat="1" ht="31.5" customHeight="1">
      <c r="A49" s="24"/>
      <c r="B49" s="27"/>
      <c r="H49" s="89"/>
      <c r="I49" s="43"/>
    </row>
    <row r="50" spans="1:9" s="17" customFormat="1" ht="31.5" customHeight="1">
      <c r="A50" s="24"/>
      <c r="B50" s="27"/>
      <c r="H50" s="89"/>
      <c r="I50" s="43"/>
    </row>
    <row r="51" spans="1:9" s="17" customFormat="1" ht="31.5" customHeight="1">
      <c r="A51" s="24"/>
      <c r="B51" s="27"/>
      <c r="H51" s="89"/>
      <c r="I51" s="43"/>
    </row>
    <row r="52" spans="1:9" s="17" customFormat="1" ht="31.5" customHeight="1">
      <c r="A52" s="24"/>
      <c r="B52" s="27"/>
      <c r="H52" s="89"/>
      <c r="I52" s="43"/>
    </row>
    <row r="53" spans="1:9" s="17" customFormat="1" ht="31.5" customHeight="1">
      <c r="A53" s="24"/>
      <c r="B53" s="27"/>
      <c r="H53" s="89"/>
      <c r="I53" s="43"/>
    </row>
    <row r="54" spans="1:9" s="17" customFormat="1" ht="31.5" customHeight="1">
      <c r="A54" s="24"/>
      <c r="B54" s="27"/>
      <c r="H54" s="89"/>
      <c r="I54" s="43"/>
    </row>
    <row r="55" spans="1:9" s="17" customFormat="1" ht="31.5" customHeight="1">
      <c r="A55" s="24"/>
      <c r="B55" s="27"/>
      <c r="H55" s="89"/>
      <c r="I55" s="43"/>
    </row>
    <row r="56" spans="1:9" s="17" customFormat="1" ht="31.5" customHeight="1">
      <c r="A56" s="24"/>
      <c r="B56" s="27"/>
      <c r="H56" s="89"/>
      <c r="I56" s="43"/>
    </row>
    <row r="57" spans="1:9" s="17" customFormat="1" ht="31.5" customHeight="1">
      <c r="A57" s="24"/>
      <c r="B57" s="27"/>
      <c r="H57" s="89"/>
      <c r="I57" s="43"/>
    </row>
    <row r="58" spans="1:9" s="17" customFormat="1" ht="31.5" customHeight="1">
      <c r="A58" s="24"/>
      <c r="B58" s="27"/>
      <c r="H58" s="89"/>
      <c r="I58" s="43"/>
    </row>
    <row r="59" spans="1:9" s="17" customFormat="1" ht="31.5" customHeight="1">
      <c r="A59" s="24"/>
      <c r="B59" s="27"/>
      <c r="H59" s="89"/>
      <c r="I59" s="43"/>
    </row>
    <row r="60" spans="1:9" s="17" customFormat="1" ht="31.5" customHeight="1">
      <c r="A60" s="24"/>
      <c r="B60" s="27"/>
      <c r="H60" s="89"/>
      <c r="I60" s="43"/>
    </row>
    <row r="61" spans="1:9" s="17" customFormat="1" ht="31.5" customHeight="1">
      <c r="A61" s="24"/>
      <c r="B61" s="27"/>
      <c r="H61" s="89"/>
      <c r="I61" s="43"/>
    </row>
    <row r="62" spans="1:9" s="17" customFormat="1" ht="31.5" customHeight="1">
      <c r="A62" s="24"/>
      <c r="B62" s="27"/>
      <c r="H62" s="89"/>
      <c r="I62" s="43"/>
    </row>
    <row r="63" spans="1:9" s="17" customFormat="1" ht="31.5" customHeight="1">
      <c r="A63" s="24"/>
      <c r="B63" s="27"/>
      <c r="H63" s="89"/>
      <c r="I63" s="43"/>
    </row>
    <row r="64" spans="1:9" s="17" customFormat="1" ht="31.5" customHeight="1">
      <c r="A64" s="24"/>
      <c r="B64" s="27"/>
      <c r="H64" s="89"/>
      <c r="I64" s="43"/>
    </row>
    <row r="65" spans="1:9" s="17" customFormat="1" ht="31.5" customHeight="1">
      <c r="A65" s="24"/>
      <c r="B65" s="27"/>
      <c r="H65" s="89"/>
      <c r="I65" s="43"/>
    </row>
    <row r="66" spans="1:9" s="17" customFormat="1" ht="31.5" customHeight="1">
      <c r="A66" s="24"/>
      <c r="B66" s="27"/>
      <c r="H66" s="89"/>
      <c r="I66" s="43"/>
    </row>
    <row r="67" spans="1:9" s="17" customFormat="1" ht="31.5" customHeight="1">
      <c r="A67" s="24"/>
      <c r="B67" s="27"/>
      <c r="H67" s="89"/>
      <c r="I67" s="43"/>
    </row>
    <row r="68" spans="1:9" s="17" customFormat="1" ht="31.5" customHeight="1">
      <c r="A68" s="24"/>
      <c r="B68" s="27"/>
      <c r="H68" s="89"/>
      <c r="I68" s="43"/>
    </row>
    <row r="69" spans="1:9" s="17" customFormat="1" ht="31.5" customHeight="1">
      <c r="A69" s="24"/>
      <c r="B69" s="27"/>
      <c r="H69" s="89"/>
      <c r="I69" s="43"/>
    </row>
    <row r="70" spans="1:9" s="17" customFormat="1" ht="31.5" customHeight="1">
      <c r="A70" s="24"/>
      <c r="B70" s="27"/>
      <c r="H70" s="89"/>
      <c r="I70" s="43"/>
    </row>
    <row r="71" spans="1:9" s="17" customFormat="1" ht="31.5" customHeight="1">
      <c r="A71" s="24"/>
      <c r="B71" s="27"/>
      <c r="H71" s="89"/>
      <c r="I71" s="43"/>
    </row>
    <row r="72" spans="1:9" s="17" customFormat="1" ht="31.5" customHeight="1">
      <c r="A72" s="24"/>
      <c r="B72" s="27"/>
      <c r="H72" s="89"/>
      <c r="I72" s="43"/>
    </row>
    <row r="73" spans="1:9" s="17" customFormat="1" ht="31.5" customHeight="1">
      <c r="A73" s="24"/>
      <c r="B73" s="27"/>
      <c r="H73" s="89"/>
      <c r="I73" s="43"/>
    </row>
    <row r="74" spans="1:9" s="17" customFormat="1" ht="31.5" customHeight="1">
      <c r="A74" s="24"/>
      <c r="B74" s="27"/>
      <c r="H74" s="89"/>
      <c r="I74" s="43"/>
    </row>
    <row r="75" spans="1:9" s="17" customFormat="1" ht="31.5" customHeight="1">
      <c r="A75" s="24"/>
      <c r="B75" s="27"/>
      <c r="H75" s="89"/>
      <c r="I75" s="43"/>
    </row>
    <row r="76" spans="1:9" s="17" customFormat="1" ht="31.5" customHeight="1">
      <c r="A76" s="24"/>
      <c r="B76" s="27"/>
      <c r="H76" s="89"/>
      <c r="I76" s="43"/>
    </row>
    <row r="77" spans="1:9" s="17" customFormat="1" ht="31.5" customHeight="1">
      <c r="A77" s="24"/>
      <c r="B77" s="27"/>
      <c r="H77" s="89"/>
      <c r="I77" s="43"/>
    </row>
    <row r="78" spans="1:9" s="17" customFormat="1" ht="31.5" customHeight="1">
      <c r="A78" s="24"/>
      <c r="B78" s="27"/>
      <c r="H78" s="89"/>
      <c r="I78" s="43"/>
    </row>
    <row r="79" spans="1:9" s="17" customFormat="1" ht="31.5" customHeight="1">
      <c r="A79" s="24"/>
      <c r="B79" s="27"/>
      <c r="H79" s="89"/>
      <c r="I79" s="43"/>
    </row>
    <row r="80" spans="1:9" s="17" customFormat="1" ht="31.5" customHeight="1">
      <c r="A80" s="24"/>
      <c r="B80" s="27"/>
      <c r="H80" s="89"/>
      <c r="I80" s="43"/>
    </row>
    <row r="81" spans="1:9" s="17" customFormat="1" ht="31.5" customHeight="1">
      <c r="A81" s="24"/>
      <c r="B81" s="27"/>
      <c r="H81" s="89"/>
      <c r="I81" s="43"/>
    </row>
    <row r="82" spans="1:9" s="17" customFormat="1" ht="31.5" customHeight="1">
      <c r="A82" s="24"/>
      <c r="B82" s="27"/>
      <c r="H82" s="89"/>
      <c r="I82" s="43"/>
    </row>
    <row r="83" spans="1:9" s="17" customFormat="1" ht="31.5" customHeight="1">
      <c r="A83" s="24"/>
      <c r="B83" s="27"/>
      <c r="H83" s="89"/>
      <c r="I83" s="43"/>
    </row>
    <row r="84" spans="1:9" s="17" customFormat="1" ht="31.5" customHeight="1">
      <c r="A84" s="24"/>
      <c r="B84" s="27"/>
      <c r="H84" s="89"/>
      <c r="I84" s="43"/>
    </row>
    <row r="85" spans="1:9" s="17" customFormat="1" ht="31.5" customHeight="1">
      <c r="A85" s="24"/>
      <c r="B85" s="27"/>
      <c r="H85" s="89"/>
      <c r="I85" s="43"/>
    </row>
    <row r="86" spans="1:9" s="17" customFormat="1" ht="31.5" customHeight="1">
      <c r="A86" s="24"/>
      <c r="B86" s="27"/>
      <c r="H86" s="89"/>
      <c r="I86" s="43"/>
    </row>
    <row r="87" spans="1:9" s="17" customFormat="1" ht="31.5" customHeight="1">
      <c r="A87" s="24"/>
      <c r="B87" s="27"/>
      <c r="H87" s="89"/>
      <c r="I87" s="43"/>
    </row>
    <row r="88" spans="1:9" s="17" customFormat="1" ht="31.5" customHeight="1">
      <c r="A88" s="24"/>
      <c r="B88" s="27"/>
      <c r="H88" s="89"/>
      <c r="I88" s="43"/>
    </row>
    <row r="89" spans="1:9" s="17" customFormat="1" ht="31.5" customHeight="1">
      <c r="A89" s="24"/>
      <c r="B89" s="27"/>
      <c r="H89" s="89"/>
      <c r="I89" s="43"/>
    </row>
    <row r="90" spans="1:9" s="17" customFormat="1" ht="31.5" customHeight="1">
      <c r="A90" s="24"/>
      <c r="B90" s="27"/>
      <c r="H90" s="89"/>
      <c r="I90" s="43"/>
    </row>
    <row r="91" spans="1:9" s="17" customFormat="1" ht="31.5" customHeight="1">
      <c r="A91" s="24"/>
      <c r="B91" s="27"/>
      <c r="H91" s="89"/>
      <c r="I91" s="43"/>
    </row>
    <row r="92" spans="1:9" s="17" customFormat="1" ht="31.5" customHeight="1">
      <c r="A92" s="24"/>
      <c r="B92" s="27"/>
      <c r="H92" s="89"/>
      <c r="I92" s="43"/>
    </row>
    <row r="93" spans="1:9" s="17" customFormat="1" ht="31.5" customHeight="1">
      <c r="A93" s="24"/>
      <c r="B93" s="27"/>
      <c r="H93" s="89"/>
      <c r="I93" s="43"/>
    </row>
    <row r="94" spans="1:9" s="17" customFormat="1" ht="31.5" customHeight="1">
      <c r="A94" s="24"/>
      <c r="B94" s="27"/>
      <c r="H94" s="89"/>
      <c r="I94" s="43"/>
    </row>
    <row r="95" spans="1:9" s="17" customFormat="1" ht="31.5" customHeight="1">
      <c r="A95" s="24"/>
      <c r="B95" s="27"/>
      <c r="H95" s="89"/>
      <c r="I95" s="43"/>
    </row>
    <row r="96" spans="1:9" s="17" customFormat="1" ht="31.5" customHeight="1">
      <c r="A96" s="24"/>
      <c r="B96" s="27"/>
      <c r="H96" s="89"/>
      <c r="I96" s="43"/>
    </row>
    <row r="97" spans="1:9" s="17" customFormat="1" ht="31.5" customHeight="1">
      <c r="A97" s="24"/>
      <c r="B97" s="27"/>
      <c r="H97" s="89"/>
      <c r="I97" s="43"/>
    </row>
    <row r="98" spans="1:9" s="17" customFormat="1" ht="31.5" customHeight="1">
      <c r="A98" s="24"/>
      <c r="B98" s="27"/>
      <c r="H98" s="89"/>
      <c r="I98" s="43"/>
    </row>
    <row r="99" spans="1:9" s="17" customFormat="1" ht="31.5" customHeight="1">
      <c r="A99" s="24"/>
      <c r="B99" s="27"/>
      <c r="H99" s="89"/>
      <c r="I99" s="43"/>
    </row>
    <row r="100" spans="1:9" s="17" customFormat="1" ht="31.5" customHeight="1">
      <c r="A100" s="24"/>
      <c r="B100" s="27"/>
      <c r="H100" s="89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2026-05-10T09:00:19Z</cp:lastPrinted>
  <dcterms:created xsi:type="dcterms:W3CDTF">2026-04-22T15:27:50Z</dcterms:created>
  <dcterms:modified xsi:type="dcterms:W3CDTF">2026-05-10T09:00:28Z</dcterms:modified>
</cp:coreProperties>
</file>