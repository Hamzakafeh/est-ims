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ocuments\EST Inventory System\data\2026\05-May\"/>
    </mc:Choice>
  </mc:AlternateContent>
  <xr:revisionPtr revIDLastSave="0" documentId="13_ncr:1_{2A94856E-23AC-452C-986A-E07E845B2EA7}" xr6:coauthVersionLast="47" xr6:coauthVersionMax="47" xr10:uidLastSave="{00000000-0000-0000-0000-000000000000}"/>
  <bookViews>
    <workbookView xWindow="-108" yWindow="-108" windowWidth="23256" windowHeight="12456" firstSheet="1" activeTab="4" xr2:uid="{00000000-000D-0000-FFFF-FFFF00000000}"/>
  </bookViews>
  <sheets>
    <sheet name="Chicken" sheetId="13" r:id="rId1"/>
    <sheet name="COW" sheetId="4" r:id="rId2"/>
    <sheet name="WithOut" sheetId="5" r:id="rId3"/>
    <sheet name="Koptimix" sheetId="6" r:id="rId4"/>
    <sheet name="Plastic" sheetId="11" r:id="rId5"/>
    <sheet name="Koptimix Lable" sheetId="9" r:id="rId6"/>
    <sheet name="EST Lable" sheetId="10" r:id="rId7"/>
    <sheet name="Roll" sheetId="12" r:id="rId8"/>
    <sheet name="Stocktaking" sheetId="14" r:id="rId9"/>
    <sheet name="Log" sheetId="8" r:id="rId10"/>
  </sheets>
  <definedNames>
    <definedName name="_xlnm._FilterDatabase" localSheetId="5" hidden="1">'Koptimix Lable'!$C$1:$C$37</definedName>
    <definedName name="_xlnm._FilterDatabase" localSheetId="9" hidden="1">Log!$A$1:$H$217</definedName>
    <definedName name="_xlnm.Print_Area" localSheetId="8">Stocktaking!$G$1:$U$59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8" i="14" l="1" a="1"/>
  <c r="O28" i="14" s="1"/>
  <c r="O25" i="14" a="1"/>
  <c r="O25" i="14" s="1"/>
  <c r="O22" i="14" a="1"/>
  <c r="O22" i="14" s="1"/>
  <c r="O19" i="14" a="1"/>
  <c r="O19" i="14" s="1"/>
  <c r="O16" i="14" a="1"/>
  <c r="O16" i="14" s="1"/>
  <c r="O10" i="14" a="1"/>
  <c r="O10" i="14" s="1"/>
  <c r="O13" i="14" a="1"/>
  <c r="O13" i="14" s="1"/>
  <c r="O7" i="14"/>
  <c r="O4" i="14"/>
  <c r="M31" i="14" l="1"/>
  <c r="M28" i="14"/>
  <c r="M25" i="14"/>
  <c r="M22" i="14"/>
  <c r="M19" i="14"/>
  <c r="M16" i="14"/>
  <c r="M13" i="14"/>
  <c r="M10" i="14"/>
  <c r="M7" i="14"/>
  <c r="M4" i="14"/>
  <c r="Q19" i="14" l="1"/>
  <c r="Q16" i="14"/>
  <c r="Q13" i="14"/>
  <c r="Q10" i="14"/>
  <c r="Q7" i="14"/>
  <c r="Q4" i="14"/>
  <c r="K16" i="14" l="1" a="1"/>
  <c r="K16" i="14" s="1"/>
  <c r="K19" i="14" a="1"/>
  <c r="K19" i="14" s="1"/>
  <c r="K22" i="14" a="1"/>
  <c r="K22" i="14" s="1"/>
  <c r="K13" i="14" a="1"/>
  <c r="K13" i="14" s="1"/>
  <c r="K10" i="14" a="1"/>
  <c r="K10" i="14" s="1"/>
  <c r="K4" i="14" a="1"/>
  <c r="K4" i="14" s="1"/>
  <c r="K7" i="14" a="1"/>
  <c r="K7" i="14" s="1"/>
  <c r="I7" i="14" a="1"/>
  <c r="I7" i="14" s="1"/>
  <c r="I13" i="14" a="1"/>
  <c r="I13" i="14" s="1"/>
  <c r="I16" i="14" a="1"/>
  <c r="I16" i="14" s="1"/>
  <c r="I22" i="14" a="1"/>
  <c r="I22" i="14" s="1"/>
  <c r="I19" i="14" a="1"/>
  <c r="I19" i="14" s="1"/>
  <c r="I10" i="14" a="1"/>
  <c r="I10" i="14" s="1"/>
  <c r="I4" i="14" a="1"/>
  <c r="I4" i="14" s="1"/>
  <c r="G13" i="14" a="1"/>
  <c r="G13" i="14" s="1"/>
  <c r="G10" i="14" a="1"/>
  <c r="G10" i="14" s="1"/>
  <c r="G7" i="14" a="1"/>
  <c r="G7" i="14" s="1"/>
  <c r="G4" i="14" a="1"/>
  <c r="G4" i="14" s="1"/>
  <c r="G43" i="14" a="1"/>
  <c r="G43" i="14" s="1"/>
  <c r="G40" i="14" a="1"/>
  <c r="G40" i="14" s="1"/>
  <c r="G37" i="14" a="1"/>
  <c r="G37" i="14" s="1"/>
  <c r="G34" i="14" a="1"/>
  <c r="G34" i="14" s="1"/>
  <c r="G31" i="14" a="1"/>
  <c r="G31" i="14" s="1"/>
  <c r="G28" i="14" a="1"/>
  <c r="G28" i="14" s="1"/>
  <c r="G25" i="14" a="1"/>
  <c r="G25" i="14" s="1"/>
  <c r="G22" i="14" a="1"/>
  <c r="G22" i="14" s="1"/>
  <c r="G19" i="14" a="1"/>
  <c r="G19" i="14" s="1"/>
  <c r="G16" i="14" a="1"/>
  <c r="G16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tc={F86802C2-DAB4-40DE-A593-50ED166B88A3}</author>
    <author>tc={F4C80922-8048-4F73-967D-5D1B4A46FF31}</author>
  </authors>
  <commentList>
    <comment ref="K21" authorId="0" shapeId="0" xr:uid="{00000000-0006-0000-02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02/05/2026</t>
      </text>
    </comment>
    <comment ref="K23" authorId="1" shapeId="0" xr:uid="{00000000-0006-0000-0200-000002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05/05/2026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tc={14396252-D79C-4D8C-8545-C93C81CAA237}</author>
    <author>tc={8690C0EE-78DB-4E97-A862-2859FE06E945}</author>
    <author>tc={E288DB89-80C8-4294-9454-523ED6D5EB8C}</author>
  </authors>
  <commentList>
    <comment ref="K38" authorId="0" shapeId="0" xr:uid="{00000000-0006-0000-03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04/05/2026</t>
      </text>
    </comment>
    <comment ref="K39" authorId="1" shapeId="0" xr:uid="{00000000-0006-0000-0300-000002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04/05/2026
</t>
      </text>
    </comment>
    <comment ref="K40" authorId="2" shapeId="0" xr:uid="{00000000-0006-0000-0300-000003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04/05/2026
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H7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Opening balance</t>
        </r>
      </text>
    </comment>
    <comment ref="H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Production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Tahoma"/>
            <family val="2"/>
          </rPr>
          <t>Department</t>
        </r>
      </text>
    </comment>
    <comment ref="H1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Warehouses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Quantity after adjustment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<sst xmlns="http://schemas.openxmlformats.org/spreadsheetml/2006/main" count="996" uniqueCount="93">
  <si>
    <t>OUT</t>
  </si>
  <si>
    <t>IN</t>
  </si>
  <si>
    <t>C&amp;S</t>
  </si>
  <si>
    <t>Chicken</t>
  </si>
  <si>
    <t>Koptimix</t>
  </si>
  <si>
    <t>WithOut</t>
  </si>
  <si>
    <t>WITHOUT</t>
  </si>
  <si>
    <t>KOPTIMIX</t>
  </si>
  <si>
    <t>CHICKEN</t>
  </si>
  <si>
    <t>COW AND SHEEP</t>
  </si>
  <si>
    <t>Category</t>
  </si>
  <si>
    <t>Type</t>
  </si>
  <si>
    <t>Color</t>
  </si>
  <si>
    <t>Size</t>
  </si>
  <si>
    <t>Basic Balance</t>
  </si>
  <si>
    <t>Current Balance</t>
  </si>
  <si>
    <t>Calculation</t>
  </si>
  <si>
    <t>Date</t>
  </si>
  <si>
    <t>Sacks</t>
  </si>
  <si>
    <t>QAA</t>
  </si>
  <si>
    <t>Quantity</t>
  </si>
  <si>
    <t>Process</t>
  </si>
  <si>
    <t>Date-Time</t>
  </si>
  <si>
    <t>Lable</t>
  </si>
  <si>
    <t>Blue</t>
  </si>
  <si>
    <t>160x240</t>
  </si>
  <si>
    <t>140x240</t>
  </si>
  <si>
    <t>Note</t>
  </si>
  <si>
    <t>Purple</t>
  </si>
  <si>
    <t>(75*9)</t>
  </si>
  <si>
    <t>Orange</t>
  </si>
  <si>
    <t>Gray</t>
  </si>
  <si>
    <t>(75*13)</t>
  </si>
  <si>
    <t>Orange (13)</t>
  </si>
  <si>
    <t>Orange (70*45)</t>
  </si>
  <si>
    <t>(70*45)</t>
  </si>
  <si>
    <t>Red</t>
  </si>
  <si>
    <t>Green</t>
  </si>
  <si>
    <t>Dark Green</t>
  </si>
  <si>
    <t>Light Blue</t>
  </si>
  <si>
    <t>Dark Blue</t>
  </si>
  <si>
    <t>Yellow</t>
  </si>
  <si>
    <t>Brown</t>
  </si>
  <si>
    <t>Brown(13)</t>
  </si>
  <si>
    <t>/</t>
  </si>
  <si>
    <t>Dark Green(75*50*13)</t>
  </si>
  <si>
    <t>Red Black(1i)</t>
  </si>
  <si>
    <t>Blue Green(1J)</t>
  </si>
  <si>
    <t>Red Dark Blue(1E)</t>
  </si>
  <si>
    <t>Blue Gray(1A)</t>
  </si>
  <si>
    <t>Blue Black(1H)</t>
  </si>
  <si>
    <t>Purple Dark Blue(1B)</t>
  </si>
  <si>
    <t>Blue Purple(1C)</t>
  </si>
  <si>
    <t xml:space="preserve">    </t>
  </si>
  <si>
    <t>Green Black(GB)</t>
  </si>
  <si>
    <t>Purple (Fish)</t>
  </si>
  <si>
    <t>Purple (10)</t>
  </si>
  <si>
    <t>(70*45*10)</t>
  </si>
  <si>
    <t>Orange (10)</t>
  </si>
  <si>
    <t>White</t>
  </si>
  <si>
    <t>Plastic</t>
  </si>
  <si>
    <t>Purple Popp</t>
  </si>
  <si>
    <t>From-To</t>
  </si>
  <si>
    <t>OB</t>
  </si>
  <si>
    <t>Blue Popp</t>
  </si>
  <si>
    <t>Green Popp</t>
  </si>
  <si>
    <t>PD</t>
  </si>
  <si>
    <t>White 25G</t>
  </si>
  <si>
    <t>White 50G</t>
  </si>
  <si>
    <t>WH</t>
  </si>
  <si>
    <t>Blue KOP</t>
  </si>
  <si>
    <t>Red KOP</t>
  </si>
  <si>
    <t>EST</t>
  </si>
  <si>
    <t xml:space="preserve">EST </t>
  </si>
  <si>
    <t>Black</t>
  </si>
  <si>
    <t>Blue+</t>
  </si>
  <si>
    <t>165x300</t>
  </si>
  <si>
    <t xml:space="preserve">Roll </t>
  </si>
  <si>
    <t>Ribbon</t>
  </si>
  <si>
    <t>Roll</t>
  </si>
  <si>
    <t>KOP</t>
  </si>
  <si>
    <t>QC</t>
  </si>
  <si>
    <t>8.6 (Dia.)</t>
  </si>
  <si>
    <t>16x24</t>
  </si>
  <si>
    <t>Plain White</t>
  </si>
  <si>
    <t>7*5</t>
  </si>
  <si>
    <t>Green+</t>
  </si>
  <si>
    <t>CW641</t>
  </si>
  <si>
    <t>Orange (13</t>
  </si>
  <si>
    <t>Brown (13)</t>
  </si>
  <si>
    <t>White 25K</t>
  </si>
  <si>
    <t>White 50K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</si>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</sst>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</numFmts>
  <fonts count="2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indexed="81"/>
      <name val="Tahoma"/>
      <family val="2"/>
    </font>
    <font>
      <sz val="11"/>
      <color rgb="FF006100"/>
      <name val="Calibri"/>
      <family val="2"/>
      <scheme val="minor"/>
    </font>
    <font>
      <sz val="11"/>
      <color rgb="FFFF0000"/>
      <name val="Calibri"/>
      <family val="2"/>
      <scheme val="minor"/>
    </font>
    <font>
      <sz val="28"/>
      <name val="Calibri"/>
      <family val="2"/>
      <scheme val="minor"/>
    </font>
    <font>
      <sz val="24"/>
      <name val="Calibri"/>
      <family val="2"/>
      <scheme val="minor"/>
    </font>
    <font>
      <b/>
      <i/>
      <sz val="22"/>
      <name val="Calibri"/>
      <family val="2"/>
      <scheme val="minor"/>
    </font>
    <font>
      <b/>
      <i/>
      <sz val="20"/>
      <name val="Calibri"/>
      <family val="2"/>
      <scheme val="minor"/>
    </font>
    <font>
      <sz val="22"/>
      <name val="29LT Bukra Bold Italic"/>
      <family val="2"/>
    </font>
    <font>
      <sz val="11"/>
      <name val="Calibri"/>
      <family val="2"/>
      <scheme val="minor"/>
    </font>
    <font>
      <b/>
      <sz val="22"/>
      <name val="29LT Bukra Bold Italic"/>
      <family val="2"/>
    </font>
    <font>
      <b/>
      <sz val="22"/>
      <name val="Calibri"/>
      <family val="2"/>
      <scheme val="minor"/>
    </font>
    <font>
      <b/>
      <sz val="16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4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7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174CF"/>
        <bgColor indexed="64"/>
      </patternFill>
    </fill>
    <fill>
      <patternFill patternType="solid">
        <fgColor rgb="FF632523"/>
        <bgColor indexed="64"/>
      </patternFill>
    </fill>
    <fill>
      <patternFill patternType="solid">
        <fgColor rgb="FF79F4F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2200F0"/>
        <bgColor indexed="64"/>
      </patternFill>
    </fill>
    <fill>
      <patternFill patternType="solid">
        <fgColor theme="0" tint="-0.14999847407452621"/>
        <bgColor indexed="64"/>
      </patternFill>
    </fill>
  </fills>
  <borders count="3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rgb="FF3F3F3F"/>
      </right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double">
        <color rgb="FF3F3F3F"/>
      </bottom>
      <diagonal/>
    </border>
    <border>
      <left style="medium">
        <color indexed="64"/>
      </left>
      <right style="double">
        <color rgb="FF3F3F3F"/>
      </right>
      <top style="double">
        <color rgb="FF3F3F3F"/>
      </top>
      <bottom style="medium">
        <color indexed="64"/>
      </bottom>
      <diagonal/>
    </border>
    <border>
      <left style="double">
        <color rgb="FF3F3F3F"/>
      </left>
      <right style="medium">
        <color indexed="64"/>
      </right>
      <top style="double">
        <color rgb="FF3F3F3F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1" fillId="2" borderId="1" applyNumberFormat="0" applyFont="0" applyAlignment="0" applyProtection="0"/>
    <xf numFmtId="0" fontId="2" fillId="4" borderId="0" applyNumberFormat="0" applyBorder="0" applyAlignment="0" applyProtection="0"/>
    <xf numFmtId="0" fontId="3" fillId="6" borderId="5" applyNumberFormat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43" fontId="1" fillId="0" borderId="0" applyFont="0" applyFill="0" applyBorder="0" applyAlignment="0" applyProtection="0"/>
    <xf numFmtId="0" fontId="15" fillId="17" borderId="0" applyNumberFormat="0" applyBorder="0" applyAlignment="0" applyProtection="0"/>
  </cellStyleXfs>
  <cellXfs count="259">
    <xf numFmtId="0" fontId="0" fillId="0" borderId="0" xfId="0"/>
    <xf numFmtId="0" fontId="7" fillId="0" borderId="0" xfId="0" applyFont="1"/>
    <xf numFmtId="0" fontId="5" fillId="0" borderId="11" xfId="0" applyFont="1" applyBorder="1" applyAlignment="1">
      <alignment horizontal="center" vertical="center"/>
    </xf>
    <xf numFmtId="0" fontId="8" fillId="5" borderId="12" xfId="1" applyFont="1" applyFill="1" applyBorder="1" applyAlignment="1">
      <alignment horizontal="center" vertical="center"/>
    </xf>
    <xf numFmtId="0" fontId="8" fillId="3" borderId="13" xfId="1" applyFont="1" applyFill="1" applyBorder="1" applyAlignment="1">
      <alignment horizontal="center" vertical="center"/>
    </xf>
    <xf numFmtId="0" fontId="8" fillId="2" borderId="7" xfId="1" applyFont="1" applyBorder="1" applyAlignment="1">
      <alignment horizontal="center" vertical="center"/>
    </xf>
    <xf numFmtId="0" fontId="8" fillId="2" borderId="23" xfId="1" applyFont="1" applyBorder="1" applyAlignment="1">
      <alignment horizontal="center" vertical="center"/>
    </xf>
    <xf numFmtId="0" fontId="8" fillId="2" borderId="24" xfId="1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15" fontId="5" fillId="0" borderId="7" xfId="0" applyNumberFormat="1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164" fontId="5" fillId="0" borderId="7" xfId="7" applyNumberFormat="1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164" fontId="5" fillId="0" borderId="26" xfId="7" applyNumberFormat="1" applyFont="1" applyBorder="1" applyAlignment="1">
      <alignment horizontal="left" vertical="center"/>
    </xf>
    <xf numFmtId="0" fontId="5" fillId="0" borderId="19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64" fontId="7" fillId="0" borderId="2" xfId="7" applyNumberFormat="1" applyFont="1" applyBorder="1" applyAlignment="1">
      <alignment horizontal="center" vertical="center"/>
    </xf>
    <xf numFmtId="0" fontId="0" fillId="0" borderId="2" xfId="0" applyBorder="1"/>
    <xf numFmtId="164" fontId="5" fillId="0" borderId="24" xfId="7" applyNumberFormat="1" applyFont="1" applyBorder="1" applyAlignment="1">
      <alignment horizontal="right" vertical="center"/>
    </xf>
    <xf numFmtId="0" fontId="13" fillId="0" borderId="7" xfId="0" applyFont="1" applyBorder="1" applyAlignment="1">
      <alignment horizontal="center" vertical="center"/>
    </xf>
    <xf numFmtId="164" fontId="5" fillId="0" borderId="7" xfId="7" applyNumberFormat="1" applyFont="1" applyBorder="1" applyAlignment="1">
      <alignment horizontal="center" vertical="center"/>
    </xf>
    <xf numFmtId="0" fontId="8" fillId="2" borderId="33" xfId="1" applyFont="1" applyBorder="1" applyAlignment="1">
      <alignment horizontal="center" vertical="center"/>
    </xf>
    <xf numFmtId="0" fontId="8" fillId="2" borderId="34" xfId="1" applyFont="1" applyBorder="1" applyAlignment="1">
      <alignment horizontal="center" vertical="center"/>
    </xf>
    <xf numFmtId="0" fontId="8" fillId="2" borderId="35" xfId="1" applyFont="1" applyBorder="1" applyAlignment="1">
      <alignment horizontal="center" vertical="center"/>
    </xf>
    <xf numFmtId="22" fontId="7" fillId="0" borderId="10" xfId="0" applyNumberFormat="1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0" fillId="0" borderId="11" xfId="0" applyBorder="1"/>
    <xf numFmtId="0" fontId="0" fillId="0" borderId="10" xfId="0" applyBorder="1"/>
    <xf numFmtId="0" fontId="0" fillId="0" borderId="17" xfId="0" applyBorder="1"/>
    <xf numFmtId="0" fontId="0" fillId="0" borderId="18" xfId="0" applyBorder="1"/>
    <xf numFmtId="0" fontId="5" fillId="13" borderId="2" xfId="0" applyFont="1" applyFill="1" applyBorder="1" applyAlignment="1">
      <alignment horizontal="center" vertical="center"/>
    </xf>
    <xf numFmtId="0" fontId="12" fillId="13" borderId="2" xfId="0" applyFont="1" applyFill="1" applyBorder="1"/>
    <xf numFmtId="0" fontId="12" fillId="13" borderId="0" xfId="0" applyFont="1" applyFill="1"/>
    <xf numFmtId="0" fontId="8" fillId="2" borderId="1" xfId="1" applyFont="1" applyAlignment="1">
      <alignment horizontal="center" vertical="center"/>
    </xf>
    <xf numFmtId="165" fontId="5" fillId="0" borderId="7" xfId="0" applyNumberFormat="1" applyFont="1" applyBorder="1" applyAlignment="1">
      <alignment horizontal="center" vertical="center"/>
    </xf>
    <xf numFmtId="164" fontId="0" fillId="0" borderId="0" xfId="7" applyNumberFormat="1" applyFont="1"/>
    <xf numFmtId="164" fontId="8" fillId="2" borderId="24" xfId="7" applyNumberFormat="1" applyFont="1" applyFill="1" applyBorder="1" applyAlignment="1">
      <alignment horizontal="center" vertical="center"/>
    </xf>
    <xf numFmtId="0" fontId="7" fillId="13" borderId="0" xfId="0" applyFont="1" applyFill="1"/>
    <xf numFmtId="0" fontId="13" fillId="13" borderId="7" xfId="0" applyFont="1" applyFill="1" applyBorder="1" applyAlignment="1">
      <alignment horizontal="center" vertical="center"/>
    </xf>
    <xf numFmtId="164" fontId="8" fillId="2" borderId="7" xfId="7" applyNumberFormat="1" applyFont="1" applyFill="1" applyBorder="1" applyAlignment="1">
      <alignment horizontal="center" vertical="center"/>
    </xf>
    <xf numFmtId="0" fontId="5" fillId="13" borderId="7" xfId="0" applyFont="1" applyFill="1" applyBorder="1" applyAlignment="1">
      <alignment horizontal="center" vertical="center"/>
    </xf>
    <xf numFmtId="0" fontId="0" fillId="13" borderId="0" xfId="0" applyFill="1"/>
    <xf numFmtId="0" fontId="5" fillId="13" borderId="18" xfId="0" applyFont="1" applyFill="1" applyBorder="1" applyAlignment="1">
      <alignment horizontal="center" vertical="center"/>
    </xf>
    <xf numFmtId="164" fontId="13" fillId="13" borderId="7" xfId="7" applyNumberFormat="1" applyFont="1" applyFill="1" applyBorder="1" applyAlignment="1">
      <alignment horizontal="center" vertical="center"/>
    </xf>
    <xf numFmtId="164" fontId="5" fillId="13" borderId="7" xfId="7" applyNumberFormat="1" applyFont="1" applyFill="1" applyBorder="1" applyAlignment="1">
      <alignment horizontal="center" vertical="center"/>
    </xf>
    <xf numFmtId="0" fontId="13" fillId="16" borderId="7" xfId="0" applyFont="1" applyFill="1" applyBorder="1" applyAlignment="1">
      <alignment horizontal="center" vertical="center"/>
    </xf>
    <xf numFmtId="164" fontId="13" fillId="16" borderId="7" xfId="7" applyNumberFormat="1" applyFont="1" applyFill="1" applyBorder="1" applyAlignment="1">
      <alignment horizontal="center" vertical="center"/>
    </xf>
    <xf numFmtId="15" fontId="5" fillId="16" borderId="7" xfId="0" applyNumberFormat="1" applyFont="1" applyFill="1" applyBorder="1" applyAlignment="1">
      <alignment horizontal="center" vertical="center"/>
    </xf>
    <xf numFmtId="0" fontId="5" fillId="16" borderId="7" xfId="0" applyFont="1" applyFill="1" applyBorder="1" applyAlignment="1">
      <alignment horizontal="center" vertical="center"/>
    </xf>
    <xf numFmtId="0" fontId="5" fillId="16" borderId="18" xfId="0" applyFont="1" applyFill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5" fillId="0" borderId="25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8" fillId="16" borderId="7" xfId="0" applyFont="1" applyFill="1" applyBorder="1" applyAlignment="1">
      <alignment horizontal="center" vertical="center"/>
    </xf>
    <xf numFmtId="164" fontId="5" fillId="16" borderId="7" xfId="7" applyNumberFormat="1" applyFont="1" applyFill="1" applyBorder="1" applyAlignment="1">
      <alignment horizontal="center" vertical="center"/>
    </xf>
    <xf numFmtId="164" fontId="5" fillId="16" borderId="7" xfId="7" applyNumberFormat="1" applyFont="1" applyFill="1" applyBorder="1" applyAlignment="1">
      <alignment horizontal="left" vertical="center"/>
    </xf>
    <xf numFmtId="165" fontId="5" fillId="16" borderId="7" xfId="7" applyNumberFormat="1" applyFont="1" applyFill="1" applyBorder="1" applyAlignment="1">
      <alignment horizontal="center" vertical="center"/>
    </xf>
    <xf numFmtId="0" fontId="5" fillId="16" borderId="8" xfId="0" applyFont="1" applyFill="1" applyBorder="1" applyAlignment="1">
      <alignment horizontal="center" vertical="center"/>
    </xf>
    <xf numFmtId="164" fontId="8" fillId="0" borderId="7" xfId="7" applyNumberFormat="1" applyFont="1" applyBorder="1" applyAlignment="1">
      <alignment horizontal="center" vertical="center"/>
    </xf>
    <xf numFmtId="0" fontId="5" fillId="0" borderId="7" xfId="0" applyFont="1" applyBorder="1" applyAlignment="1">
      <alignment vertical="center"/>
    </xf>
    <xf numFmtId="165" fontId="5" fillId="16" borderId="7" xfId="0" applyNumberFormat="1" applyFont="1" applyFill="1" applyBorder="1" applyAlignment="1">
      <alignment horizontal="center" vertical="center"/>
    </xf>
    <xf numFmtId="15" fontId="5" fillId="15" borderId="7" xfId="0" applyNumberFormat="1" applyFont="1" applyFill="1" applyBorder="1" applyAlignment="1">
      <alignment horizontal="center" vertical="center"/>
    </xf>
    <xf numFmtId="0" fontId="5" fillId="15" borderId="7" xfId="0" applyFont="1" applyFill="1" applyBorder="1" applyAlignment="1">
      <alignment horizontal="center" vertical="center"/>
    </xf>
    <xf numFmtId="0" fontId="8" fillId="15" borderId="7" xfId="0" applyFont="1" applyFill="1" applyBorder="1" applyAlignment="1">
      <alignment horizontal="center" vertical="center"/>
    </xf>
    <xf numFmtId="164" fontId="5" fillId="15" borderId="7" xfId="7" applyNumberFormat="1" applyFont="1" applyFill="1" applyBorder="1" applyAlignment="1">
      <alignment horizontal="center" vertical="center"/>
    </xf>
    <xf numFmtId="165" fontId="5" fillId="15" borderId="7" xfId="7" applyNumberFormat="1" applyFont="1" applyFill="1" applyBorder="1" applyAlignment="1">
      <alignment horizontal="center" vertical="center"/>
    </xf>
    <xf numFmtId="15" fontId="5" fillId="13" borderId="7" xfId="0" applyNumberFormat="1" applyFont="1" applyFill="1" applyBorder="1" applyAlignment="1">
      <alignment horizontal="center" vertical="center"/>
    </xf>
    <xf numFmtId="15" fontId="5" fillId="16" borderId="17" xfId="0" applyNumberFormat="1" applyFont="1" applyFill="1" applyBorder="1" applyAlignment="1">
      <alignment horizontal="center" vertical="center"/>
    </xf>
    <xf numFmtId="164" fontId="5" fillId="15" borderId="7" xfId="7" applyNumberFormat="1" applyFont="1" applyFill="1" applyBorder="1" applyAlignment="1">
      <alignment horizontal="left" vertical="center"/>
    </xf>
    <xf numFmtId="0" fontId="5" fillId="15" borderId="18" xfId="0" applyFont="1" applyFill="1" applyBorder="1" applyAlignment="1">
      <alignment horizontal="center" vertical="center"/>
    </xf>
    <xf numFmtId="164" fontId="8" fillId="2" borderId="34" xfId="7" applyNumberFormat="1" applyFont="1" applyFill="1" applyBorder="1" applyAlignment="1">
      <alignment horizontal="center" vertical="center"/>
    </xf>
    <xf numFmtId="164" fontId="0" fillId="0" borderId="2" xfId="7" applyNumberFormat="1" applyFont="1" applyBorder="1"/>
    <xf numFmtId="164" fontId="0" fillId="0" borderId="0" xfId="7" applyNumberFormat="1" applyFont="1" applyBorder="1"/>
    <xf numFmtId="0" fontId="0" fillId="13" borderId="4" xfId="0" applyFill="1" applyBorder="1"/>
    <xf numFmtId="164" fontId="7" fillId="0" borderId="3" xfId="7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64" fontId="7" fillId="0" borderId="37" xfId="7" applyNumberFormat="1" applyFont="1" applyBorder="1" applyAlignment="1">
      <alignment horizontal="center" vertical="center"/>
    </xf>
    <xf numFmtId="164" fontId="7" fillId="0" borderId="6" xfId="7" applyNumberFormat="1" applyFont="1" applyBorder="1" applyAlignment="1">
      <alignment horizontal="center" vertical="center"/>
    </xf>
    <xf numFmtId="164" fontId="7" fillId="0" borderId="7" xfId="7" applyNumberFormat="1" applyFont="1" applyBorder="1" applyAlignment="1">
      <alignment horizontal="center" vertical="center"/>
    </xf>
    <xf numFmtId="0" fontId="8" fillId="3" borderId="1" xfId="1" applyFont="1" applyFill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0" fillId="0" borderId="7" xfId="0" applyBorder="1"/>
    <xf numFmtId="0" fontId="5" fillId="0" borderId="7" xfId="0" applyFont="1" applyBorder="1"/>
    <xf numFmtId="164" fontId="5" fillId="0" borderId="7" xfId="7" applyNumberFormat="1" applyFont="1" applyBorder="1"/>
    <xf numFmtId="0" fontId="7" fillId="13" borderId="2" xfId="0" applyFont="1" applyFill="1" applyBorder="1" applyAlignment="1">
      <alignment horizontal="center" vertical="center"/>
    </xf>
    <xf numFmtId="0" fontId="5" fillId="16" borderId="17" xfId="0" applyFont="1" applyFill="1" applyBorder="1" applyAlignment="1">
      <alignment horizontal="center" vertical="center"/>
    </xf>
    <xf numFmtId="15" fontId="5" fillId="0" borderId="28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5" fillId="13" borderId="8" xfId="0" applyFont="1" applyFill="1" applyBorder="1" applyAlignment="1">
      <alignment horizontal="center" vertical="center"/>
    </xf>
    <xf numFmtId="0" fontId="8" fillId="13" borderId="7" xfId="0" applyFont="1" applyFill="1" applyBorder="1" applyAlignment="1">
      <alignment horizontal="center" vertical="center"/>
    </xf>
    <xf numFmtId="164" fontId="5" fillId="0" borderId="28" xfId="7" applyNumberFormat="1" applyFont="1" applyBorder="1" applyAlignment="1">
      <alignment horizontal="left" vertical="center"/>
    </xf>
    <xf numFmtId="164" fontId="8" fillId="13" borderId="2" xfId="7" applyNumberFormat="1" applyFont="1" applyFill="1" applyBorder="1" applyAlignment="1">
      <alignment horizontal="center" vertical="center"/>
    </xf>
    <xf numFmtId="164" fontId="8" fillId="13" borderId="2" xfId="7" applyNumberFormat="1" applyFont="1" applyFill="1" applyBorder="1"/>
    <xf numFmtId="0" fontId="5" fillId="0" borderId="2" xfId="0" applyFont="1" applyBorder="1"/>
    <xf numFmtId="164" fontId="13" fillId="13" borderId="2" xfId="7" applyNumberFormat="1" applyFont="1" applyFill="1" applyBorder="1" applyAlignment="1">
      <alignment horizontal="center" vertical="center"/>
    </xf>
    <xf numFmtId="0" fontId="0" fillId="18" borderId="0" xfId="0" applyFill="1"/>
    <xf numFmtId="0" fontId="0" fillId="19" borderId="0" xfId="0" applyFill="1"/>
    <xf numFmtId="0" fontId="22" fillId="13" borderId="0" xfId="0" applyFont="1" applyFill="1"/>
    <xf numFmtId="0" fontId="19" fillId="13" borderId="0" xfId="0" applyFont="1" applyFill="1" applyAlignment="1">
      <alignment horizontal="center" vertical="center"/>
    </xf>
    <xf numFmtId="0" fontId="16" fillId="13" borderId="0" xfId="0" applyFont="1" applyFill="1"/>
    <xf numFmtId="0" fontId="17" fillId="13" borderId="0" xfId="0" applyFont="1" applyFill="1" applyAlignment="1">
      <alignment vertical="center"/>
    </xf>
    <xf numFmtId="0" fontId="18" fillId="13" borderId="0" xfId="0" applyFont="1" applyFill="1" applyAlignment="1">
      <alignment vertical="center"/>
    </xf>
    <xf numFmtId="0" fontId="19" fillId="13" borderId="0" xfId="0" applyFont="1" applyFill="1" applyAlignment="1">
      <alignment vertical="center"/>
    </xf>
    <xf numFmtId="0" fontId="20" fillId="13" borderId="0" xfId="0" applyFont="1" applyFill="1" applyAlignment="1">
      <alignment vertical="center"/>
    </xf>
    <xf numFmtId="0" fontId="23" fillId="13" borderId="0" xfId="8" applyFont="1" applyFill="1" applyBorder="1" applyAlignment="1">
      <alignment vertical="center"/>
    </xf>
    <xf numFmtId="0" fontId="21" fillId="13" borderId="0" xfId="0" applyFont="1" applyFill="1" applyAlignment="1">
      <alignment vertical="center"/>
    </xf>
    <xf numFmtId="0" fontId="24" fillId="13" borderId="0" xfId="0" applyFont="1" applyFill="1" applyAlignment="1">
      <alignment vertical="center"/>
    </xf>
    <xf numFmtId="0" fontId="0" fillId="13" borderId="2" xfId="0" applyFill="1" applyBorder="1"/>
    <xf numFmtId="0" fontId="0" fillId="18" borderId="2" xfId="0" applyFill="1" applyBorder="1"/>
    <xf numFmtId="0" fontId="0" fillId="13" borderId="6" xfId="0" applyFill="1" applyBorder="1"/>
    <xf numFmtId="0" fontId="0" fillId="13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164" fontId="27" fillId="13" borderId="0" xfId="7" applyNumberFormat="1" applyFont="1" applyFill="1" applyBorder="1" applyAlignment="1">
      <alignment horizontal="center" vertical="center"/>
    </xf>
    <xf numFmtId="164" fontId="26" fillId="13" borderId="0" xfId="7" applyNumberFormat="1" applyFont="1" applyFill="1" applyBorder="1" applyAlignment="1">
      <alignment horizontal="center" vertical="center"/>
    </xf>
    <xf numFmtId="0" fontId="5" fillId="2" borderId="36" xfId="1" applyFont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4" fontId="13" fillId="15" borderId="2" xfId="7" applyNumberFormat="1" applyFont="1" applyFill="1" applyBorder="1" applyAlignment="1">
      <alignment horizontal="center" vertical="center"/>
    </xf>
    <xf numFmtId="164" fontId="8" fillId="15" borderId="2" xfId="7" applyNumberFormat="1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164" fontId="5" fillId="0" borderId="2" xfId="7" applyNumberFormat="1" applyFont="1" applyBorder="1" applyAlignment="1">
      <alignment horizontal="center" vertical="center"/>
    </xf>
    <xf numFmtId="0" fontId="4" fillId="10" borderId="14" xfId="6" applyFont="1" applyFill="1" applyBorder="1" applyAlignment="1">
      <alignment horizontal="center" vertical="center"/>
    </xf>
    <xf numFmtId="0" fontId="4" fillId="10" borderId="15" xfId="6" applyFont="1" applyFill="1" applyBorder="1" applyAlignment="1">
      <alignment horizontal="center" vertical="center"/>
    </xf>
    <xf numFmtId="0" fontId="4" fillId="10" borderId="16" xfId="6" applyFont="1" applyFill="1" applyBorder="1" applyAlignment="1">
      <alignment horizontal="center" vertical="center"/>
    </xf>
    <xf numFmtId="0" fontId="4" fillId="10" borderId="17" xfId="6" applyFont="1" applyFill="1" applyBorder="1" applyAlignment="1">
      <alignment horizontal="center" vertical="center"/>
    </xf>
    <xf numFmtId="0" fontId="4" fillId="10" borderId="0" xfId="6" applyFont="1" applyFill="1" applyBorder="1" applyAlignment="1">
      <alignment horizontal="center" vertical="center"/>
    </xf>
    <xf numFmtId="0" fontId="4" fillId="10" borderId="18" xfId="6" applyFont="1" applyFill="1" applyBorder="1" applyAlignment="1">
      <alignment horizontal="center" vertical="center"/>
    </xf>
    <xf numFmtId="0" fontId="4" fillId="10" borderId="19" xfId="6" applyFont="1" applyFill="1" applyBorder="1" applyAlignment="1">
      <alignment horizontal="center" vertical="center"/>
    </xf>
    <xf numFmtId="0" fontId="4" fillId="10" borderId="20" xfId="6" applyFont="1" applyFill="1" applyBorder="1" applyAlignment="1">
      <alignment horizontal="center" vertical="center"/>
    </xf>
    <xf numFmtId="0" fontId="4" fillId="10" borderId="21" xfId="6" applyFont="1" applyFill="1" applyBorder="1" applyAlignment="1">
      <alignment horizontal="center" vertical="center"/>
    </xf>
    <xf numFmtId="0" fontId="6" fillId="6" borderId="29" xfId="3" applyFont="1" applyBorder="1" applyAlignment="1">
      <alignment horizontal="center" vertical="center"/>
    </xf>
    <xf numFmtId="0" fontId="6" fillId="6" borderId="30" xfId="3" applyFont="1" applyBorder="1" applyAlignment="1">
      <alignment horizontal="center" vertical="center"/>
    </xf>
    <xf numFmtId="0" fontId="6" fillId="6" borderId="31" xfId="3" applyFont="1" applyBorder="1" applyAlignment="1">
      <alignment horizontal="center" vertical="center"/>
    </xf>
    <xf numFmtId="0" fontId="6" fillId="6" borderId="32" xfId="3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5" fillId="0" borderId="28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5" fontId="5" fillId="0" borderId="28" xfId="0" applyNumberFormat="1" applyFont="1" applyBorder="1" applyAlignment="1">
      <alignment horizontal="center" vertical="center"/>
    </xf>
    <xf numFmtId="15" fontId="5" fillId="0" borderId="27" xfId="0" applyNumberFormat="1" applyFont="1" applyBorder="1" applyAlignment="1">
      <alignment horizontal="center" vertical="center"/>
    </xf>
    <xf numFmtId="15" fontId="5" fillId="0" borderId="26" xfId="0" applyNumberFormat="1" applyFont="1" applyBorder="1" applyAlignment="1">
      <alignment horizontal="center" vertical="center"/>
    </xf>
    <xf numFmtId="0" fontId="4" fillId="4" borderId="14" xfId="2" applyFont="1" applyBorder="1" applyAlignment="1">
      <alignment horizontal="center" vertical="center"/>
    </xf>
    <xf numFmtId="0" fontId="4" fillId="4" borderId="15" xfId="2" applyFont="1" applyBorder="1" applyAlignment="1">
      <alignment horizontal="center" vertical="center"/>
    </xf>
    <xf numFmtId="0" fontId="4" fillId="4" borderId="16" xfId="2" applyFont="1" applyBorder="1" applyAlignment="1">
      <alignment horizontal="center" vertical="center"/>
    </xf>
    <xf numFmtId="0" fontId="4" fillId="4" borderId="17" xfId="2" applyFont="1" applyBorder="1" applyAlignment="1">
      <alignment horizontal="center" vertical="center"/>
    </xf>
    <xf numFmtId="0" fontId="4" fillId="4" borderId="0" xfId="2" applyFont="1" applyBorder="1" applyAlignment="1">
      <alignment horizontal="center" vertical="center"/>
    </xf>
    <xf numFmtId="0" fontId="4" fillId="4" borderId="18" xfId="2" applyFont="1" applyBorder="1" applyAlignment="1">
      <alignment horizontal="center" vertical="center"/>
    </xf>
    <xf numFmtId="0" fontId="4" fillId="4" borderId="19" xfId="2" applyFont="1" applyBorder="1" applyAlignment="1">
      <alignment horizontal="center" vertical="center"/>
    </xf>
    <xf numFmtId="0" fontId="4" fillId="4" borderId="20" xfId="2" applyFont="1" applyBorder="1" applyAlignment="1">
      <alignment horizontal="center" vertical="center"/>
    </xf>
    <xf numFmtId="0" fontId="4" fillId="4" borderId="21" xfId="2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15" fontId="5" fillId="0" borderId="2" xfId="0" applyNumberFormat="1" applyFont="1" applyBorder="1" applyAlignment="1">
      <alignment horizontal="center" vertical="center"/>
    </xf>
    <xf numFmtId="0" fontId="4" fillId="7" borderId="14" xfId="4" applyFont="1" applyBorder="1" applyAlignment="1">
      <alignment horizontal="center" vertical="center"/>
    </xf>
    <xf numFmtId="0" fontId="4" fillId="7" borderId="15" xfId="4" applyFont="1" applyBorder="1" applyAlignment="1">
      <alignment horizontal="center" vertical="center"/>
    </xf>
    <xf numFmtId="0" fontId="4" fillId="7" borderId="16" xfId="4" applyFont="1" applyBorder="1" applyAlignment="1">
      <alignment horizontal="center" vertical="center"/>
    </xf>
    <xf numFmtId="0" fontId="4" fillId="7" borderId="17" xfId="4" applyFont="1" applyBorder="1" applyAlignment="1">
      <alignment horizontal="center" vertical="center"/>
    </xf>
    <xf numFmtId="0" fontId="4" fillId="7" borderId="0" xfId="4" applyFont="1" applyBorder="1" applyAlignment="1">
      <alignment horizontal="center" vertical="center"/>
    </xf>
    <xf numFmtId="0" fontId="4" fillId="7" borderId="18" xfId="4" applyFont="1" applyBorder="1" applyAlignment="1">
      <alignment horizontal="center" vertical="center"/>
    </xf>
    <xf numFmtId="0" fontId="4" fillId="7" borderId="19" xfId="4" applyFont="1" applyBorder="1" applyAlignment="1">
      <alignment horizontal="center" vertical="center"/>
    </xf>
    <xf numFmtId="0" fontId="4" fillId="7" borderId="20" xfId="4" applyFont="1" applyBorder="1" applyAlignment="1">
      <alignment horizontal="center" vertical="center"/>
    </xf>
    <xf numFmtId="0" fontId="4" fillId="7" borderId="21" xfId="4" applyFont="1" applyBorder="1" applyAlignment="1">
      <alignment horizontal="center" vertical="center"/>
    </xf>
    <xf numFmtId="0" fontId="4" fillId="8" borderId="14" xfId="5" applyFont="1" applyBorder="1" applyAlignment="1">
      <alignment horizontal="center" vertical="center"/>
    </xf>
    <xf numFmtId="0" fontId="4" fillId="8" borderId="15" xfId="5" applyFont="1" applyBorder="1" applyAlignment="1">
      <alignment horizontal="center" vertical="center"/>
    </xf>
    <xf numFmtId="0" fontId="4" fillId="8" borderId="16" xfId="5" applyFont="1" applyBorder="1" applyAlignment="1">
      <alignment horizontal="center" vertical="center"/>
    </xf>
    <xf numFmtId="0" fontId="4" fillId="8" borderId="17" xfId="5" applyFont="1" applyBorder="1" applyAlignment="1">
      <alignment horizontal="center" vertical="center"/>
    </xf>
    <xf numFmtId="0" fontId="4" fillId="8" borderId="0" xfId="5" applyFont="1" applyBorder="1" applyAlignment="1">
      <alignment horizontal="center" vertical="center"/>
    </xf>
    <xf numFmtId="0" fontId="4" fillId="8" borderId="18" xfId="5" applyFont="1" applyBorder="1" applyAlignment="1">
      <alignment horizontal="center" vertical="center"/>
    </xf>
    <xf numFmtId="0" fontId="4" fillId="8" borderId="19" xfId="5" applyFont="1" applyBorder="1" applyAlignment="1">
      <alignment horizontal="center" vertical="center"/>
    </xf>
    <xf numFmtId="0" fontId="4" fillId="8" borderId="20" xfId="5" applyFont="1" applyBorder="1" applyAlignment="1">
      <alignment horizontal="center" vertical="center"/>
    </xf>
    <xf numFmtId="0" fontId="4" fillId="8" borderId="21" xfId="5" applyFont="1" applyBorder="1" applyAlignment="1">
      <alignment horizontal="center" vertical="center"/>
    </xf>
    <xf numFmtId="0" fontId="4" fillId="14" borderId="14" xfId="5" applyFont="1" applyFill="1" applyBorder="1" applyAlignment="1">
      <alignment horizontal="center" vertical="center"/>
    </xf>
    <xf numFmtId="0" fontId="4" fillId="14" borderId="15" xfId="5" applyFont="1" applyFill="1" applyBorder="1" applyAlignment="1">
      <alignment horizontal="center" vertical="center"/>
    </xf>
    <xf numFmtId="0" fontId="4" fillId="14" borderId="16" xfId="5" applyFont="1" applyFill="1" applyBorder="1" applyAlignment="1">
      <alignment horizontal="center" vertical="center"/>
    </xf>
    <xf numFmtId="0" fontId="4" fillId="14" borderId="17" xfId="5" applyFont="1" applyFill="1" applyBorder="1" applyAlignment="1">
      <alignment horizontal="center" vertical="center"/>
    </xf>
    <xf numFmtId="0" fontId="4" fillId="14" borderId="0" xfId="5" applyFont="1" applyFill="1" applyBorder="1" applyAlignment="1">
      <alignment horizontal="center" vertical="center"/>
    </xf>
    <xf numFmtId="0" fontId="4" fillId="14" borderId="18" xfId="5" applyFont="1" applyFill="1" applyBorder="1" applyAlignment="1">
      <alignment horizontal="center" vertical="center"/>
    </xf>
    <xf numFmtId="0" fontId="4" fillId="14" borderId="19" xfId="5" applyFont="1" applyFill="1" applyBorder="1" applyAlignment="1">
      <alignment horizontal="center" vertical="center"/>
    </xf>
    <xf numFmtId="0" fontId="4" fillId="14" borderId="20" xfId="5" applyFont="1" applyFill="1" applyBorder="1" applyAlignment="1">
      <alignment horizontal="center" vertical="center"/>
    </xf>
    <xf numFmtId="0" fontId="4" fillId="14" borderId="21" xfId="5" applyFont="1" applyFill="1" applyBorder="1" applyAlignment="1">
      <alignment horizontal="center" vertical="center"/>
    </xf>
    <xf numFmtId="0" fontId="4" fillId="11" borderId="14" xfId="5" applyFont="1" applyFill="1" applyBorder="1" applyAlignment="1">
      <alignment horizontal="center" vertical="center"/>
    </xf>
    <xf numFmtId="0" fontId="4" fillId="11" borderId="15" xfId="5" applyFont="1" applyFill="1" applyBorder="1" applyAlignment="1">
      <alignment horizontal="center" vertical="center"/>
    </xf>
    <xf numFmtId="0" fontId="4" fillId="11" borderId="16" xfId="5" applyFont="1" applyFill="1" applyBorder="1" applyAlignment="1">
      <alignment horizontal="center" vertical="center"/>
    </xf>
    <xf numFmtId="0" fontId="4" fillId="11" borderId="17" xfId="5" applyFont="1" applyFill="1" applyBorder="1" applyAlignment="1">
      <alignment horizontal="center" vertical="center"/>
    </xf>
    <xf numFmtId="0" fontId="4" fillId="11" borderId="0" xfId="5" applyFont="1" applyFill="1" applyBorder="1" applyAlignment="1">
      <alignment horizontal="center" vertical="center"/>
    </xf>
    <xf numFmtId="0" fontId="4" fillId="11" borderId="18" xfId="5" applyFont="1" applyFill="1" applyBorder="1" applyAlignment="1">
      <alignment horizontal="center" vertical="center"/>
    </xf>
    <xf numFmtId="0" fontId="4" fillId="11" borderId="19" xfId="5" applyFont="1" applyFill="1" applyBorder="1" applyAlignment="1">
      <alignment horizontal="center" vertical="center"/>
    </xf>
    <xf numFmtId="0" fontId="4" fillId="11" borderId="20" xfId="5" applyFont="1" applyFill="1" applyBorder="1" applyAlignment="1">
      <alignment horizontal="center" vertical="center"/>
    </xf>
    <xf numFmtId="0" fontId="4" fillId="11" borderId="21" xfId="5" applyFont="1" applyFill="1" applyBorder="1" applyAlignment="1">
      <alignment horizontal="center" vertical="center"/>
    </xf>
    <xf numFmtId="0" fontId="4" fillId="12" borderId="14" xfId="5" applyFont="1" applyFill="1" applyBorder="1" applyAlignment="1">
      <alignment horizontal="center" vertical="center"/>
    </xf>
    <xf numFmtId="0" fontId="4" fillId="12" borderId="15" xfId="5" applyFont="1" applyFill="1" applyBorder="1" applyAlignment="1">
      <alignment horizontal="center" vertical="center"/>
    </xf>
    <xf numFmtId="0" fontId="4" fillId="12" borderId="16" xfId="5" applyFont="1" applyFill="1" applyBorder="1" applyAlignment="1">
      <alignment horizontal="center" vertical="center"/>
    </xf>
    <xf numFmtId="0" fontId="4" fillId="12" borderId="17" xfId="5" applyFont="1" applyFill="1" applyBorder="1" applyAlignment="1">
      <alignment horizontal="center" vertical="center"/>
    </xf>
    <xf numFmtId="0" fontId="4" fillId="12" borderId="0" xfId="5" applyFont="1" applyFill="1" applyBorder="1" applyAlignment="1">
      <alignment horizontal="center" vertical="center"/>
    </xf>
    <xf numFmtId="0" fontId="4" fillId="12" borderId="18" xfId="5" applyFont="1" applyFill="1" applyBorder="1" applyAlignment="1">
      <alignment horizontal="center" vertical="center"/>
    </xf>
    <xf numFmtId="0" fontId="4" fillId="12" borderId="19" xfId="5" applyFont="1" applyFill="1" applyBorder="1" applyAlignment="1">
      <alignment horizontal="center" vertical="center"/>
    </xf>
    <xf numFmtId="0" fontId="4" fillId="12" borderId="20" xfId="5" applyFont="1" applyFill="1" applyBorder="1" applyAlignment="1">
      <alignment horizontal="center" vertical="center"/>
    </xf>
    <xf numFmtId="0" fontId="4" fillId="12" borderId="21" xfId="5" applyFont="1" applyFill="1" applyBorder="1" applyAlignment="1">
      <alignment horizontal="center" vertical="center"/>
    </xf>
    <xf numFmtId="15" fontId="5" fillId="13" borderId="28" xfId="0" applyNumberFormat="1" applyFont="1" applyFill="1" applyBorder="1" applyAlignment="1">
      <alignment horizontal="center" vertical="center"/>
    </xf>
    <xf numFmtId="15" fontId="5" fillId="13" borderId="26" xfId="0" applyNumberFormat="1" applyFont="1" applyFill="1" applyBorder="1" applyAlignment="1">
      <alignment horizontal="center" vertical="center"/>
    </xf>
    <xf numFmtId="15" fontId="5" fillId="13" borderId="27" xfId="0" applyNumberFormat="1" applyFont="1" applyFill="1" applyBorder="1" applyAlignment="1">
      <alignment horizontal="center" vertical="center"/>
    </xf>
    <xf numFmtId="164" fontId="17" fillId="30" borderId="2" xfId="7" applyNumberFormat="1" applyFont="1" applyFill="1" applyBorder="1" applyAlignment="1">
      <alignment horizontal="center" vertical="center"/>
    </xf>
    <xf numFmtId="164" fontId="27" fillId="13" borderId="2" xfId="7" applyNumberFormat="1" applyFont="1" applyFill="1" applyBorder="1" applyAlignment="1">
      <alignment horizontal="center" vertical="center"/>
    </xf>
    <xf numFmtId="0" fontId="25" fillId="13" borderId="2" xfId="0" applyFont="1" applyFill="1" applyBorder="1" applyAlignment="1">
      <alignment horizontal="center" vertical="center"/>
    </xf>
    <xf numFmtId="164" fontId="25" fillId="13" borderId="2" xfId="7" applyNumberFormat="1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164" fontId="26" fillId="20" borderId="4" xfId="7" applyNumberFormat="1" applyFont="1" applyFill="1" applyBorder="1" applyAlignment="1">
      <alignment horizontal="center" vertical="center"/>
    </xf>
    <xf numFmtId="164" fontId="26" fillId="20" borderId="2" xfId="7" applyNumberFormat="1" applyFont="1" applyFill="1" applyBorder="1" applyAlignment="1">
      <alignment horizontal="center" vertical="center"/>
    </xf>
    <xf numFmtId="164" fontId="25" fillId="13" borderId="4" xfId="7" applyNumberFormat="1" applyFont="1" applyFill="1" applyBorder="1" applyAlignment="1">
      <alignment horizontal="center" vertical="center"/>
    </xf>
    <xf numFmtId="164" fontId="26" fillId="5" borderId="4" xfId="7" applyNumberFormat="1" applyFont="1" applyFill="1" applyBorder="1" applyAlignment="1">
      <alignment horizontal="center" vertical="center"/>
    </xf>
    <xf numFmtId="164" fontId="26" fillId="5" borderId="2" xfId="7" applyNumberFormat="1" applyFont="1" applyFill="1" applyBorder="1" applyAlignment="1">
      <alignment horizontal="center" vertical="center"/>
    </xf>
    <xf numFmtId="164" fontId="26" fillId="24" borderId="4" xfId="7" applyNumberFormat="1" applyFont="1" applyFill="1" applyBorder="1" applyAlignment="1">
      <alignment horizontal="center" vertical="center"/>
    </xf>
    <xf numFmtId="164" fontId="26" fillId="24" borderId="2" xfId="7" applyNumberFormat="1" applyFont="1" applyFill="1" applyBorder="1" applyAlignment="1">
      <alignment horizontal="center" vertical="center"/>
    </xf>
    <xf numFmtId="164" fontId="27" fillId="13" borderId="4" xfId="7" applyNumberFormat="1" applyFont="1" applyFill="1" applyBorder="1" applyAlignment="1">
      <alignment horizontal="center" vertical="center"/>
    </xf>
    <xf numFmtId="164" fontId="17" fillId="13" borderId="4" xfId="7" applyNumberFormat="1" applyFont="1" applyFill="1" applyBorder="1" applyAlignment="1">
      <alignment horizontal="center" vertical="center"/>
    </xf>
    <xf numFmtId="164" fontId="17" fillId="13" borderId="2" xfId="7" applyNumberFormat="1" applyFont="1" applyFill="1" applyBorder="1" applyAlignment="1">
      <alignment horizontal="center" vertical="center"/>
    </xf>
    <xf numFmtId="164" fontId="26" fillId="23" borderId="4" xfId="7" applyNumberFormat="1" applyFont="1" applyFill="1" applyBorder="1" applyAlignment="1">
      <alignment horizontal="center" vertical="center"/>
    </xf>
    <xf numFmtId="164" fontId="26" fillId="23" borderId="2" xfId="7" applyNumberFormat="1" applyFont="1" applyFill="1" applyBorder="1" applyAlignment="1">
      <alignment horizontal="center" vertical="center"/>
    </xf>
    <xf numFmtId="164" fontId="26" fillId="21" borderId="4" xfId="7" applyNumberFormat="1" applyFont="1" applyFill="1" applyBorder="1" applyAlignment="1">
      <alignment horizontal="center" vertical="center"/>
    </xf>
    <xf numFmtId="164" fontId="26" fillId="21" borderId="2" xfId="7" applyNumberFormat="1" applyFont="1" applyFill="1" applyBorder="1" applyAlignment="1">
      <alignment horizontal="center" vertical="center"/>
    </xf>
    <xf numFmtId="164" fontId="27" fillId="13" borderId="0" xfId="7" applyNumberFormat="1" applyFont="1" applyFill="1" applyBorder="1" applyAlignment="1">
      <alignment horizontal="center" vertical="center"/>
    </xf>
    <xf numFmtId="164" fontId="26" fillId="13" borderId="0" xfId="7" applyNumberFormat="1" applyFont="1" applyFill="1" applyBorder="1" applyAlignment="1">
      <alignment horizontal="center" vertical="center"/>
    </xf>
    <xf numFmtId="164" fontId="17" fillId="13" borderId="0" xfId="7" applyNumberFormat="1" applyFont="1" applyFill="1" applyBorder="1" applyAlignment="1">
      <alignment horizontal="center" vertical="center"/>
    </xf>
    <xf numFmtId="164" fontId="17" fillId="15" borderId="2" xfId="7" applyNumberFormat="1" applyFont="1" applyFill="1" applyBorder="1" applyAlignment="1">
      <alignment horizontal="center" vertical="center"/>
    </xf>
    <xf numFmtId="164" fontId="26" fillId="26" borderId="2" xfId="7" applyNumberFormat="1" applyFont="1" applyFill="1" applyBorder="1" applyAlignment="1">
      <alignment horizontal="center" vertical="center"/>
    </xf>
    <xf numFmtId="164" fontId="26" fillId="26" borderId="37" xfId="7" applyNumberFormat="1" applyFont="1" applyFill="1" applyBorder="1" applyAlignment="1">
      <alignment horizontal="center" vertical="center"/>
    </xf>
    <xf numFmtId="164" fontId="26" fillId="25" borderId="2" xfId="7" applyNumberFormat="1" applyFont="1" applyFill="1" applyBorder="1" applyAlignment="1">
      <alignment horizontal="center" vertical="center"/>
    </xf>
    <xf numFmtId="164" fontId="26" fillId="3" borderId="2" xfId="7" applyNumberFormat="1" applyFont="1" applyFill="1" applyBorder="1" applyAlignment="1">
      <alignment horizontal="center" vertical="center"/>
    </xf>
    <xf numFmtId="0" fontId="25" fillId="13" borderId="3" xfId="0" applyFont="1" applyFill="1" applyBorder="1" applyAlignment="1">
      <alignment horizontal="center" vertical="center"/>
    </xf>
    <xf numFmtId="164" fontId="25" fillId="13" borderId="3" xfId="7" applyNumberFormat="1" applyFont="1" applyFill="1" applyBorder="1" applyAlignment="1">
      <alignment horizontal="center" vertical="center"/>
    </xf>
    <xf numFmtId="164" fontId="26" fillId="22" borderId="2" xfId="7" applyNumberFormat="1" applyFont="1" applyFill="1" applyBorder="1" applyAlignment="1">
      <alignment horizontal="center" vertical="center"/>
    </xf>
    <xf numFmtId="164" fontId="26" fillId="12" borderId="2" xfId="7" applyNumberFormat="1" applyFont="1" applyFill="1" applyBorder="1" applyAlignment="1">
      <alignment horizontal="center" vertical="center"/>
    </xf>
    <xf numFmtId="164" fontId="26" fillId="27" borderId="2" xfId="7" applyNumberFormat="1" applyFont="1" applyFill="1" applyBorder="1" applyAlignment="1">
      <alignment horizontal="center" vertical="center"/>
    </xf>
    <xf numFmtId="164" fontId="26" fillId="28" borderId="2" xfId="7" applyNumberFormat="1" applyFont="1" applyFill="1" applyBorder="1" applyAlignment="1">
      <alignment horizontal="center" vertical="center"/>
    </xf>
    <xf numFmtId="164" fontId="27" fillId="13" borderId="3" xfId="7" applyNumberFormat="1" applyFont="1" applyFill="1" applyBorder="1" applyAlignment="1">
      <alignment horizontal="center" vertical="center"/>
    </xf>
    <xf numFmtId="164" fontId="26" fillId="5" borderId="3" xfId="7" applyNumberFormat="1" applyFont="1" applyFill="1" applyBorder="1" applyAlignment="1">
      <alignment horizontal="center" vertical="center"/>
    </xf>
    <xf numFmtId="164" fontId="26" fillId="22" borderId="3" xfId="7" applyNumberFormat="1" applyFont="1" applyFill="1" applyBorder="1" applyAlignment="1">
      <alignment horizontal="center" vertical="center"/>
    </xf>
    <xf numFmtId="164" fontId="26" fillId="20" borderId="3" xfId="7" applyNumberFormat="1" applyFont="1" applyFill="1" applyBorder="1" applyAlignment="1">
      <alignment horizontal="center" vertical="center"/>
    </xf>
    <xf numFmtId="164" fontId="26" fillId="29" borderId="2" xfId="7" applyNumberFormat="1" applyFont="1" applyFill="1" applyBorder="1" applyAlignment="1">
      <alignment horizontal="center" vertical="center"/>
    </xf>
    <xf numFmtId="164" fontId="26" fillId="29" borderId="3" xfId="7" applyNumberFormat="1" applyFont="1" applyFill="1" applyBorder="1" applyAlignment="1">
      <alignment horizontal="center" vertical="center"/>
    </xf>
    <xf numFmtId="164" fontId="26" fillId="21" borderId="3" xfId="7" applyNumberFormat="1" applyFont="1" applyFill="1" applyBorder="1" applyAlignment="1">
      <alignment horizontal="center" vertical="center"/>
    </xf>
    <xf numFmtId="164" fontId="26" fillId="24" borderId="3" xfId="7" applyNumberFormat="1" applyFont="1" applyFill="1" applyBorder="1" applyAlignment="1">
      <alignment horizontal="center" vertical="center"/>
    </xf>
    <xf numFmtId="164" fontId="26" fillId="3" borderId="3" xfId="7" applyNumberFormat="1" applyFont="1" applyFill="1" applyBorder="1" applyAlignment="1">
      <alignment horizontal="center" vertical="center"/>
    </xf>
    <xf numFmtId="164" fontId="26" fillId="23" borderId="3" xfId="7" applyNumberFormat="1" applyFont="1" applyFill="1" applyBorder="1" applyAlignment="1">
      <alignment horizontal="center" vertical="center"/>
    </xf>
    <xf numFmtId="22" fontId="0" fillId="0" borderId="10" xfId="0" applyNumberFormat="1" applyBorder="1"/>
  </cellXfs>
  <cellStyles count="9">
    <cellStyle name="60% - Accent6" xfId="6" builtinId="52"/>
    <cellStyle name="Accent1" xfId="4" builtinId="29"/>
    <cellStyle name="Accent2" xfId="2" builtinId="33"/>
    <cellStyle name="Accent4" xfId="5" builtinId="41"/>
    <cellStyle name="Check Cell" xfId="3" builtinId="23"/>
    <cellStyle name="Comma" xfId="7" builtinId="3"/>
    <cellStyle name="Good" xfId="8" builtinId="26"/>
    <cellStyle name="Normal" xfId="0" builtinId="0"/>
    <cellStyle name="Note" xfId="1" builtinId="10"/>
  </cellStyles>
  <dxfs count="121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/>
        <u/>
        <color auto="1"/>
      </font>
      <fill>
        <patternFill patternType="solid">
          <fgColor theme="1"/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strike val="0"/>
        <u/>
        <color theme="1"/>
      </font>
      <fill>
        <patternFill>
          <bgColor rgb="FFFFFF00"/>
        </patternFill>
      </fill>
      <border>
        <vertical/>
        <horizontal/>
      </border>
    </dxf>
    <dxf>
      <font>
        <b/>
        <i/>
        <u/>
        <color auto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</dxf>
    <dxf>
      <fill>
        <patternFill>
          <bgColor theme="2"/>
        </patternFill>
      </fill>
    </dxf>
    <dxf>
      <font>
        <color theme="0"/>
      </font>
      <fill>
        <patternFill patternType="gray0625">
          <fgColor theme="1"/>
          <bgColor theme="0"/>
        </patternFill>
      </fill>
    </dxf>
    <dxf>
      <fill>
        <patternFill patternType="mediumGray">
          <fgColor theme="0"/>
          <bgColor theme="1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gradientFill degree="90">
          <stop position="0">
            <color theme="1"/>
          </stop>
          <stop position="1">
            <color rgb="FF2200F0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ill>
        <patternFill>
          <bgColor rgb="FF7030A0"/>
        </patternFill>
      </fill>
    </dxf>
    <dxf>
      <fill>
        <patternFill>
          <bgColor rgb="FF2200F0"/>
        </patternFill>
      </fill>
    </dxf>
    <dxf>
      <fill>
        <patternFill>
          <bgColor rgb="FF00B050"/>
        </patternFill>
      </fill>
    </dxf>
    <dxf>
      <font>
        <color theme="1"/>
      </font>
      <fill>
        <patternFill patternType="gray0625">
          <fgColor theme="1"/>
        </patternFill>
      </fill>
    </dxf>
    <dxf>
      <font>
        <color theme="1"/>
      </font>
      <fill>
        <patternFill patternType="gray0625">
          <fgColor theme="1"/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C00000"/>
        </patternFill>
      </fill>
    </dxf>
    <dxf>
      <fill>
        <gradientFill degree="90">
          <stop position="0">
            <color rgb="FF92D050"/>
          </stop>
          <stop position="1">
            <color theme="1"/>
          </stop>
        </gradientFill>
      </fill>
    </dxf>
    <dxf>
      <fill>
        <gradientFill degree="90">
          <stop position="0">
            <color rgb="FFFF0000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rgb="FF00B050"/>
          </stop>
        </gradientFill>
      </fill>
    </dxf>
    <dxf>
      <fill>
        <gradientFill degree="90">
          <stop position="0">
            <color rgb="FFFF000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theme="0" tint="-0.49803155613879818"/>
          </stop>
        </gradientFill>
      </fill>
    </dxf>
    <dxf>
      <fill>
        <gradientFill degree="90">
          <stop position="0">
            <color rgb="FF7030A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rgb="FF7030A0"/>
          </stop>
        </gradientFill>
      </fill>
    </dxf>
    <dxf>
      <fill>
        <patternFill>
          <bgColor rgb="FF7030A0"/>
        </patternFill>
      </fill>
    </dxf>
    <dxf>
      <fill>
        <patternFill>
          <bgColor rgb="FF9933FF"/>
        </patternFill>
      </fill>
    </dxf>
    <dxf>
      <fill>
        <patternFill>
          <bgColor rgb="FFCC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 patternType="gray0625">
          <fgColor theme="1"/>
        </patternFill>
      </fill>
    </dxf>
    <dxf>
      <fill>
        <patternFill>
          <bgColor rgb="FF00B050"/>
        </patternFill>
      </fill>
    </dxf>
    <dxf>
      <fill>
        <patternFill>
          <bgColor rgb="FF79F4F7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0" tint="-0.34998626667073579"/>
        </patternFill>
      </fill>
    </dxf>
    <dxf>
      <fill>
        <patternFill>
          <bgColor rgb="FF2174CF"/>
        </patternFill>
      </fill>
    </dxf>
    <dxf>
      <fill>
        <patternFill>
          <bgColor rgb="FF92D050"/>
        </patternFill>
      </fill>
    </dxf>
    <dxf>
      <fill>
        <patternFill>
          <bgColor rgb="FF2174CF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632523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</dxfs>
  <tableStyles count="0" defaultTableStyle="TableStyleMedium9" defaultPivotStyle="PivotStyleLight16"/>
  <colors>
    <mruColors>
      <color rgb="FF79F4F7"/>
      <color rgb="FFFE0000"/>
      <color rgb="FF2200F0"/>
      <color rgb="FF00B050"/>
      <color rgb="FF92D050"/>
      <color rgb="FF00B0F0"/>
      <color rgb="FF30BAF8"/>
      <color rgb="FF632523"/>
      <color rgb="FF2174C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HAMZA KAFEH AHMAD GHAREB" id="{2F9F7B6C-0B90-4EB6-BCA2-3EB64F486EE0}" userId="S::2470040@std.hu.edu.jo::0b5f666f-6d03-4691-a442-5b59cc868019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21" dT="2026-05-09T06:10:07.45" personId="{2F9F7B6C-0B90-4EB6-BCA2-3EB64F486EE0}" id="{F86802C2-DAB4-40DE-A593-50ED166B88A3}">
    <text>02/05/2026</text>
  </threadedComment>
  <threadedComment ref="K23" dT="2026-05-09T06:26:34.45" personId="{2F9F7B6C-0B90-4EB6-BCA2-3EB64F486EE0}" id="{F4C80922-8048-4F73-967D-5D1B4A46FF31}">
    <text>05/05/2026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K38" dT="2026-05-09T06:27:05.22" personId="{2F9F7B6C-0B90-4EB6-BCA2-3EB64F486EE0}" id="{14396252-D79C-4D8C-8545-C93C81CAA237}">
    <text>04/05/2026</text>
  </threadedComment>
  <threadedComment ref="K39" dT="2026-05-09T06:27:18.71" personId="{2F9F7B6C-0B90-4EB6-BCA2-3EB64F486EE0}" id="{8690C0EE-78DB-4E97-A862-2859FE06E945}">
    <text xml:space="preserve">04/05/2026
</text>
  </threadedComment>
  <threadedComment ref="K40" dT="2026-05-09T06:27:22.01" personId="{2F9F7B6C-0B90-4EB6-BCA2-3EB64F486EE0}" id="{E288DB89-80C8-4294-9454-523ED6D5EB8C}">
    <text xml:space="preserve">04/05/2026
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1:M64"/>
  <sheetViews>
    <sheetView topLeftCell="A42" zoomScale="70" zoomScaleNormal="70" workbookViewId="0">
      <selection activeCell="C54" sqref="C54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8.55468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7" customHeight="1" thickBot="1">
      <c r="C2" s="154" t="s">
        <v>8</v>
      </c>
      <c r="D2" s="155"/>
      <c r="E2" s="155"/>
      <c r="F2" s="155"/>
      <c r="G2" s="155"/>
      <c r="H2" s="155"/>
      <c r="I2" s="155"/>
      <c r="J2" s="156"/>
      <c r="K2" s="1"/>
    </row>
    <row r="3" spans="3:13" ht="27" customHeight="1" thickBot="1">
      <c r="C3" s="157"/>
      <c r="D3" s="158"/>
      <c r="E3" s="158"/>
      <c r="F3" s="158"/>
      <c r="G3" s="158"/>
      <c r="H3" s="158"/>
      <c r="I3" s="158"/>
      <c r="J3" s="159"/>
      <c r="K3" s="1"/>
      <c r="L3" s="138" t="s">
        <v>16</v>
      </c>
      <c r="M3" s="139"/>
    </row>
    <row r="4" spans="3:13" ht="27.75" customHeight="1" thickTop="1" thickBot="1">
      <c r="C4" s="160"/>
      <c r="D4" s="161"/>
      <c r="E4" s="161"/>
      <c r="F4" s="161"/>
      <c r="G4" s="161"/>
      <c r="H4" s="161"/>
      <c r="I4" s="161"/>
      <c r="J4" s="162"/>
      <c r="K4" s="1"/>
      <c r="L4" s="140"/>
      <c r="M4" s="141"/>
    </row>
    <row r="5" spans="3:13" ht="26.4" thickBot="1">
      <c r="C5" s="142"/>
      <c r="D5" s="143"/>
      <c r="E5" s="143"/>
      <c r="F5" s="143"/>
      <c r="G5" s="143"/>
      <c r="H5" s="143"/>
      <c r="I5" s="143"/>
      <c r="J5" s="144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51">
        <v>46143</v>
      </c>
      <c r="D7" s="163" t="s">
        <v>18</v>
      </c>
      <c r="E7" s="163" t="s">
        <v>3</v>
      </c>
      <c r="F7" s="22" t="s">
        <v>28</v>
      </c>
      <c r="G7" s="59" t="s">
        <v>29</v>
      </c>
      <c r="H7" s="15"/>
      <c r="I7" s="14">
        <v>47598</v>
      </c>
      <c r="J7" s="21">
        <v>47598</v>
      </c>
      <c r="K7" s="1"/>
      <c r="L7" s="11"/>
      <c r="M7" s="11"/>
    </row>
    <row r="8" spans="3:13" ht="26.4" thickBot="1">
      <c r="C8" s="152"/>
      <c r="D8" s="164"/>
      <c r="E8" s="164"/>
      <c r="F8" s="8" t="s">
        <v>30</v>
      </c>
      <c r="G8" s="59" t="s">
        <v>29</v>
      </c>
      <c r="H8" s="15"/>
      <c r="I8" s="16">
        <v>59</v>
      </c>
      <c r="J8" s="21">
        <v>59</v>
      </c>
      <c r="K8" s="1"/>
      <c r="L8" s="11"/>
      <c r="M8" s="11"/>
    </row>
    <row r="9" spans="3:13" ht="26.4" thickBot="1">
      <c r="C9" s="152"/>
      <c r="D9" s="164"/>
      <c r="E9" s="164"/>
      <c r="F9" s="8" t="s">
        <v>33</v>
      </c>
      <c r="G9" s="11"/>
      <c r="H9" s="11"/>
      <c r="I9" s="16" t="s">
        <v>44</v>
      </c>
      <c r="J9" s="14"/>
      <c r="K9" s="1"/>
      <c r="L9" s="11"/>
      <c r="M9" s="11"/>
    </row>
    <row r="10" spans="3:13" ht="26.4" thickBot="1">
      <c r="C10" s="152"/>
      <c r="D10" s="164"/>
      <c r="E10" s="164"/>
      <c r="F10" s="8" t="s">
        <v>34</v>
      </c>
      <c r="G10" s="11" t="s">
        <v>35</v>
      </c>
      <c r="H10" s="11"/>
      <c r="I10" s="14">
        <v>210</v>
      </c>
      <c r="J10" s="14">
        <v>210</v>
      </c>
      <c r="K10" s="1"/>
      <c r="L10" s="11"/>
      <c r="M10" s="11"/>
    </row>
    <row r="11" spans="3:13" ht="26.4" thickBot="1">
      <c r="C11" s="152"/>
      <c r="D11" s="164"/>
      <c r="E11" s="164"/>
      <c r="F11" s="8" t="s">
        <v>31</v>
      </c>
      <c r="G11" s="11" t="s">
        <v>29</v>
      </c>
      <c r="H11" s="11"/>
      <c r="I11" s="14">
        <v>7904</v>
      </c>
      <c r="J11" s="14">
        <v>7904</v>
      </c>
      <c r="K11" s="1"/>
      <c r="L11" s="11"/>
      <c r="M11" s="11"/>
    </row>
    <row r="12" spans="3:13" ht="26.4" thickBot="1">
      <c r="C12" s="152"/>
      <c r="D12" s="164"/>
      <c r="E12" s="164"/>
      <c r="F12" s="22" t="s">
        <v>36</v>
      </c>
      <c r="G12" s="11" t="s">
        <v>29</v>
      </c>
      <c r="H12" s="11"/>
      <c r="I12" s="14">
        <v>8380</v>
      </c>
      <c r="J12" s="14">
        <v>8380</v>
      </c>
      <c r="K12" s="1"/>
      <c r="L12" s="11"/>
      <c r="M12" s="11"/>
    </row>
    <row r="13" spans="3:13" ht="26.4" thickBot="1">
      <c r="C13" s="152"/>
      <c r="D13" s="164"/>
      <c r="E13" s="164"/>
      <c r="F13" s="22" t="s">
        <v>37</v>
      </c>
      <c r="G13" s="11" t="s">
        <v>29</v>
      </c>
      <c r="H13" s="11"/>
      <c r="I13" s="14">
        <v>69378</v>
      </c>
      <c r="J13" s="14">
        <v>69378</v>
      </c>
      <c r="K13" s="1"/>
      <c r="L13" s="11"/>
      <c r="M13" s="11"/>
    </row>
    <row r="14" spans="3:13" s="44" customFormat="1" ht="26.4" thickBot="1">
      <c r="C14" s="152"/>
      <c r="D14" s="164"/>
      <c r="E14" s="164"/>
      <c r="F14" s="87" t="s">
        <v>38</v>
      </c>
      <c r="G14" s="11" t="s">
        <v>29</v>
      </c>
      <c r="H14" s="11"/>
      <c r="I14" s="14">
        <v>6283</v>
      </c>
      <c r="J14" s="14">
        <v>6276</v>
      </c>
      <c r="K14" s="1"/>
      <c r="L14" s="11"/>
      <c r="M14" s="11"/>
    </row>
    <row r="15" spans="3:13" ht="26.4" thickBot="1">
      <c r="C15" s="152"/>
      <c r="D15" s="164"/>
      <c r="E15" s="164"/>
      <c r="F15" s="8" t="s">
        <v>39</v>
      </c>
      <c r="G15" s="11" t="s">
        <v>29</v>
      </c>
      <c r="H15" s="11"/>
      <c r="I15" s="14">
        <v>489</v>
      </c>
      <c r="J15" s="14">
        <v>489</v>
      </c>
      <c r="K15" s="1"/>
      <c r="L15" s="11"/>
      <c r="M15" s="11"/>
    </row>
    <row r="16" spans="3:13" ht="26.4" thickBot="1">
      <c r="C16" s="152"/>
      <c r="D16" s="164"/>
      <c r="E16" s="164"/>
      <c r="F16" s="22" t="s">
        <v>24</v>
      </c>
      <c r="G16" s="11" t="s">
        <v>29</v>
      </c>
      <c r="H16" s="11"/>
      <c r="I16" s="14">
        <v>2746</v>
      </c>
      <c r="J16" s="14">
        <v>2746</v>
      </c>
      <c r="K16" s="1"/>
      <c r="L16" s="11"/>
      <c r="M16" s="11"/>
    </row>
    <row r="17" spans="3:13" ht="26.4" thickBot="1">
      <c r="C17" s="152"/>
      <c r="D17" s="164"/>
      <c r="E17" s="164"/>
      <c r="F17" s="22" t="s">
        <v>40</v>
      </c>
      <c r="G17" s="11" t="s">
        <v>29</v>
      </c>
      <c r="H17" s="11"/>
      <c r="I17" s="14">
        <v>64532</v>
      </c>
      <c r="J17" s="14">
        <v>64532</v>
      </c>
      <c r="K17" s="1"/>
      <c r="L17" s="11"/>
      <c r="M17" s="11"/>
    </row>
    <row r="18" spans="3:13" ht="26.4" thickBot="1">
      <c r="C18" s="152"/>
      <c r="D18" s="164"/>
      <c r="E18" s="164"/>
      <c r="F18" s="8" t="s">
        <v>41</v>
      </c>
      <c r="G18" s="11" t="s">
        <v>29</v>
      </c>
      <c r="H18" s="11"/>
      <c r="I18" s="14">
        <v>8047</v>
      </c>
      <c r="J18" s="14">
        <v>8047</v>
      </c>
      <c r="K18" s="1"/>
      <c r="L18" s="11"/>
      <c r="M18" s="11"/>
    </row>
    <row r="19" spans="3:13" ht="26.4" thickBot="1">
      <c r="C19" s="152"/>
      <c r="D19" s="164"/>
      <c r="E19" s="164"/>
      <c r="F19" s="22" t="s">
        <v>42</v>
      </c>
      <c r="G19" s="11" t="s">
        <v>29</v>
      </c>
      <c r="H19" s="11"/>
      <c r="I19" s="14">
        <v>41</v>
      </c>
      <c r="J19" s="14">
        <v>41</v>
      </c>
      <c r="K19" s="1"/>
      <c r="L19" s="11"/>
      <c r="M19" s="11"/>
    </row>
    <row r="20" spans="3:13" ht="26.4" thickBot="1">
      <c r="C20" s="153"/>
      <c r="D20" s="164"/>
      <c r="E20" s="164"/>
      <c r="F20" s="22" t="s">
        <v>43</v>
      </c>
      <c r="G20" s="11" t="s">
        <v>29</v>
      </c>
      <c r="H20" s="11"/>
      <c r="I20" s="14" t="s">
        <v>44</v>
      </c>
      <c r="J20" s="14"/>
      <c r="K20" s="1"/>
      <c r="L20" s="11"/>
      <c r="M20" s="11"/>
    </row>
    <row r="21" spans="3:13" ht="26.25" customHeight="1" thickBot="1">
      <c r="C21" s="50"/>
      <c r="D21" s="164"/>
      <c r="E21" s="164"/>
      <c r="F21" s="60"/>
      <c r="G21" s="51"/>
      <c r="H21" s="51"/>
      <c r="I21" s="62"/>
      <c r="J21" s="62"/>
      <c r="K21" s="40"/>
      <c r="L21" s="51"/>
      <c r="M21" s="51"/>
    </row>
    <row r="22" spans="3:13" ht="26.25" customHeight="1" thickBot="1">
      <c r="C22" s="68">
        <v>46144</v>
      </c>
      <c r="D22" s="164"/>
      <c r="E22" s="164"/>
      <c r="F22" s="70"/>
      <c r="G22" s="69"/>
      <c r="H22" s="69"/>
      <c r="I22" s="75"/>
      <c r="J22" s="75"/>
      <c r="K22" s="1"/>
      <c r="L22" s="69"/>
      <c r="M22" s="69"/>
    </row>
    <row r="23" spans="3:13" ht="26.25" customHeight="1" thickBot="1">
      <c r="C23" s="74"/>
      <c r="D23" s="164"/>
      <c r="E23" s="164"/>
      <c r="F23" s="60"/>
      <c r="G23" s="51"/>
      <c r="H23" s="51"/>
      <c r="I23" s="62"/>
      <c r="J23" s="62"/>
      <c r="K23" s="1"/>
      <c r="L23" s="51"/>
      <c r="M23" s="51"/>
    </row>
    <row r="24" spans="3:13" ht="26.25" customHeight="1" thickBot="1">
      <c r="C24" s="68">
        <v>46145</v>
      </c>
      <c r="D24" s="164"/>
      <c r="E24" s="164"/>
      <c r="F24" s="70"/>
      <c r="G24" s="69"/>
      <c r="H24" s="69"/>
      <c r="I24" s="75"/>
      <c r="J24" s="75"/>
      <c r="K24" s="1"/>
      <c r="L24" s="69"/>
      <c r="M24" s="69"/>
    </row>
    <row r="25" spans="3:13" ht="26.25" customHeight="1" thickBot="1">
      <c r="C25" s="50"/>
      <c r="D25" s="164"/>
      <c r="E25" s="164"/>
      <c r="F25" s="60"/>
      <c r="G25" s="51"/>
      <c r="H25" s="51"/>
      <c r="I25" s="62"/>
      <c r="J25" s="62"/>
      <c r="K25" s="1"/>
      <c r="L25" s="51"/>
      <c r="M25" s="51"/>
    </row>
    <row r="26" spans="3:13" ht="26.25" customHeight="1" thickBot="1">
      <c r="C26" s="68">
        <v>46146</v>
      </c>
      <c r="D26" s="164"/>
      <c r="E26" s="164"/>
      <c r="F26" s="70"/>
      <c r="G26" s="69"/>
      <c r="H26" s="69"/>
      <c r="I26" s="75"/>
      <c r="J26" s="75"/>
      <c r="K26" s="1"/>
      <c r="L26" s="69"/>
      <c r="M26" s="76"/>
    </row>
    <row r="27" spans="3:13" ht="26.25" customHeight="1" thickBot="1">
      <c r="C27" s="50">
        <v>46147</v>
      </c>
      <c r="D27" s="164"/>
      <c r="E27" s="164"/>
      <c r="F27" s="60"/>
      <c r="G27" s="51"/>
      <c r="H27" s="51"/>
      <c r="I27" s="62"/>
      <c r="J27" s="62"/>
      <c r="K27" s="1"/>
      <c r="L27" s="92"/>
      <c r="M27" s="51"/>
    </row>
    <row r="28" spans="3:13" ht="26.25" customHeight="1" thickBot="1">
      <c r="C28" s="12">
        <v>46147</v>
      </c>
      <c r="D28" s="164"/>
      <c r="E28" s="164"/>
      <c r="F28" s="8"/>
      <c r="G28" s="11"/>
      <c r="H28" s="11"/>
      <c r="I28" s="14"/>
      <c r="J28" s="14"/>
      <c r="K28" s="1"/>
      <c r="L28" s="11"/>
      <c r="M28" s="11"/>
    </row>
    <row r="29" spans="3:13" ht="26.25" customHeight="1" thickBot="1">
      <c r="C29" s="93">
        <v>46148</v>
      </c>
      <c r="D29" s="164"/>
      <c r="E29" s="164"/>
      <c r="F29" s="8"/>
      <c r="G29" s="11"/>
      <c r="H29" s="11"/>
      <c r="I29" s="14"/>
      <c r="J29" s="14"/>
      <c r="K29" s="1"/>
      <c r="L29" s="11"/>
      <c r="M29" s="11"/>
    </row>
    <row r="30" spans="3:13" ht="26.25" customHeight="1" thickBot="1">
      <c r="C30" s="166">
        <v>46149</v>
      </c>
      <c r="D30" s="164"/>
      <c r="E30" s="164"/>
      <c r="F30" s="8" t="s">
        <v>41</v>
      </c>
      <c r="G30" s="11" t="s">
        <v>29</v>
      </c>
      <c r="H30" s="11" t="s">
        <v>66</v>
      </c>
      <c r="I30" s="14">
        <v>8047</v>
      </c>
      <c r="J30" s="14">
        <v>8017</v>
      </c>
      <c r="K30" s="1"/>
      <c r="L30" s="11"/>
      <c r="M30" s="11"/>
    </row>
    <row r="31" spans="3:13" ht="26.25" customHeight="1" thickBot="1">
      <c r="C31" s="166"/>
      <c r="D31" s="164"/>
      <c r="E31" s="164"/>
      <c r="F31" s="87" t="s">
        <v>40</v>
      </c>
      <c r="G31" s="11" t="s">
        <v>29</v>
      </c>
      <c r="H31" s="11" t="s">
        <v>66</v>
      </c>
      <c r="I31" s="14">
        <v>64532</v>
      </c>
      <c r="J31" s="14">
        <v>64327</v>
      </c>
      <c r="K31" s="1"/>
      <c r="L31" s="11"/>
      <c r="M31" s="11"/>
    </row>
    <row r="32" spans="3:13" ht="26.25" customHeight="1" thickBot="1">
      <c r="C32" s="166"/>
      <c r="D32" s="164"/>
      <c r="E32" s="164"/>
      <c r="F32" s="22" t="s">
        <v>28</v>
      </c>
      <c r="G32" s="11" t="s">
        <v>29</v>
      </c>
      <c r="H32" s="11" t="s">
        <v>66</v>
      </c>
      <c r="I32" s="14">
        <v>47598</v>
      </c>
      <c r="J32" s="14">
        <v>47393</v>
      </c>
      <c r="K32" s="1"/>
      <c r="L32" s="11"/>
      <c r="M32" s="11"/>
    </row>
    <row r="33" spans="3:13" ht="26.25" customHeight="1" thickBot="1">
      <c r="C33" s="166"/>
      <c r="D33" s="164"/>
      <c r="E33" s="164"/>
      <c r="F33" s="22" t="s">
        <v>37</v>
      </c>
      <c r="G33" s="11" t="s">
        <v>29</v>
      </c>
      <c r="H33" s="11" t="s">
        <v>66</v>
      </c>
      <c r="I33" s="14">
        <v>69378</v>
      </c>
      <c r="J33" s="14">
        <v>66373</v>
      </c>
      <c r="K33" s="1"/>
      <c r="L33" s="11"/>
      <c r="M33" s="11"/>
    </row>
    <row r="34" spans="3:13" ht="26.25" customHeight="1" thickBot="1">
      <c r="C34" s="166"/>
      <c r="D34" s="164"/>
      <c r="E34" s="164"/>
      <c r="F34" s="22" t="s">
        <v>24</v>
      </c>
      <c r="G34" s="11" t="s">
        <v>29</v>
      </c>
      <c r="H34" s="11" t="s">
        <v>66</v>
      </c>
      <c r="I34" s="14">
        <v>2746</v>
      </c>
      <c r="J34" s="14">
        <v>2581</v>
      </c>
      <c r="K34" s="1"/>
      <c r="L34" s="11"/>
      <c r="M34" s="11"/>
    </row>
    <row r="35" spans="3:13" ht="26.25" customHeight="1" thickBot="1">
      <c r="C35" s="166"/>
      <c r="D35" s="164"/>
      <c r="E35" s="164"/>
      <c r="F35" s="22" t="s">
        <v>31</v>
      </c>
      <c r="G35" s="11" t="s">
        <v>29</v>
      </c>
      <c r="H35" s="11" t="s">
        <v>66</v>
      </c>
      <c r="I35" s="14">
        <v>7904</v>
      </c>
      <c r="J35" s="14">
        <v>7739</v>
      </c>
      <c r="K35" s="1"/>
      <c r="L35" s="11"/>
      <c r="M35" s="11"/>
    </row>
    <row r="36" spans="3:13" ht="26.25" customHeight="1" thickBot="1">
      <c r="C36" s="166"/>
      <c r="D36" s="164"/>
      <c r="E36" s="164"/>
      <c r="F36" s="22" t="s">
        <v>40</v>
      </c>
      <c r="G36" s="11" t="s">
        <v>29</v>
      </c>
      <c r="H36" s="11" t="s">
        <v>66</v>
      </c>
      <c r="I36" s="14">
        <v>64327</v>
      </c>
      <c r="J36" s="14">
        <v>64282</v>
      </c>
      <c r="K36" s="1"/>
      <c r="L36" s="11"/>
      <c r="M36" s="11"/>
    </row>
    <row r="37" spans="3:13" ht="26.25" customHeight="1" thickBot="1">
      <c r="C37" s="166"/>
      <c r="D37" s="164"/>
      <c r="E37" s="164"/>
      <c r="F37" s="22" t="s">
        <v>31</v>
      </c>
      <c r="G37" s="11" t="s">
        <v>29</v>
      </c>
      <c r="H37" s="11" t="s">
        <v>66</v>
      </c>
      <c r="I37" s="14">
        <v>7739</v>
      </c>
      <c r="J37" s="14">
        <v>7731</v>
      </c>
      <c r="K37" s="1"/>
      <c r="L37" s="11"/>
      <c r="M37" s="11"/>
    </row>
    <row r="38" spans="3:13" ht="26.4" thickBot="1">
      <c r="C38" s="166"/>
      <c r="D38" s="164"/>
      <c r="E38" s="164"/>
      <c r="F38" s="87" t="s">
        <v>37</v>
      </c>
      <c r="G38" s="59" t="s">
        <v>29</v>
      </c>
      <c r="H38" s="59" t="s">
        <v>66</v>
      </c>
      <c r="I38" s="97">
        <v>66373</v>
      </c>
      <c r="J38" s="97">
        <v>66343</v>
      </c>
      <c r="K38" s="1"/>
      <c r="L38" s="59"/>
      <c r="M38" s="59"/>
    </row>
    <row r="39" spans="3:13" ht="26.25" customHeight="1" thickBot="1">
      <c r="C39" s="166"/>
      <c r="D39" s="164"/>
      <c r="E39" s="164"/>
      <c r="F39" s="22" t="s">
        <v>28</v>
      </c>
      <c r="G39" s="59" t="s">
        <v>29</v>
      </c>
      <c r="H39" s="59" t="s">
        <v>66</v>
      </c>
      <c r="I39" s="98">
        <v>47393</v>
      </c>
      <c r="J39" s="98">
        <v>46983</v>
      </c>
      <c r="L39" s="100"/>
      <c r="M39" s="100"/>
    </row>
    <row r="40" spans="3:13" ht="26.25" customHeight="1" thickBot="1">
      <c r="C40" s="166"/>
      <c r="D40" s="164"/>
      <c r="E40" s="164"/>
      <c r="F40" s="101" t="s">
        <v>24</v>
      </c>
      <c r="G40" s="98" t="s">
        <v>29</v>
      </c>
      <c r="H40" s="59" t="s">
        <v>66</v>
      </c>
      <c r="I40" s="98">
        <v>2581</v>
      </c>
      <c r="J40" s="98">
        <v>2496</v>
      </c>
      <c r="L40" s="100"/>
      <c r="M40" s="100"/>
    </row>
    <row r="41" spans="3:13" ht="26.25" customHeight="1" thickBot="1">
      <c r="C41" s="166"/>
      <c r="D41" s="164"/>
      <c r="E41" s="164"/>
      <c r="F41" s="101" t="s">
        <v>38</v>
      </c>
      <c r="G41" s="98" t="s">
        <v>29</v>
      </c>
      <c r="H41" s="59" t="s">
        <v>66</v>
      </c>
      <c r="I41" s="98">
        <v>6276</v>
      </c>
      <c r="J41" s="98">
        <v>6191</v>
      </c>
      <c r="L41" s="100"/>
      <c r="M41" s="100"/>
    </row>
    <row r="42" spans="3:13" ht="26.25" customHeight="1" thickBot="1">
      <c r="C42" s="166"/>
      <c r="D42" s="164"/>
      <c r="E42" s="164"/>
      <c r="F42" s="101" t="s">
        <v>42</v>
      </c>
      <c r="G42" s="98" t="s">
        <v>29</v>
      </c>
      <c r="H42" s="59" t="s">
        <v>1</v>
      </c>
      <c r="I42" s="98">
        <v>41</v>
      </c>
      <c r="J42" s="98">
        <v>75</v>
      </c>
      <c r="L42" s="100"/>
      <c r="M42" s="100"/>
    </row>
    <row r="43" spans="3:13" ht="26.25" customHeight="1" thickBot="1">
      <c r="C43" s="166"/>
      <c r="D43" s="164"/>
      <c r="E43" s="164"/>
      <c r="F43" s="101" t="s">
        <v>42</v>
      </c>
      <c r="G43" s="98" t="s">
        <v>29</v>
      </c>
      <c r="H43" s="59" t="s">
        <v>66</v>
      </c>
      <c r="I43" s="98">
        <v>75</v>
      </c>
      <c r="J43" s="98">
        <v>30</v>
      </c>
      <c r="L43" s="100"/>
      <c r="M43" s="100"/>
    </row>
    <row r="44" spans="3:13" ht="26.25" customHeight="1" thickBot="1">
      <c r="C44" s="166"/>
      <c r="D44" s="164"/>
      <c r="E44" s="164"/>
      <c r="F44" s="101" t="s">
        <v>40</v>
      </c>
      <c r="G44" s="98" t="s">
        <v>29</v>
      </c>
      <c r="H44" s="59" t="s">
        <v>66</v>
      </c>
      <c r="I44" s="98">
        <v>64282</v>
      </c>
      <c r="J44" s="98">
        <v>64157</v>
      </c>
      <c r="L44" s="100"/>
      <c r="M44" s="100"/>
    </row>
    <row r="45" spans="3:13" ht="26.25" customHeight="1" thickBot="1">
      <c r="C45" s="166"/>
      <c r="D45" s="164"/>
      <c r="E45" s="164"/>
      <c r="F45" s="101" t="s">
        <v>37</v>
      </c>
      <c r="G45" s="98" t="s">
        <v>29</v>
      </c>
      <c r="H45" s="59" t="s">
        <v>66</v>
      </c>
      <c r="I45" s="98">
        <v>66343</v>
      </c>
      <c r="J45" s="98">
        <v>66138</v>
      </c>
      <c r="L45" s="100"/>
      <c r="M45" s="100"/>
    </row>
    <row r="46" spans="3:13" ht="26.25" customHeight="1" thickBot="1">
      <c r="C46" s="166"/>
      <c r="D46" s="164"/>
      <c r="E46" s="164"/>
      <c r="F46" s="101" t="s">
        <v>40</v>
      </c>
      <c r="G46" s="98" t="s">
        <v>29</v>
      </c>
      <c r="H46" s="59" t="s">
        <v>66</v>
      </c>
      <c r="I46" s="98">
        <v>64157</v>
      </c>
      <c r="J46" s="98">
        <v>63952</v>
      </c>
      <c r="L46" s="100"/>
      <c r="M46" s="100"/>
    </row>
    <row r="47" spans="3:13" ht="26.25" customHeight="1" thickBot="1">
      <c r="C47" s="166"/>
      <c r="D47" s="164"/>
      <c r="E47" s="164"/>
      <c r="F47" s="101" t="s">
        <v>31</v>
      </c>
      <c r="G47" s="98" t="s">
        <v>29</v>
      </c>
      <c r="H47" s="59" t="s">
        <v>66</v>
      </c>
      <c r="I47" s="98">
        <v>7731</v>
      </c>
      <c r="J47" s="98">
        <v>7723</v>
      </c>
      <c r="L47" s="100"/>
      <c r="M47" s="100"/>
    </row>
    <row r="48" spans="3:13" ht="26.25" customHeight="1" thickBot="1">
      <c r="C48" s="166"/>
      <c r="D48" s="164"/>
      <c r="E48" s="164"/>
      <c r="F48" s="101" t="s">
        <v>24</v>
      </c>
      <c r="G48" s="98" t="s">
        <v>29</v>
      </c>
      <c r="H48" s="59" t="s">
        <v>66</v>
      </c>
      <c r="I48" s="98">
        <v>2496</v>
      </c>
      <c r="J48" s="98">
        <v>2494</v>
      </c>
      <c r="L48" s="100"/>
      <c r="M48" s="100"/>
    </row>
    <row r="49" spans="3:13" ht="26.25" customHeight="1" thickBot="1">
      <c r="C49" s="68">
        <v>46150</v>
      </c>
      <c r="D49" s="164"/>
      <c r="E49" s="164"/>
      <c r="F49" s="124"/>
      <c r="G49" s="125"/>
      <c r="H49" s="125"/>
      <c r="I49" s="125"/>
      <c r="J49" s="125"/>
      <c r="L49" s="100"/>
      <c r="M49" s="100"/>
    </row>
    <row r="50" spans="3:13" ht="26.25" customHeight="1" thickBot="1">
      <c r="C50" s="68">
        <v>46151</v>
      </c>
      <c r="D50" s="164"/>
      <c r="E50" s="164"/>
      <c r="F50" s="124"/>
      <c r="G50" s="125"/>
      <c r="H50" s="125"/>
      <c r="I50" s="125"/>
      <c r="J50" s="125"/>
      <c r="L50" s="100"/>
      <c r="M50" s="100"/>
    </row>
    <row r="51" spans="3:13" ht="26.25" customHeight="1" thickBot="1">
      <c r="C51" s="12">
        <v>46152</v>
      </c>
      <c r="D51" s="164"/>
      <c r="E51" s="164"/>
      <c r="F51" s="101" t="s">
        <v>28</v>
      </c>
      <c r="G51" s="98" t="s">
        <v>29</v>
      </c>
      <c r="H51" s="98" t="s">
        <v>66</v>
      </c>
      <c r="I51" s="99">
        <v>46983</v>
      </c>
      <c r="J51" s="99">
        <v>44158</v>
      </c>
      <c r="L51" s="100"/>
      <c r="M51" s="100"/>
    </row>
    <row r="52" spans="3:13" ht="25.8">
      <c r="C52" s="123"/>
      <c r="D52" s="164"/>
      <c r="E52" s="164"/>
      <c r="F52" s="126" t="s">
        <v>36</v>
      </c>
      <c r="G52" s="123" t="s">
        <v>29</v>
      </c>
      <c r="H52" s="123" t="s">
        <v>66</v>
      </c>
      <c r="I52" s="128">
        <v>8380</v>
      </c>
      <c r="J52" s="128">
        <v>8095</v>
      </c>
      <c r="L52" s="123"/>
      <c r="M52" s="123"/>
    </row>
    <row r="53" spans="3:13" ht="25.8">
      <c r="C53" s="123"/>
      <c r="D53" s="164"/>
      <c r="E53" s="164"/>
      <c r="F53" s="126" t="s">
        <v>37</v>
      </c>
      <c r="G53" s="123" t="s">
        <v>29</v>
      </c>
      <c r="H53" s="123" t="s">
        <v>66</v>
      </c>
      <c r="I53" s="128">
        <v>66138</v>
      </c>
      <c r="J53" s="128">
        <v>65283</v>
      </c>
      <c r="L53" s="123"/>
      <c r="M53" s="123"/>
    </row>
    <row r="54" spans="3:13" ht="25.8">
      <c r="C54" s="123"/>
      <c r="D54" s="164"/>
      <c r="E54" s="164"/>
      <c r="F54" s="127" t="s">
        <v>39</v>
      </c>
      <c r="G54" s="123" t="s">
        <v>29</v>
      </c>
      <c r="H54" s="123" t="s">
        <v>66</v>
      </c>
      <c r="I54" s="128">
        <v>489</v>
      </c>
      <c r="J54" s="128">
        <v>384</v>
      </c>
      <c r="L54" s="123"/>
      <c r="M54" s="123"/>
    </row>
    <row r="55" spans="3:13" ht="25.8">
      <c r="C55" s="123"/>
      <c r="D55" s="164"/>
      <c r="E55" s="164"/>
      <c r="F55" s="126" t="s">
        <v>38</v>
      </c>
      <c r="G55" s="123" t="s">
        <v>29</v>
      </c>
      <c r="H55" s="123" t="s">
        <v>66</v>
      </c>
      <c r="I55" s="128">
        <v>6191</v>
      </c>
      <c r="J55" s="128">
        <v>6146</v>
      </c>
      <c r="L55" s="123"/>
      <c r="M55" s="123"/>
    </row>
    <row r="56" spans="3:13" ht="25.8">
      <c r="C56" s="123"/>
      <c r="D56" s="164"/>
      <c r="E56" s="164"/>
      <c r="F56" s="127"/>
      <c r="G56" s="123"/>
      <c r="H56" s="123"/>
      <c r="I56" s="128"/>
      <c r="J56" s="128"/>
      <c r="L56" s="123"/>
      <c r="M56" s="123"/>
    </row>
    <row r="57" spans="3:13" ht="25.8">
      <c r="C57" s="123"/>
      <c r="D57" s="164"/>
      <c r="E57" s="164"/>
      <c r="F57" s="127"/>
      <c r="G57" s="123"/>
      <c r="H57" s="123"/>
      <c r="I57" s="128"/>
      <c r="J57" s="128"/>
      <c r="L57" s="123"/>
      <c r="M57" s="123"/>
    </row>
    <row r="58" spans="3:13" ht="25.8">
      <c r="C58" s="123"/>
      <c r="D58" s="164"/>
      <c r="E58" s="164"/>
      <c r="F58" s="127"/>
      <c r="G58" s="123"/>
      <c r="H58" s="123"/>
      <c r="I58" s="128"/>
      <c r="J58" s="128"/>
      <c r="L58" s="123"/>
      <c r="M58" s="123"/>
    </row>
    <row r="59" spans="3:13" ht="25.8">
      <c r="C59" s="123"/>
      <c r="D59" s="164"/>
      <c r="E59" s="164"/>
      <c r="F59" s="127"/>
      <c r="G59" s="123"/>
      <c r="H59" s="123"/>
      <c r="I59" s="128"/>
      <c r="J59" s="128"/>
      <c r="L59" s="123"/>
      <c r="M59" s="123"/>
    </row>
    <row r="60" spans="3:13" ht="25.8">
      <c r="C60" s="123"/>
      <c r="D60" s="164"/>
      <c r="E60" s="164"/>
      <c r="F60" s="127"/>
      <c r="G60" s="123"/>
      <c r="H60" s="123"/>
      <c r="I60" s="128"/>
      <c r="J60" s="128"/>
      <c r="L60" s="123"/>
      <c r="M60" s="123"/>
    </row>
    <row r="61" spans="3:13" ht="25.8">
      <c r="C61" s="123"/>
      <c r="D61" s="164"/>
      <c r="E61" s="164"/>
      <c r="F61" s="127"/>
      <c r="G61" s="123"/>
      <c r="H61" s="123"/>
      <c r="I61" s="128"/>
      <c r="J61" s="128"/>
      <c r="L61" s="123"/>
      <c r="M61" s="123"/>
    </row>
    <row r="62" spans="3:13" ht="25.8">
      <c r="C62" s="123"/>
      <c r="D62" s="164"/>
      <c r="E62" s="164"/>
      <c r="F62" s="127"/>
      <c r="G62" s="123"/>
      <c r="H62" s="123"/>
      <c r="I62" s="128"/>
      <c r="J62" s="128"/>
      <c r="L62" s="123"/>
      <c r="M62" s="123"/>
    </row>
    <row r="63" spans="3:13" ht="25.8">
      <c r="C63" s="123"/>
      <c r="D63" s="164"/>
      <c r="E63" s="164"/>
      <c r="F63" s="127"/>
      <c r="G63" s="123"/>
      <c r="H63" s="123"/>
      <c r="I63" s="128"/>
      <c r="J63" s="128"/>
      <c r="L63" s="123"/>
      <c r="M63" s="123"/>
    </row>
    <row r="64" spans="3:13" ht="25.8">
      <c r="C64" s="123"/>
      <c r="D64" s="165"/>
      <c r="E64" s="165"/>
      <c r="F64" s="127"/>
      <c r="G64" s="123"/>
      <c r="H64" s="123"/>
      <c r="I64" s="128"/>
      <c r="J64" s="128"/>
      <c r="L64" s="123"/>
      <c r="M64" s="123"/>
    </row>
  </sheetData>
  <mergeCells count="7">
    <mergeCell ref="C2:J4"/>
    <mergeCell ref="L3:M4"/>
    <mergeCell ref="C5:J5"/>
    <mergeCell ref="C7:C20"/>
    <mergeCell ref="E7:E64"/>
    <mergeCell ref="D7:D64"/>
    <mergeCell ref="C30:C48"/>
  </mergeCells>
  <conditionalFormatting sqref="F7:F39">
    <cfRule type="containsText" priority="13" operator="containsText" text="Blue">
      <formula>NOT(ISERROR(SEARCH("Blue",F7)))</formula>
    </cfRule>
    <cfRule type="containsText" dxfId="104" priority="19" operator="containsText" text="Light Blue">
      <formula>NOT(ISERROR(SEARCH("Light Blue",F7)))</formula>
    </cfRule>
    <cfRule type="containsText" dxfId="103" priority="29" operator="containsText" text="Orange">
      <formula>NOT(ISERROR(SEARCH("Orange",F7)))</formula>
    </cfRule>
    <cfRule type="containsText" dxfId="102" priority="30" operator="containsText" text="Purple">
      <formula>NOT(ISERROR(SEARCH("Purple",F7)))</formula>
    </cfRule>
  </conditionalFormatting>
  <conditionalFormatting sqref="F7:F39">
    <cfRule type="containsText" dxfId="101" priority="17" operator="containsText" text="Light Blue">
      <formula>NOT(ISERROR(SEARCH("Light Blue",F7)))</formula>
    </cfRule>
    <cfRule type="containsText" dxfId="100" priority="20" operator="containsText" text="Dark Blue">
      <formula>NOT(ISERROR(SEARCH("Dark Blue",F7)))</formula>
    </cfRule>
    <cfRule type="containsText" dxfId="99" priority="21" operator="containsText" text="Blue">
      <formula>NOT(ISERROR(SEARCH("Blue",F7)))</formula>
    </cfRule>
    <cfRule type="containsText" dxfId="98" priority="22" operator="containsText" text="Yellow">
      <formula>NOT(ISERROR(SEARCH("Yellow",F7)))</formula>
    </cfRule>
    <cfRule type="containsText" dxfId="97" priority="23" operator="containsText" text="Light Blue">
      <formula>NOT(ISERROR(SEARCH("Light Blue",F7)))</formula>
    </cfRule>
    <cfRule type="containsText" dxfId="96" priority="24" operator="containsText" text="Dark Green">
      <formula>NOT(ISERROR(SEARCH("Dark Green",F7)))</formula>
    </cfRule>
    <cfRule type="containsText" dxfId="95" priority="25" operator="containsText" text="Brown">
      <formula>NOT(ISERROR(SEARCH("Brown",F7)))</formula>
    </cfRule>
    <cfRule type="containsText" dxfId="94" priority="26" operator="containsText" text="Green">
      <formula>NOT(ISERROR(SEARCH("Green",F7)))</formula>
    </cfRule>
    <cfRule type="containsText" dxfId="93" priority="27" operator="containsText" text="Red">
      <formula>NOT(ISERROR(SEARCH("Red",F7)))</formula>
    </cfRule>
    <cfRule type="containsText" dxfId="92" priority="28" operator="containsText" text="Gray">
      <formula>NOT(ISERROR(SEARCH("Gray",F7)))</formula>
    </cfRule>
  </conditionalFormatting>
  <conditionalFormatting sqref="F9">
    <cfRule type="containsText" dxfId="91" priority="18" operator="containsText" text="Orange">
      <formula>NOT(ISERROR(SEARCH("Orange",F9)))</formula>
    </cfRule>
  </conditionalFormatting>
  <conditionalFormatting sqref="F20">
    <cfRule type="containsText" priority="15" operator="containsText" text="White">
      <formula>NOT(ISERROR(SEARCH("White",F20)))</formula>
    </cfRule>
    <cfRule type="containsText" dxfId="90" priority="16" operator="containsText" text="wHITE">
      <formula>NOT(ISERROR(SEARCH("wHITE",F20)))</formula>
    </cfRule>
  </conditionalFormatting>
  <conditionalFormatting sqref="F7:F39">
    <cfRule type="containsText" dxfId="89" priority="14" operator="containsText" text="White">
      <formula>NOT(ISERROR(SEARCH("White",F7)))</formula>
    </cfRule>
  </conditionalFormatting>
  <conditionalFormatting sqref="F40:F51">
    <cfRule type="containsText" dxfId="88" priority="10" operator="containsText" text="Brown">
      <formula>NOT(ISERROR(SEARCH("Brown",F40)))</formula>
    </cfRule>
    <cfRule type="containsText" dxfId="87" priority="11" operator="containsText" text="Dark Green">
      <formula>NOT(ISERROR(SEARCH("Dark Green",F40)))</formula>
    </cfRule>
    <cfRule type="containsText" dxfId="86" priority="12" operator="containsText" text="Blue">
      <formula>NOT(ISERROR(SEARCH("Blue",F40)))</formula>
    </cfRule>
  </conditionalFormatting>
  <conditionalFormatting sqref="F44">
    <cfRule type="containsText" dxfId="85" priority="9" operator="containsText" text="Dark Blue">
      <formula>NOT(ISERROR(SEARCH("Dark Blue",F44)))</formula>
    </cfRule>
  </conditionalFormatting>
  <conditionalFormatting sqref="F45:F51">
    <cfRule type="containsText" dxfId="84" priority="8" operator="containsText" text="Green">
      <formula>NOT(ISERROR(SEARCH("Green",F45)))</formula>
    </cfRule>
  </conditionalFormatting>
  <conditionalFormatting sqref="F46:F51">
    <cfRule type="containsText" dxfId="83" priority="7" operator="containsText" text="Dark Blue">
      <formula>NOT(ISERROR(SEARCH("Dark Blue",F46)))</formula>
    </cfRule>
  </conditionalFormatting>
  <conditionalFormatting sqref="F47:F51">
    <cfRule type="containsText" dxfId="82" priority="6" operator="containsText" text="Gray">
      <formula>NOT(ISERROR(SEARCH("Gray",F47)))</formula>
    </cfRule>
  </conditionalFormatting>
  <conditionalFormatting sqref="F51:F64">
    <cfRule type="containsText" dxfId="81" priority="5" operator="containsText" text="Purple">
      <formula>NOT(ISERROR(SEARCH("Purple",F51)))</formula>
    </cfRule>
  </conditionalFormatting>
  <conditionalFormatting sqref="F52">
    <cfRule type="containsText" dxfId="80" priority="4" operator="containsText" text="Red">
      <formula>NOT(ISERROR(SEARCH("Red",F52)))</formula>
    </cfRule>
  </conditionalFormatting>
  <conditionalFormatting sqref="F53">
    <cfRule type="containsText" dxfId="79" priority="3" operator="containsText" text="Green">
      <formula>NOT(ISERROR(SEARCH("Green",F53)))</formula>
    </cfRule>
  </conditionalFormatting>
  <conditionalFormatting sqref="F54">
    <cfRule type="containsText" dxfId="78" priority="2" operator="containsText" text="Light Blue">
      <formula>NOT(ISERROR(SEARCH("Light Blue",F54)))</formula>
    </cfRule>
  </conditionalFormatting>
  <conditionalFormatting sqref="F55">
    <cfRule type="containsText" dxfId="77" priority="1" operator="containsText" text="Dark Green">
      <formula>NOT(ISERROR(SEARCH("Dark Green",F55)))</formula>
    </cfRule>
  </conditionalFormatting>
  <dataValidations count="4">
    <dataValidation type="list" allowBlank="1" showInputMessage="1" showErrorMessage="1" sqref="D7" xr:uid="{00000000-0002-0000-0000-000000000000}">
      <formula1>"Sacks"</formula1>
    </dataValidation>
    <dataValidation type="list" allowBlank="1" showInputMessage="1" showErrorMessage="1" sqref="G1:G1048576" xr:uid="{00000000-0002-0000-0000-000001000000}">
      <formula1>"(75*9),(75*13),(70*45)"</formula1>
    </dataValidation>
    <dataValidation type="list" allowBlank="1" showInputMessage="1" showErrorMessage="1" sqref="F1:F1048576" xr:uid="{00000000-0002-0000-0000-000002000000}">
      <formula1>"Purple, Orange,Orange (13),Orange (70*45), Gray, Red, Green, Brown,Brown(13), Dark Green, Light Blue, Yellow, Blue, Dark Blue,White"</formula1>
    </dataValidation>
    <dataValidation type="list" allowBlank="1" showInputMessage="1" showErrorMessage="1" sqref="E7" xr:uid="{00000000-0002-0000-0000-000003000000}">
      <formula1>"Chicken"</formula1>
    </dataValidation>
  </dataValidations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/>
  </sheetPr>
  <dimension ref="C1:M37"/>
  <sheetViews>
    <sheetView topLeftCell="A15" zoomScale="70" zoomScaleNormal="70" workbookViewId="0">
      <selection activeCell="F30" sqref="F30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8.55468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6.4" thickBot="1">
      <c r="C2" s="129" t="s">
        <v>9</v>
      </c>
      <c r="D2" s="130"/>
      <c r="E2" s="130"/>
      <c r="F2" s="130"/>
      <c r="G2" s="130"/>
      <c r="H2" s="130"/>
      <c r="I2" s="130"/>
      <c r="J2" s="131"/>
      <c r="K2" s="1"/>
    </row>
    <row r="3" spans="3:13" ht="26.4" thickBot="1">
      <c r="C3" s="132"/>
      <c r="D3" s="133"/>
      <c r="E3" s="133"/>
      <c r="F3" s="133"/>
      <c r="G3" s="133"/>
      <c r="H3" s="133"/>
      <c r="I3" s="133"/>
      <c r="J3" s="134"/>
      <c r="K3" s="1"/>
      <c r="L3" s="138" t="s">
        <v>16</v>
      </c>
      <c r="M3" s="139"/>
    </row>
    <row r="4" spans="3:13" ht="27" thickTop="1" thickBot="1">
      <c r="C4" s="135"/>
      <c r="D4" s="136"/>
      <c r="E4" s="136"/>
      <c r="F4" s="136"/>
      <c r="G4" s="136"/>
      <c r="H4" s="136"/>
      <c r="I4" s="136"/>
      <c r="J4" s="137"/>
      <c r="K4" s="1"/>
      <c r="L4" s="140"/>
      <c r="M4" s="141"/>
    </row>
    <row r="5" spans="3:13" ht="26.4" thickBot="1">
      <c r="C5" s="142"/>
      <c r="D5" s="143"/>
      <c r="E5" s="143"/>
      <c r="F5" s="143"/>
      <c r="G5" s="143"/>
      <c r="H5" s="143"/>
      <c r="I5" s="143"/>
      <c r="J5" s="144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51">
        <v>46143</v>
      </c>
      <c r="D7" s="145" t="s">
        <v>18</v>
      </c>
      <c r="E7" s="148" t="s">
        <v>2</v>
      </c>
      <c r="F7" s="8" t="s">
        <v>24</v>
      </c>
      <c r="G7" s="11" t="s">
        <v>29</v>
      </c>
      <c r="H7" s="11"/>
      <c r="I7" s="23">
        <v>5118</v>
      </c>
      <c r="J7" s="65">
        <v>5118</v>
      </c>
      <c r="K7" s="1"/>
      <c r="L7" s="11"/>
      <c r="M7" s="11"/>
    </row>
    <row r="8" spans="3:13" ht="26.4" thickBot="1">
      <c r="C8" s="152"/>
      <c r="D8" s="146"/>
      <c r="E8" s="149"/>
      <c r="F8" s="22" t="s">
        <v>36</v>
      </c>
      <c r="G8" s="11" t="s">
        <v>29</v>
      </c>
      <c r="H8" s="11"/>
      <c r="I8" s="23">
        <v>4753</v>
      </c>
      <c r="J8" s="65">
        <v>4753</v>
      </c>
      <c r="K8" s="1"/>
      <c r="L8" s="11"/>
      <c r="M8" s="11"/>
    </row>
    <row r="9" spans="3:13" ht="26.4" thickBot="1">
      <c r="C9" s="152"/>
      <c r="D9" s="146"/>
      <c r="E9" s="149"/>
      <c r="F9" s="8" t="s">
        <v>30</v>
      </c>
      <c r="G9" s="11" t="s">
        <v>29</v>
      </c>
      <c r="H9" s="11"/>
      <c r="I9" s="23">
        <v>4153</v>
      </c>
      <c r="J9" s="65">
        <v>4153</v>
      </c>
      <c r="K9" s="1"/>
      <c r="L9" s="11"/>
      <c r="M9" s="11"/>
    </row>
    <row r="10" spans="3:13" ht="26.4" thickBot="1">
      <c r="C10" s="152"/>
      <c r="D10" s="146"/>
      <c r="E10" s="149"/>
      <c r="F10" s="22" t="s">
        <v>28</v>
      </c>
      <c r="G10" s="11" t="s">
        <v>29</v>
      </c>
      <c r="H10" s="11"/>
      <c r="I10" s="23">
        <v>32357</v>
      </c>
      <c r="J10" s="65">
        <v>32357</v>
      </c>
      <c r="K10" s="1"/>
      <c r="L10" s="11"/>
      <c r="M10" s="11"/>
    </row>
    <row r="11" spans="3:13" ht="26.4" thickBot="1">
      <c r="C11" s="152"/>
      <c r="D11" s="146"/>
      <c r="E11" s="149"/>
      <c r="F11" s="8" t="s">
        <v>37</v>
      </c>
      <c r="G11" s="11" t="s">
        <v>29</v>
      </c>
      <c r="H11" s="11"/>
      <c r="I11" s="23">
        <v>5904</v>
      </c>
      <c r="J11" s="65">
        <v>5904</v>
      </c>
      <c r="K11" s="1"/>
      <c r="L11" s="11"/>
      <c r="M11" s="11"/>
    </row>
    <row r="12" spans="3:13" ht="26.4" thickBot="1">
      <c r="C12" s="152"/>
      <c r="D12" s="146"/>
      <c r="E12" s="149"/>
      <c r="F12" s="8" t="s">
        <v>38</v>
      </c>
      <c r="G12" s="11" t="s">
        <v>29</v>
      </c>
      <c r="H12" s="11"/>
      <c r="I12" s="23">
        <v>38160</v>
      </c>
      <c r="J12" s="65">
        <v>38160</v>
      </c>
      <c r="K12" s="1"/>
      <c r="L12" s="11"/>
      <c r="M12" s="11"/>
    </row>
    <row r="13" spans="3:13" ht="26.4" thickBot="1">
      <c r="C13" s="153"/>
      <c r="D13" s="146"/>
      <c r="E13" s="149"/>
      <c r="F13" s="8" t="s">
        <v>45</v>
      </c>
      <c r="G13" s="11" t="s">
        <v>32</v>
      </c>
      <c r="H13" s="11"/>
      <c r="I13" s="23">
        <v>2410</v>
      </c>
      <c r="J13" s="23">
        <v>2410</v>
      </c>
      <c r="K13" s="1"/>
      <c r="L13" s="11"/>
      <c r="M13" s="11"/>
    </row>
    <row r="14" spans="3:13" s="44" customFormat="1" ht="26.4" thickBot="1">
      <c r="C14" s="50"/>
      <c r="D14" s="146"/>
      <c r="E14" s="149"/>
      <c r="F14" s="60"/>
      <c r="G14" s="51"/>
      <c r="H14" s="51"/>
      <c r="I14" s="63"/>
      <c r="J14" s="51"/>
      <c r="K14" s="40"/>
      <c r="L14" s="51"/>
      <c r="M14" s="51"/>
    </row>
    <row r="15" spans="3:13" ht="26.4" thickBot="1">
      <c r="C15" s="151">
        <v>46144</v>
      </c>
      <c r="D15" s="146"/>
      <c r="E15" s="149"/>
      <c r="F15" s="22" t="s">
        <v>24</v>
      </c>
      <c r="G15" s="11" t="s">
        <v>29</v>
      </c>
      <c r="H15" s="11" t="s">
        <v>66</v>
      </c>
      <c r="I15" s="23">
        <v>47500</v>
      </c>
      <c r="J15" s="23">
        <v>47430</v>
      </c>
      <c r="K15" s="1"/>
      <c r="L15" s="11"/>
      <c r="M15" s="11"/>
    </row>
    <row r="16" spans="3:13" ht="26.4" thickBot="1">
      <c r="C16" s="152"/>
      <c r="D16" s="146"/>
      <c r="E16" s="149"/>
      <c r="F16" s="8" t="s">
        <v>45</v>
      </c>
      <c r="G16" s="11" t="s">
        <v>32</v>
      </c>
      <c r="H16" s="11" t="s">
        <v>66</v>
      </c>
      <c r="I16" s="23">
        <v>2410</v>
      </c>
      <c r="J16" s="23">
        <v>2407</v>
      </c>
      <c r="K16" s="1"/>
      <c r="L16" s="11"/>
      <c r="M16" s="11"/>
    </row>
    <row r="17" spans="3:13" ht="26.4" thickBot="1">
      <c r="C17" s="152"/>
      <c r="D17" s="146"/>
      <c r="E17" s="149"/>
      <c r="F17" s="22" t="s">
        <v>24</v>
      </c>
      <c r="G17" s="11" t="s">
        <v>29</v>
      </c>
      <c r="H17" s="11" t="s">
        <v>66</v>
      </c>
      <c r="I17" s="23">
        <v>47430</v>
      </c>
      <c r="J17" s="23">
        <v>47424</v>
      </c>
      <c r="K17" s="1"/>
      <c r="L17" s="11"/>
      <c r="M17" s="11"/>
    </row>
    <row r="18" spans="3:13" ht="26.4" thickBot="1">
      <c r="C18" s="153"/>
      <c r="D18" s="146"/>
      <c r="E18" s="149"/>
      <c r="F18" s="22" t="s">
        <v>28</v>
      </c>
      <c r="G18" s="11" t="s">
        <v>29</v>
      </c>
      <c r="H18" s="11" t="s">
        <v>66</v>
      </c>
      <c r="I18" s="23">
        <v>32357</v>
      </c>
      <c r="J18" s="23">
        <v>32356</v>
      </c>
      <c r="K18" s="1"/>
      <c r="L18" s="11"/>
      <c r="M18" s="11"/>
    </row>
    <row r="19" spans="3:13" ht="26.4" thickBot="1">
      <c r="C19" s="50"/>
      <c r="D19" s="146"/>
      <c r="E19" s="149"/>
      <c r="F19" s="60"/>
      <c r="G19" s="51"/>
      <c r="H19" s="51"/>
      <c r="I19" s="63"/>
      <c r="J19" s="61"/>
      <c r="K19" s="1"/>
      <c r="L19" s="51"/>
      <c r="M19" s="51"/>
    </row>
    <row r="20" spans="3:13" ht="26.4" thickBot="1">
      <c r="C20" s="68">
        <v>46145</v>
      </c>
      <c r="D20" s="146"/>
      <c r="E20" s="149"/>
      <c r="F20" s="70"/>
      <c r="G20" s="69"/>
      <c r="H20" s="69"/>
      <c r="I20" s="72"/>
      <c r="J20" s="71"/>
      <c r="K20" s="1"/>
      <c r="L20" s="69"/>
      <c r="M20" s="69"/>
    </row>
    <row r="21" spans="3:13" ht="26.25" customHeight="1" thickBot="1">
      <c r="C21" s="50"/>
      <c r="D21" s="146"/>
      <c r="E21" s="149"/>
      <c r="F21" s="60"/>
      <c r="G21" s="51"/>
      <c r="H21" s="51"/>
      <c r="I21" s="67"/>
      <c r="J21" s="61"/>
      <c r="K21" s="1"/>
      <c r="L21" s="51"/>
      <c r="M21" s="51"/>
    </row>
    <row r="22" spans="3:13" ht="26.25" customHeight="1" thickBot="1">
      <c r="C22" s="12">
        <v>46146</v>
      </c>
      <c r="D22" s="146"/>
      <c r="E22" s="149"/>
      <c r="F22" s="8" t="s">
        <v>30</v>
      </c>
      <c r="G22" s="11" t="s">
        <v>29</v>
      </c>
      <c r="H22" s="11" t="s">
        <v>66</v>
      </c>
      <c r="I22" s="37">
        <v>4153</v>
      </c>
      <c r="J22" s="23">
        <v>4151</v>
      </c>
      <c r="K22" s="1"/>
      <c r="L22" s="11"/>
      <c r="M22" s="11"/>
    </row>
    <row r="23" spans="3:13" ht="26.25" customHeight="1" thickBot="1">
      <c r="C23" s="12">
        <v>46147</v>
      </c>
      <c r="D23" s="146"/>
      <c r="E23" s="149"/>
      <c r="F23" s="8"/>
      <c r="G23" s="11"/>
      <c r="H23" s="11"/>
      <c r="I23" s="11"/>
      <c r="J23" s="23"/>
      <c r="K23" s="1"/>
      <c r="L23" s="11"/>
      <c r="M23" s="11"/>
    </row>
    <row r="24" spans="3:13" ht="26.25" customHeight="1" thickBot="1">
      <c r="C24" s="12">
        <v>46148</v>
      </c>
      <c r="D24" s="146"/>
      <c r="E24" s="149"/>
      <c r="F24" s="8"/>
      <c r="G24" s="11"/>
      <c r="H24" s="11"/>
      <c r="I24" s="11"/>
      <c r="J24" s="11"/>
      <c r="K24" s="1"/>
      <c r="L24" s="11"/>
      <c r="M24" s="11"/>
    </row>
    <row r="25" spans="3:13" ht="26.25" customHeight="1" thickBot="1">
      <c r="C25" s="151">
        <v>46149</v>
      </c>
      <c r="D25" s="146"/>
      <c r="E25" s="149"/>
      <c r="F25" s="8" t="s">
        <v>24</v>
      </c>
      <c r="G25" s="11" t="s">
        <v>29</v>
      </c>
      <c r="H25" s="11" t="s">
        <v>66</v>
      </c>
      <c r="I25" s="23">
        <v>47424</v>
      </c>
      <c r="J25" s="23">
        <v>47403</v>
      </c>
      <c r="K25" s="1"/>
      <c r="L25" s="11"/>
      <c r="M25" s="11"/>
    </row>
    <row r="26" spans="3:13" ht="26.25" customHeight="1" thickBot="1">
      <c r="C26" s="152"/>
      <c r="D26" s="146"/>
      <c r="E26" s="149"/>
      <c r="F26" s="8" t="s">
        <v>30</v>
      </c>
      <c r="G26" s="11" t="s">
        <v>29</v>
      </c>
      <c r="H26" s="11" t="s">
        <v>66</v>
      </c>
      <c r="I26" s="23">
        <v>4151</v>
      </c>
      <c r="J26" s="23">
        <v>4130</v>
      </c>
      <c r="K26" s="1"/>
      <c r="L26" s="11"/>
      <c r="M26" s="11"/>
    </row>
    <row r="27" spans="3:13" ht="26.25" customHeight="1" thickBot="1">
      <c r="C27" s="153"/>
      <c r="D27" s="146"/>
      <c r="E27" s="149"/>
      <c r="F27" s="8" t="s">
        <v>45</v>
      </c>
      <c r="G27" s="11" t="s">
        <v>32</v>
      </c>
      <c r="H27" s="11" t="s">
        <v>66</v>
      </c>
      <c r="I27" s="23">
        <v>2407</v>
      </c>
      <c r="J27" s="23">
        <v>1802</v>
      </c>
      <c r="K27" s="1"/>
      <c r="L27" s="11"/>
      <c r="M27" s="11"/>
    </row>
    <row r="28" spans="3:13" ht="26.25" customHeight="1" thickBot="1">
      <c r="C28" s="68">
        <v>46150</v>
      </c>
      <c r="D28" s="146"/>
      <c r="E28" s="149"/>
      <c r="F28" s="70"/>
      <c r="G28" s="69"/>
      <c r="H28" s="69"/>
      <c r="I28" s="71"/>
      <c r="J28" s="71"/>
      <c r="K28" s="1"/>
      <c r="L28" s="11"/>
      <c r="M28" s="11"/>
    </row>
    <row r="29" spans="3:13" ht="26.25" customHeight="1" thickBot="1">
      <c r="C29" s="68">
        <v>46151</v>
      </c>
      <c r="D29" s="146"/>
      <c r="E29" s="149"/>
      <c r="F29" s="70"/>
      <c r="G29" s="69"/>
      <c r="H29" s="69"/>
      <c r="I29" s="71"/>
      <c r="J29" s="71"/>
      <c r="K29" s="1"/>
      <c r="L29" s="11"/>
      <c r="M29" s="11"/>
    </row>
    <row r="30" spans="3:13" ht="26.25" customHeight="1" thickBot="1">
      <c r="C30" s="12">
        <v>46152</v>
      </c>
      <c r="D30" s="146"/>
      <c r="E30" s="149"/>
      <c r="F30" s="22" t="s">
        <v>28</v>
      </c>
      <c r="G30" s="11" t="s">
        <v>29</v>
      </c>
      <c r="H30" s="11" t="s">
        <v>66</v>
      </c>
      <c r="I30" s="23">
        <v>32356</v>
      </c>
      <c r="J30" s="23">
        <v>32111</v>
      </c>
      <c r="K30" s="1"/>
      <c r="L30" s="11"/>
      <c r="M30" s="11"/>
    </row>
    <row r="31" spans="3:13" ht="26.25" customHeight="1" thickBot="1">
      <c r="C31" s="12"/>
      <c r="D31" s="146"/>
      <c r="E31" s="149"/>
      <c r="F31" s="8"/>
      <c r="G31" s="11"/>
      <c r="H31" s="11"/>
      <c r="I31" s="23"/>
      <c r="J31" s="23"/>
      <c r="K31" s="1"/>
      <c r="L31" s="11"/>
      <c r="M31" s="11"/>
    </row>
    <row r="32" spans="3:13" ht="26.25" customHeight="1" thickBot="1">
      <c r="C32" s="12"/>
      <c r="D32" s="146"/>
      <c r="E32" s="149"/>
      <c r="F32" s="8"/>
      <c r="G32" s="11"/>
      <c r="H32" s="11"/>
      <c r="I32" s="11"/>
      <c r="J32" s="11"/>
      <c r="K32" s="1"/>
      <c r="L32" s="11"/>
      <c r="M32" s="11"/>
    </row>
    <row r="33" spans="3:13" ht="26.25" customHeight="1" thickBot="1">
      <c r="C33" s="12"/>
      <c r="D33" s="146"/>
      <c r="E33" s="149"/>
      <c r="F33" s="8"/>
      <c r="G33" s="11"/>
      <c r="H33" s="11"/>
      <c r="I33" s="11"/>
      <c r="J33" s="11"/>
      <c r="K33" s="1"/>
      <c r="L33" s="11"/>
      <c r="M33" s="11"/>
    </row>
    <row r="34" spans="3:13" ht="26.25" customHeight="1" thickBot="1">
      <c r="C34" s="12"/>
      <c r="D34" s="146"/>
      <c r="E34" s="149"/>
      <c r="F34" s="8"/>
      <c r="G34" s="11"/>
      <c r="H34" s="11"/>
      <c r="I34" s="11"/>
      <c r="J34" s="11"/>
      <c r="K34" s="1"/>
      <c r="L34" s="11"/>
      <c r="M34" s="11"/>
    </row>
    <row r="35" spans="3:13" ht="26.25" customHeight="1" thickBot="1">
      <c r="C35" s="12"/>
      <c r="D35" s="146"/>
      <c r="E35" s="149"/>
      <c r="F35" s="8"/>
      <c r="G35" s="11"/>
      <c r="H35" s="11"/>
      <c r="I35" s="11"/>
      <c r="J35" s="11"/>
      <c r="K35" s="1"/>
      <c r="L35" s="11"/>
      <c r="M35" s="11"/>
    </row>
    <row r="36" spans="3:13" ht="26.25" customHeight="1" thickBot="1">
      <c r="C36" s="12"/>
      <c r="D36" s="146"/>
      <c r="E36" s="149"/>
      <c r="F36" s="8"/>
      <c r="G36" s="11"/>
      <c r="H36" s="11"/>
      <c r="I36" s="11"/>
      <c r="J36" s="11"/>
      <c r="K36" s="1"/>
      <c r="L36" s="11"/>
      <c r="M36" s="11"/>
    </row>
    <row r="37" spans="3:13" ht="26.25" customHeight="1" thickBot="1">
      <c r="C37" s="12"/>
      <c r="D37" s="147"/>
      <c r="E37" s="150"/>
      <c r="F37" s="8"/>
      <c r="G37" s="11"/>
      <c r="H37" s="11"/>
      <c r="I37" s="11"/>
      <c r="J37" s="11"/>
      <c r="K37" s="1"/>
      <c r="L37" s="11"/>
      <c r="M37" s="11"/>
    </row>
  </sheetData>
  <mergeCells count="8">
    <mergeCell ref="C2:J4"/>
    <mergeCell ref="L3:M4"/>
    <mergeCell ref="C5:J5"/>
    <mergeCell ref="D7:D37"/>
    <mergeCell ref="E7:E37"/>
    <mergeCell ref="C7:C13"/>
    <mergeCell ref="C15:C18"/>
    <mergeCell ref="C25:C27"/>
  </mergeCells>
  <conditionalFormatting sqref="F7:F37">
    <cfRule type="containsText" dxfId="120" priority="6" operator="containsText" text="Light Blue">
      <formula>NOT(ISERROR(SEARCH("Light Blue",F7)))</formula>
    </cfRule>
    <cfRule type="containsText" dxfId="119" priority="16" operator="containsText" text="Orange">
      <formula>NOT(ISERROR(SEARCH("Orange",F7)))</formula>
    </cfRule>
    <cfRule type="containsText" dxfId="118" priority="17" operator="containsText" text="Purple">
      <formula>NOT(ISERROR(SEARCH("Purple",F7)))</formula>
    </cfRule>
  </conditionalFormatting>
  <conditionalFormatting sqref="F7:F37">
    <cfRule type="containsText" dxfId="117" priority="4" operator="containsText" text="Light Blue">
      <formula>NOT(ISERROR(SEARCH("Light Blue",F7)))</formula>
    </cfRule>
    <cfRule type="containsText" dxfId="116" priority="7" operator="containsText" text="Dark Blue">
      <formula>NOT(ISERROR(SEARCH("Dark Blue",F7)))</formula>
    </cfRule>
    <cfRule type="containsText" dxfId="115" priority="8" operator="containsText" text="Blue">
      <formula>NOT(ISERROR(SEARCH("Blue",F7)))</formula>
    </cfRule>
    <cfRule type="containsText" dxfId="114" priority="9" operator="containsText" text="Yellow">
      <formula>NOT(ISERROR(SEARCH("Yellow",F7)))</formula>
    </cfRule>
    <cfRule type="containsText" dxfId="113" priority="10" operator="containsText" text="Light Blue">
      <formula>NOT(ISERROR(SEARCH("Light Blue",F7)))</formula>
    </cfRule>
    <cfRule type="containsText" dxfId="112" priority="11" operator="containsText" text="Dark Green">
      <formula>NOT(ISERROR(SEARCH("Dark Green",F7)))</formula>
    </cfRule>
    <cfRule type="containsText" dxfId="111" priority="12" operator="containsText" text="Brown">
      <formula>NOT(ISERROR(SEARCH("Brown",F7)))</formula>
    </cfRule>
    <cfRule type="containsText" dxfId="110" priority="13" operator="containsText" text="Green">
      <formula>NOT(ISERROR(SEARCH("Green",F7)))</formula>
    </cfRule>
    <cfRule type="containsText" dxfId="109" priority="14" operator="containsText" text="Red">
      <formula>NOT(ISERROR(SEARCH("Red",F7)))</formula>
    </cfRule>
    <cfRule type="containsText" dxfId="108" priority="15" operator="containsText" text="Gray">
      <formula>NOT(ISERROR(SEARCH("Gray",F7)))</formula>
    </cfRule>
  </conditionalFormatting>
  <conditionalFormatting sqref="F8">
    <cfRule type="containsText" dxfId="107" priority="5" operator="containsText" text="Orange">
      <formula>NOT(ISERROR(SEARCH("Orange",F8)))</formula>
    </cfRule>
  </conditionalFormatting>
  <conditionalFormatting sqref="F19">
    <cfRule type="containsText" priority="2" operator="containsText" text="White">
      <formula>NOT(ISERROR(SEARCH("White",F19)))</formula>
    </cfRule>
    <cfRule type="containsText" dxfId="106" priority="3" operator="containsText" text="wHITE">
      <formula>NOT(ISERROR(SEARCH("wHITE",F19)))</formula>
    </cfRule>
  </conditionalFormatting>
  <conditionalFormatting sqref="F7:F37">
    <cfRule type="containsText" dxfId="105" priority="1" operator="containsText" text="White">
      <formula>NOT(ISERROR(SEARCH("White",F7)))</formula>
    </cfRule>
  </conditionalFormatting>
  <dataValidations count="4">
    <dataValidation type="list" allowBlank="1" showInputMessage="1" showErrorMessage="1" sqref="G7:G37" xr:uid="{00000000-0002-0000-0100-000000000000}">
      <formula1>"(75*9),(75*13),(70*45)"</formula1>
    </dataValidation>
    <dataValidation type="list" allowBlank="1" showInputMessage="1" showErrorMessage="1" sqref="F7:F37" xr:uid="{00000000-0002-0000-0100-000001000000}">
      <formula1>"Purple, Orange, Gray, Red, Green, Brown, Dark Green,Dark Green(75*50*13), Light Blue, Yellow, Blue, Dark Blue,White"</formula1>
    </dataValidation>
    <dataValidation type="list" allowBlank="1" showInputMessage="1" showErrorMessage="1" sqref="E7:E37" xr:uid="{00000000-0002-0000-0100-000002000000}">
      <formula1>"C&amp;S"</formula1>
    </dataValidation>
    <dataValidation type="list" allowBlank="1" showInputMessage="1" showErrorMessage="1" sqref="D7:D37" xr:uid="{00000000-0002-0000-0100-000003000000}">
      <formula1>"Sacks"</formula1>
    </dataValidation>
  </dataValidation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C1:M37"/>
  <sheetViews>
    <sheetView zoomScale="70" zoomScaleNormal="70" workbookViewId="0">
      <selection activeCell="F7" sqref="F7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style="38" customWidth="1"/>
    <col min="10" max="10" width="42.33203125" style="38" customWidth="1"/>
    <col min="12" max="13" width="16.6640625" customWidth="1"/>
  </cols>
  <sheetData>
    <row r="1" spans="3:13" ht="15" thickBot="1"/>
    <row r="2" spans="3:13" ht="26.4" thickBot="1">
      <c r="C2" s="167" t="s">
        <v>6</v>
      </c>
      <c r="D2" s="168"/>
      <c r="E2" s="168"/>
      <c r="F2" s="168"/>
      <c r="G2" s="168"/>
      <c r="H2" s="168"/>
      <c r="I2" s="168"/>
      <c r="J2" s="169"/>
      <c r="K2" s="1"/>
    </row>
    <row r="3" spans="3:13" ht="27.75" customHeight="1" thickBot="1">
      <c r="C3" s="170"/>
      <c r="D3" s="171"/>
      <c r="E3" s="171"/>
      <c r="F3" s="171"/>
      <c r="G3" s="171"/>
      <c r="H3" s="171"/>
      <c r="I3" s="171"/>
      <c r="J3" s="172"/>
      <c r="K3" s="1"/>
      <c r="L3" s="138" t="s">
        <v>16</v>
      </c>
      <c r="M3" s="139"/>
    </row>
    <row r="4" spans="3:13" ht="27.75" customHeight="1" thickTop="1" thickBot="1">
      <c r="C4" s="173"/>
      <c r="D4" s="174"/>
      <c r="E4" s="174"/>
      <c r="F4" s="174"/>
      <c r="G4" s="174"/>
      <c r="H4" s="174"/>
      <c r="I4" s="174"/>
      <c r="J4" s="175"/>
      <c r="K4" s="1"/>
      <c r="L4" s="140"/>
      <c r="M4" s="141"/>
    </row>
    <row r="5" spans="3:13" ht="26.4" thickBot="1">
      <c r="C5" s="142"/>
      <c r="D5" s="143"/>
      <c r="E5" s="143"/>
      <c r="F5" s="143"/>
      <c r="G5" s="143"/>
      <c r="H5" s="143"/>
      <c r="I5" s="143"/>
      <c r="J5" s="144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42" t="s">
        <v>14</v>
      </c>
      <c r="J6" s="39" t="s">
        <v>15</v>
      </c>
      <c r="K6" s="1"/>
      <c r="L6" s="3" t="s">
        <v>1</v>
      </c>
      <c r="M6" s="4" t="s">
        <v>0</v>
      </c>
    </row>
    <row r="7" spans="3:13" ht="26.4" thickBot="1">
      <c r="C7" s="151">
        <v>46143</v>
      </c>
      <c r="D7" s="145" t="s">
        <v>18</v>
      </c>
      <c r="E7" s="148" t="s">
        <v>5</v>
      </c>
      <c r="F7" s="41" t="s">
        <v>56</v>
      </c>
      <c r="G7" s="11" t="s">
        <v>57</v>
      </c>
      <c r="H7" s="11"/>
      <c r="I7" s="23">
        <v>7591</v>
      </c>
      <c r="J7" s="23">
        <v>7591</v>
      </c>
      <c r="K7" s="1"/>
      <c r="L7" s="11"/>
      <c r="M7" s="11"/>
    </row>
    <row r="8" spans="3:13" ht="26.4" thickBot="1">
      <c r="C8" s="152"/>
      <c r="D8" s="146"/>
      <c r="E8" s="149"/>
      <c r="F8" s="22" t="s">
        <v>24</v>
      </c>
      <c r="G8" s="11" t="s">
        <v>29</v>
      </c>
      <c r="H8" s="11"/>
      <c r="I8" s="23">
        <v>6945</v>
      </c>
      <c r="J8" s="23">
        <v>6945</v>
      </c>
      <c r="K8" s="1"/>
      <c r="L8" s="11"/>
      <c r="M8" s="11"/>
    </row>
    <row r="9" spans="3:13" ht="26.4" thickBot="1">
      <c r="C9" s="152"/>
      <c r="D9" s="146"/>
      <c r="E9" s="149"/>
      <c r="F9" s="10" t="s">
        <v>58</v>
      </c>
      <c r="G9" s="11" t="s">
        <v>57</v>
      </c>
      <c r="H9" s="11"/>
      <c r="I9" s="23">
        <v>7450</v>
      </c>
      <c r="J9" s="23">
        <v>7450</v>
      </c>
      <c r="K9" s="1"/>
      <c r="L9" s="11"/>
      <c r="M9" s="13"/>
    </row>
    <row r="10" spans="3:13" ht="26.4" thickBot="1">
      <c r="C10" s="152"/>
      <c r="D10" s="146"/>
      <c r="E10" s="149"/>
      <c r="F10" s="8" t="s">
        <v>37</v>
      </c>
      <c r="G10" s="11" t="s">
        <v>29</v>
      </c>
      <c r="H10" s="11"/>
      <c r="I10" s="23">
        <v>20729</v>
      </c>
      <c r="J10" s="23">
        <v>20729</v>
      </c>
      <c r="K10" s="1"/>
      <c r="L10" s="11"/>
      <c r="M10" s="11"/>
    </row>
    <row r="11" spans="3:13" ht="26.4" thickBot="1">
      <c r="C11" s="152"/>
      <c r="D11" s="146"/>
      <c r="E11" s="149"/>
      <c r="F11" s="8" t="s">
        <v>36</v>
      </c>
      <c r="G11" s="11" t="s">
        <v>29</v>
      </c>
      <c r="H11" s="11"/>
      <c r="I11" s="23">
        <v>24013</v>
      </c>
      <c r="J11" s="23">
        <v>24013</v>
      </c>
      <c r="K11" s="1"/>
      <c r="L11" s="11"/>
      <c r="M11" s="11"/>
    </row>
    <row r="12" spans="3:13" ht="26.4" thickBot="1">
      <c r="C12" s="152"/>
      <c r="D12" s="146"/>
      <c r="E12" s="149"/>
      <c r="F12" s="8" t="s">
        <v>59</v>
      </c>
      <c r="G12" s="11"/>
      <c r="H12" s="11"/>
      <c r="I12" s="23">
        <v>13993</v>
      </c>
      <c r="J12" s="23">
        <v>13993</v>
      </c>
      <c r="K12" s="1"/>
      <c r="L12" s="11"/>
      <c r="M12" s="11"/>
    </row>
    <row r="13" spans="3:13" ht="26.4" thickBot="1">
      <c r="C13" s="153"/>
      <c r="D13" s="146"/>
      <c r="E13" s="149"/>
      <c r="F13" s="22" t="s">
        <v>42</v>
      </c>
      <c r="G13" s="11"/>
      <c r="H13" s="11"/>
      <c r="I13" s="23">
        <v>5516</v>
      </c>
      <c r="J13" s="23">
        <v>5516</v>
      </c>
      <c r="K13" s="1"/>
      <c r="L13" s="11"/>
      <c r="M13" s="11"/>
    </row>
    <row r="14" spans="3:13" ht="26.4" thickBot="1">
      <c r="C14" s="50"/>
      <c r="D14" s="146"/>
      <c r="E14" s="149"/>
      <c r="F14" s="60"/>
      <c r="G14" s="51"/>
      <c r="H14" s="51"/>
      <c r="I14" s="61"/>
      <c r="J14" s="61"/>
      <c r="K14" s="40"/>
      <c r="L14" s="51"/>
      <c r="M14" s="51"/>
    </row>
    <row r="15" spans="3:13" ht="26.4" thickBot="1">
      <c r="C15" s="12">
        <v>46144</v>
      </c>
      <c r="D15" s="146"/>
      <c r="E15" s="149"/>
      <c r="F15" s="10" t="s">
        <v>59</v>
      </c>
      <c r="G15" s="11"/>
      <c r="H15" s="11" t="s">
        <v>66</v>
      </c>
      <c r="I15" s="23">
        <v>13978</v>
      </c>
      <c r="J15" s="23">
        <v>13888</v>
      </c>
      <c r="K15" s="1"/>
      <c r="L15" s="11"/>
      <c r="M15" s="11"/>
    </row>
    <row r="16" spans="3:13" ht="26.4" thickBot="1">
      <c r="C16" s="50"/>
      <c r="D16" s="146"/>
      <c r="E16" s="149"/>
      <c r="F16" s="60"/>
      <c r="G16" s="51"/>
      <c r="H16" s="51"/>
      <c r="I16" s="61"/>
      <c r="J16" s="61"/>
      <c r="K16" s="1"/>
      <c r="L16" s="11"/>
      <c r="M16" s="11"/>
    </row>
    <row r="17" spans="3:13" ht="26.4" thickBot="1">
      <c r="C17" s="12">
        <v>46145</v>
      </c>
      <c r="D17" s="146"/>
      <c r="E17" s="149"/>
      <c r="F17" s="8" t="s">
        <v>59</v>
      </c>
      <c r="G17" s="11"/>
      <c r="H17" s="11" t="s">
        <v>66</v>
      </c>
      <c r="I17" s="23">
        <v>13888</v>
      </c>
      <c r="J17" s="23">
        <v>5888</v>
      </c>
      <c r="K17" s="1"/>
      <c r="L17" s="11"/>
      <c r="M17" s="11"/>
    </row>
    <row r="18" spans="3:13" ht="26.4" thickBot="1">
      <c r="C18" s="50"/>
      <c r="D18" s="146"/>
      <c r="E18" s="149"/>
      <c r="F18" s="60"/>
      <c r="G18" s="51"/>
      <c r="H18" s="51"/>
      <c r="I18" s="61"/>
      <c r="J18" s="61"/>
      <c r="K18" s="1"/>
      <c r="L18" s="51"/>
      <c r="M18" s="51"/>
    </row>
    <row r="19" spans="3:13" ht="26.4" thickBot="1">
      <c r="C19" s="12">
        <v>46146</v>
      </c>
      <c r="D19" s="146"/>
      <c r="E19" s="149"/>
      <c r="F19" s="8"/>
      <c r="G19" s="11"/>
      <c r="H19" s="11"/>
      <c r="I19" s="23"/>
      <c r="J19" s="23"/>
      <c r="K19" s="1"/>
      <c r="L19" s="11"/>
      <c r="M19" s="11"/>
    </row>
    <row r="20" spans="3:13" ht="26.4" thickBot="1">
      <c r="C20" s="12">
        <v>46148</v>
      </c>
      <c r="D20" s="146"/>
      <c r="E20" s="149"/>
      <c r="F20" s="8" t="s">
        <v>59</v>
      </c>
      <c r="G20" s="11"/>
      <c r="H20" s="11" t="s">
        <v>66</v>
      </c>
      <c r="I20" s="23">
        <v>5888</v>
      </c>
      <c r="J20" s="23">
        <v>5828</v>
      </c>
      <c r="K20" s="1"/>
      <c r="L20" s="11"/>
      <c r="M20" s="11"/>
    </row>
    <row r="21" spans="3:13" ht="26.25" customHeight="1" thickBot="1">
      <c r="C21" s="12">
        <v>46149</v>
      </c>
      <c r="D21" s="146"/>
      <c r="E21" s="149"/>
      <c r="F21" s="10" t="s">
        <v>59</v>
      </c>
      <c r="G21" s="11"/>
      <c r="H21" s="11" t="s">
        <v>66</v>
      </c>
      <c r="I21" s="23">
        <v>5828</v>
      </c>
      <c r="J21" s="23">
        <v>5728</v>
      </c>
      <c r="K21" s="1"/>
      <c r="L21" s="11"/>
      <c r="M21" s="11"/>
    </row>
    <row r="22" spans="3:13" ht="26.25" customHeight="1" thickBot="1">
      <c r="C22" s="12"/>
      <c r="D22" s="146"/>
      <c r="E22" s="149"/>
      <c r="F22" s="8" t="s">
        <v>59</v>
      </c>
      <c r="G22" s="11"/>
      <c r="H22" s="11" t="s">
        <v>66</v>
      </c>
      <c r="I22" s="23">
        <v>5728</v>
      </c>
      <c r="J22" s="23">
        <v>5722</v>
      </c>
      <c r="K22" s="1"/>
      <c r="L22" s="11"/>
      <c r="M22" s="11"/>
    </row>
    <row r="23" spans="3:13" ht="26.25" customHeight="1" thickBot="1">
      <c r="C23" s="12"/>
      <c r="D23" s="146"/>
      <c r="E23" s="149"/>
      <c r="F23" s="8" t="s">
        <v>59</v>
      </c>
      <c r="G23" s="11"/>
      <c r="H23" s="11" t="s">
        <v>66</v>
      </c>
      <c r="I23" s="23">
        <v>5722</v>
      </c>
      <c r="J23" s="23">
        <v>5557</v>
      </c>
      <c r="K23" s="1"/>
      <c r="L23" s="11"/>
      <c r="M23" s="11"/>
    </row>
    <row r="24" spans="3:13" ht="26.25" customHeight="1" thickBot="1">
      <c r="C24" s="12"/>
      <c r="D24" s="146"/>
      <c r="E24" s="149"/>
      <c r="F24" s="8" t="s">
        <v>59</v>
      </c>
      <c r="G24" s="11"/>
      <c r="H24" s="11" t="s">
        <v>66</v>
      </c>
      <c r="I24" s="23">
        <v>5557</v>
      </c>
      <c r="J24" s="23">
        <v>5517</v>
      </c>
      <c r="K24" s="1"/>
      <c r="L24" s="11"/>
      <c r="M24" s="11"/>
    </row>
    <row r="25" spans="3:13" ht="26.25" customHeight="1" thickBot="1">
      <c r="C25" s="12"/>
      <c r="D25" s="146"/>
      <c r="E25" s="149"/>
      <c r="F25" s="8" t="s">
        <v>37</v>
      </c>
      <c r="G25" s="11"/>
      <c r="H25" s="11" t="s">
        <v>66</v>
      </c>
      <c r="I25" s="23">
        <v>20729</v>
      </c>
      <c r="J25" s="23">
        <v>20604</v>
      </c>
      <c r="K25" s="1"/>
      <c r="L25" s="11"/>
      <c r="M25" s="11"/>
    </row>
    <row r="26" spans="3:13" ht="26.25" customHeight="1" thickBot="1">
      <c r="C26" s="12"/>
      <c r="D26" s="146"/>
      <c r="E26" s="149"/>
      <c r="F26" s="8" t="s">
        <v>37</v>
      </c>
      <c r="G26" s="11"/>
      <c r="H26" s="11" t="s">
        <v>66</v>
      </c>
      <c r="I26" s="23">
        <v>20604</v>
      </c>
      <c r="J26" s="23">
        <v>20591</v>
      </c>
      <c r="K26" s="1"/>
      <c r="L26" s="11"/>
      <c r="M26" s="11"/>
    </row>
    <row r="27" spans="3:13" ht="26.25" customHeight="1" thickBot="1">
      <c r="C27" s="12"/>
      <c r="D27" s="146"/>
      <c r="E27" s="149"/>
      <c r="F27" s="8" t="s">
        <v>59</v>
      </c>
      <c r="G27" s="11"/>
      <c r="H27" s="11" t="s">
        <v>66</v>
      </c>
      <c r="I27" s="23">
        <v>5517</v>
      </c>
      <c r="J27" s="23">
        <v>5457</v>
      </c>
      <c r="K27" s="1"/>
      <c r="L27" s="11"/>
      <c r="M27" s="11"/>
    </row>
    <row r="28" spans="3:13" ht="26.25" customHeight="1" thickBot="1">
      <c r="C28" s="12"/>
      <c r="D28" s="146"/>
      <c r="E28" s="149"/>
      <c r="F28" s="8"/>
      <c r="G28" s="11"/>
      <c r="H28" s="11"/>
      <c r="I28" s="23"/>
      <c r="J28" s="23"/>
      <c r="K28" s="1"/>
      <c r="L28" s="11"/>
      <c r="M28" s="11"/>
    </row>
    <row r="29" spans="3:13" ht="26.25" customHeight="1" thickBot="1">
      <c r="C29" s="12"/>
      <c r="D29" s="146"/>
      <c r="E29" s="149"/>
      <c r="F29" s="8"/>
      <c r="G29" s="11"/>
      <c r="H29" s="11"/>
      <c r="I29" s="23"/>
      <c r="J29" s="23"/>
      <c r="K29" s="1"/>
      <c r="L29" s="11"/>
      <c r="M29" s="11"/>
    </row>
    <row r="30" spans="3:13" ht="26.25" customHeight="1" thickBot="1">
      <c r="C30" s="12"/>
      <c r="D30" s="146"/>
      <c r="E30" s="149"/>
      <c r="F30" s="8"/>
      <c r="G30" s="11"/>
      <c r="H30" s="11"/>
      <c r="I30" s="23"/>
      <c r="J30" s="23"/>
      <c r="K30" s="1"/>
      <c r="L30" s="11"/>
      <c r="M30" s="11"/>
    </row>
    <row r="31" spans="3:13" ht="26.25" customHeight="1" thickBot="1">
      <c r="C31" s="12"/>
      <c r="D31" s="146"/>
      <c r="E31" s="149"/>
      <c r="F31" s="8"/>
      <c r="G31" s="11"/>
      <c r="H31" s="11"/>
      <c r="I31" s="23"/>
      <c r="J31" s="23"/>
      <c r="K31" s="1"/>
      <c r="L31" s="11"/>
      <c r="M31" s="11"/>
    </row>
    <row r="32" spans="3:13" ht="26.25" customHeight="1" thickBot="1">
      <c r="C32" s="12"/>
      <c r="D32" s="146"/>
      <c r="E32" s="149"/>
      <c r="F32" s="8"/>
      <c r="G32" s="11"/>
      <c r="H32" s="11"/>
      <c r="I32" s="23"/>
      <c r="J32" s="23"/>
      <c r="K32" s="1"/>
      <c r="L32" s="11"/>
      <c r="M32" s="11"/>
    </row>
    <row r="33" spans="3:13" ht="26.25" customHeight="1" thickBot="1">
      <c r="C33" s="12"/>
      <c r="D33" s="146"/>
      <c r="E33" s="149"/>
      <c r="F33" s="8"/>
      <c r="G33" s="11"/>
      <c r="H33" s="11"/>
      <c r="I33" s="23"/>
      <c r="J33" s="23"/>
      <c r="K33" s="1"/>
      <c r="L33" s="11"/>
      <c r="M33" s="11"/>
    </row>
    <row r="34" spans="3:13" ht="26.25" customHeight="1" thickBot="1">
      <c r="C34" s="12"/>
      <c r="D34" s="146"/>
      <c r="E34" s="149"/>
      <c r="F34" s="8"/>
      <c r="G34" s="11"/>
      <c r="H34" s="11"/>
      <c r="I34" s="23"/>
      <c r="J34" s="23"/>
      <c r="K34" s="1"/>
      <c r="L34" s="11"/>
      <c r="M34" s="11"/>
    </row>
    <row r="35" spans="3:13" ht="26.25" customHeight="1" thickBot="1">
      <c r="C35" s="12"/>
      <c r="D35" s="146"/>
      <c r="E35" s="149"/>
      <c r="F35" s="8"/>
      <c r="G35" s="11"/>
      <c r="H35" s="11"/>
      <c r="I35" s="23"/>
      <c r="J35" s="23"/>
      <c r="K35" s="1"/>
      <c r="L35" s="11"/>
      <c r="M35" s="11"/>
    </row>
    <row r="36" spans="3:13" ht="26.25" customHeight="1" thickBot="1">
      <c r="C36" s="12"/>
      <c r="D36" s="146"/>
      <c r="E36" s="149"/>
      <c r="F36" s="8"/>
      <c r="G36" s="11"/>
      <c r="H36" s="11"/>
      <c r="I36" s="23"/>
      <c r="J36" s="23"/>
      <c r="K36" s="1"/>
      <c r="L36" s="11"/>
      <c r="M36" s="11"/>
    </row>
    <row r="37" spans="3:13" ht="26.25" customHeight="1" thickBot="1">
      <c r="C37" s="12"/>
      <c r="D37" s="147"/>
      <c r="E37" s="150"/>
      <c r="F37" s="8"/>
      <c r="G37" s="11"/>
      <c r="H37" s="11"/>
      <c r="I37" s="23"/>
      <c r="J37" s="23"/>
      <c r="K37" s="1"/>
      <c r="L37" s="17"/>
      <c r="M37" s="11"/>
    </row>
  </sheetData>
  <mergeCells count="6">
    <mergeCell ref="C2:J4"/>
    <mergeCell ref="L3:M4"/>
    <mergeCell ref="C5:J5"/>
    <mergeCell ref="D7:D37"/>
    <mergeCell ref="E7:E37"/>
    <mergeCell ref="C7:C13"/>
  </mergeCells>
  <conditionalFormatting sqref="F1:F1048576">
    <cfRule type="containsText" dxfId="76" priority="1" operator="containsText" text="White">
      <formula>NOT(ISERROR(SEARCH("White",F1)))</formula>
    </cfRule>
    <cfRule type="containsText" dxfId="75" priority="2" operator="containsText" text="Brown">
      <formula>NOT(ISERROR(SEARCH("Brown",F1)))</formula>
    </cfRule>
    <cfRule type="containsText" dxfId="74" priority="3" operator="containsText" text="Red">
      <formula>NOT(ISERROR(SEARCH("Red",F1)))</formula>
    </cfRule>
    <cfRule type="containsText" dxfId="73" priority="4" operator="containsText" text="Green">
      <formula>NOT(ISERROR(SEARCH("Green",F1)))</formula>
    </cfRule>
    <cfRule type="containsText" dxfId="72" priority="5" operator="containsText" text="Orange (10)">
      <formula>NOT(ISERROR(SEARCH("Orange (10)",F1)))</formula>
    </cfRule>
    <cfRule type="containsText" dxfId="71" priority="6" operator="containsText" text="Blue">
      <formula>NOT(ISERROR(SEARCH("Blue",F1)))</formula>
    </cfRule>
    <cfRule type="containsText" dxfId="70" priority="7" operator="containsText" text="Purple (10)">
      <formula>NOT(ISERROR(SEARCH("Purple (10)",F1)))</formula>
    </cfRule>
  </conditionalFormatting>
  <dataValidations count="4">
    <dataValidation type="list" allowBlank="1" showInputMessage="1" showErrorMessage="1" sqref="E7:E37" xr:uid="{00000000-0002-0000-0200-000000000000}">
      <formula1>"WithOut"</formula1>
    </dataValidation>
    <dataValidation type="list" allowBlank="1" showInputMessage="1" showErrorMessage="1" sqref="D7:D37" xr:uid="{00000000-0002-0000-0200-000001000000}">
      <formula1>"Sacks"</formula1>
    </dataValidation>
    <dataValidation type="list" allowBlank="1" showInputMessage="1" showErrorMessage="1" sqref="F1:F1048576" xr:uid="{00000000-0002-0000-0200-000002000000}">
      <formula1>"Purple (10), Orange (10),Red,Green,Brown, Blue,White"</formula1>
    </dataValidation>
    <dataValidation type="list" allowBlank="1" showInputMessage="1" showErrorMessage="1" sqref="G1:G1048576" xr:uid="{00000000-0002-0000-0200-000003000000}">
      <formula1>"(75*9),(75*13),(70*45*10)"</formula1>
    </dataValidation>
  </dataValidations>
  <pageMargins left="0.75" right="0.75" top="1" bottom="1" header="0.5" footer="0.5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/>
  </sheetPr>
  <dimension ref="C1:M58"/>
  <sheetViews>
    <sheetView zoomScale="70" zoomScaleNormal="70" workbookViewId="0">
      <selection activeCell="F15" sqref="F15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style="38" customWidth="1"/>
    <col min="12" max="13" width="16.6640625" customWidth="1"/>
  </cols>
  <sheetData>
    <row r="1" spans="3:13" ht="15" thickBot="1">
      <c r="F1" t="s">
        <v>53</v>
      </c>
    </row>
    <row r="2" spans="3:13" ht="26.4" thickBot="1">
      <c r="C2" s="176" t="s">
        <v>7</v>
      </c>
      <c r="D2" s="177"/>
      <c r="E2" s="177"/>
      <c r="F2" s="177"/>
      <c r="G2" s="177"/>
      <c r="H2" s="177"/>
      <c r="I2" s="177"/>
      <c r="J2" s="178"/>
      <c r="K2" s="1"/>
    </row>
    <row r="3" spans="3:13" ht="27.75" customHeight="1" thickBot="1">
      <c r="C3" s="179"/>
      <c r="D3" s="180"/>
      <c r="E3" s="180"/>
      <c r="F3" s="180"/>
      <c r="G3" s="180"/>
      <c r="H3" s="180"/>
      <c r="I3" s="180"/>
      <c r="J3" s="181"/>
      <c r="K3" s="1"/>
      <c r="L3" s="138" t="s">
        <v>16</v>
      </c>
      <c r="M3" s="139"/>
    </row>
    <row r="4" spans="3:13" ht="27.75" customHeight="1" thickTop="1" thickBot="1">
      <c r="C4" s="182"/>
      <c r="D4" s="183"/>
      <c r="E4" s="183"/>
      <c r="F4" s="183"/>
      <c r="G4" s="183"/>
      <c r="H4" s="183"/>
      <c r="I4" s="183"/>
      <c r="J4" s="184"/>
      <c r="K4" s="1"/>
      <c r="L4" s="140"/>
      <c r="M4" s="141"/>
    </row>
    <row r="5" spans="3:13" ht="26.4" thickBot="1">
      <c r="C5" s="142"/>
      <c r="D5" s="143"/>
      <c r="E5" s="143"/>
      <c r="F5" s="143"/>
      <c r="G5" s="143"/>
      <c r="H5" s="143"/>
      <c r="I5" s="143"/>
      <c r="J5" s="144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39" t="s">
        <v>15</v>
      </c>
      <c r="K6" s="1"/>
      <c r="L6" s="3" t="s">
        <v>1</v>
      </c>
      <c r="M6" s="4" t="s">
        <v>0</v>
      </c>
    </row>
    <row r="7" spans="3:13" ht="26.4" thickBot="1">
      <c r="C7" s="151">
        <v>46143</v>
      </c>
      <c r="D7" s="145" t="s">
        <v>18</v>
      </c>
      <c r="E7" s="145" t="s">
        <v>4</v>
      </c>
      <c r="F7" s="22" t="s">
        <v>46</v>
      </c>
      <c r="G7" s="11" t="s">
        <v>29</v>
      </c>
      <c r="H7" s="11"/>
      <c r="I7" s="23">
        <v>28240</v>
      </c>
      <c r="J7" s="23">
        <v>28240</v>
      </c>
      <c r="K7" s="1"/>
      <c r="L7" s="11"/>
      <c r="M7" s="11"/>
    </row>
    <row r="8" spans="3:13" ht="26.4" thickBot="1">
      <c r="C8" s="152"/>
      <c r="D8" s="146"/>
      <c r="E8" s="146"/>
      <c r="F8" s="22" t="s">
        <v>47</v>
      </c>
      <c r="G8" s="11" t="s">
        <v>29</v>
      </c>
      <c r="H8" s="11"/>
      <c r="I8" s="23">
        <v>26500</v>
      </c>
      <c r="J8" s="23">
        <v>26500</v>
      </c>
      <c r="K8" s="1"/>
      <c r="L8" s="11"/>
      <c r="M8" s="11"/>
    </row>
    <row r="9" spans="3:13" ht="26.4" thickBot="1">
      <c r="C9" s="152"/>
      <c r="D9" s="146"/>
      <c r="E9" s="146"/>
      <c r="F9" s="22" t="s">
        <v>48</v>
      </c>
      <c r="G9" s="11" t="s">
        <v>29</v>
      </c>
      <c r="H9" s="11"/>
      <c r="I9" s="23">
        <v>41665</v>
      </c>
      <c r="J9" s="23">
        <v>41660</v>
      </c>
      <c r="K9" s="1"/>
      <c r="L9" s="11"/>
      <c r="M9" s="13"/>
    </row>
    <row r="10" spans="3:13" ht="26.4" thickBot="1">
      <c r="C10" s="152"/>
      <c r="D10" s="146"/>
      <c r="E10" s="146"/>
      <c r="F10" s="22" t="s">
        <v>50</v>
      </c>
      <c r="G10" s="11" t="s">
        <v>29</v>
      </c>
      <c r="H10" s="11"/>
      <c r="I10" s="23">
        <v>10786</v>
      </c>
      <c r="J10" s="23">
        <v>10786</v>
      </c>
      <c r="K10" s="1"/>
      <c r="L10" s="11"/>
      <c r="M10" s="11"/>
    </row>
    <row r="11" spans="3:13" ht="26.4" thickBot="1">
      <c r="C11" s="152"/>
      <c r="D11" s="146"/>
      <c r="E11" s="146"/>
      <c r="F11" s="22" t="s">
        <v>49</v>
      </c>
      <c r="G11" s="11" t="s">
        <v>29</v>
      </c>
      <c r="H11" s="11"/>
      <c r="I11" s="23">
        <v>11219</v>
      </c>
      <c r="J11" s="23">
        <v>11219</v>
      </c>
      <c r="K11" s="1"/>
      <c r="L11" s="11"/>
      <c r="M11" s="11"/>
    </row>
    <row r="12" spans="3:13" ht="26.4" thickBot="1">
      <c r="C12" s="152"/>
      <c r="D12" s="146"/>
      <c r="E12" s="146"/>
      <c r="F12" s="22" t="s">
        <v>51</v>
      </c>
      <c r="G12" s="11" t="s">
        <v>29</v>
      </c>
      <c r="H12" s="11"/>
      <c r="I12" s="23">
        <v>10090</v>
      </c>
      <c r="J12" s="23">
        <v>10090</v>
      </c>
      <c r="K12" s="1"/>
      <c r="L12" s="11"/>
      <c r="M12" s="11"/>
    </row>
    <row r="13" spans="3:13" ht="26.4" thickBot="1">
      <c r="C13" s="152"/>
      <c r="D13" s="146"/>
      <c r="E13" s="146"/>
      <c r="F13" s="22" t="s">
        <v>52</v>
      </c>
      <c r="G13" s="11" t="s">
        <v>29</v>
      </c>
      <c r="H13" s="11"/>
      <c r="I13" s="23">
        <v>30933</v>
      </c>
      <c r="J13" s="23">
        <v>30933</v>
      </c>
      <c r="K13" s="1"/>
      <c r="L13" s="11"/>
      <c r="M13" s="11"/>
    </row>
    <row r="14" spans="3:13" ht="26.4" thickBot="1">
      <c r="C14" s="152"/>
      <c r="D14" s="146"/>
      <c r="E14" s="146"/>
      <c r="F14" s="22" t="s">
        <v>54</v>
      </c>
      <c r="G14" s="11" t="s">
        <v>29</v>
      </c>
      <c r="H14" s="11"/>
      <c r="I14" s="23">
        <v>10095</v>
      </c>
      <c r="J14" s="23">
        <v>10095</v>
      </c>
      <c r="K14" s="1"/>
      <c r="L14" s="11"/>
      <c r="M14" s="11"/>
    </row>
    <row r="15" spans="3:13" ht="26.4" thickBot="1">
      <c r="C15" s="153"/>
      <c r="D15" s="146"/>
      <c r="E15" s="146"/>
      <c r="F15" s="22" t="s">
        <v>55</v>
      </c>
      <c r="G15" s="11" t="s">
        <v>29</v>
      </c>
      <c r="H15" s="11"/>
      <c r="I15" s="23">
        <v>2918</v>
      </c>
      <c r="J15" s="23">
        <v>2918</v>
      </c>
      <c r="K15" s="1"/>
      <c r="L15" s="11"/>
      <c r="M15" s="11"/>
    </row>
    <row r="16" spans="3:13" ht="26.4" thickBot="1">
      <c r="C16" s="50"/>
      <c r="D16" s="146"/>
      <c r="E16" s="146"/>
      <c r="F16" s="48"/>
      <c r="G16" s="48"/>
      <c r="H16" s="48"/>
      <c r="I16" s="49"/>
      <c r="J16" s="49"/>
      <c r="K16" s="1"/>
      <c r="L16" s="51"/>
      <c r="M16" s="52"/>
    </row>
    <row r="17" spans="3:13" ht="26.4" thickBot="1">
      <c r="C17" s="12">
        <v>46144</v>
      </c>
      <c r="D17" s="146"/>
      <c r="E17" s="146"/>
      <c r="F17" s="22" t="s">
        <v>48</v>
      </c>
      <c r="G17" s="11" t="s">
        <v>29</v>
      </c>
      <c r="H17" s="11" t="s">
        <v>66</v>
      </c>
      <c r="I17" s="23">
        <v>41660</v>
      </c>
      <c r="J17" s="23">
        <v>41655</v>
      </c>
      <c r="K17" s="1"/>
      <c r="L17" s="11"/>
      <c r="M17" s="11"/>
    </row>
    <row r="18" spans="3:13" ht="26.4" thickBot="1">
      <c r="C18" s="50"/>
      <c r="D18" s="146"/>
      <c r="E18" s="146"/>
      <c r="F18" s="60"/>
      <c r="G18" s="51"/>
      <c r="H18" s="51"/>
      <c r="I18" s="61"/>
      <c r="J18" s="61"/>
      <c r="K18" s="1"/>
      <c r="L18" s="51"/>
      <c r="M18" s="51"/>
    </row>
    <row r="19" spans="3:13" ht="26.4" thickBot="1">
      <c r="C19" s="68">
        <v>46145</v>
      </c>
      <c r="D19" s="146"/>
      <c r="E19" s="146"/>
      <c r="F19" s="70"/>
      <c r="G19" s="69"/>
      <c r="H19" s="69"/>
      <c r="I19" s="71"/>
      <c r="J19" s="71"/>
      <c r="K19" s="1"/>
      <c r="L19" s="69"/>
      <c r="M19" s="69"/>
    </row>
    <row r="20" spans="3:13" ht="26.4" thickBot="1">
      <c r="C20" s="50"/>
      <c r="D20" s="146"/>
      <c r="E20" s="146"/>
      <c r="F20" s="60"/>
      <c r="G20" s="51"/>
      <c r="H20" s="51"/>
      <c r="I20" s="61"/>
      <c r="J20" s="61"/>
      <c r="K20" s="1"/>
      <c r="L20" s="51"/>
      <c r="M20" s="51"/>
    </row>
    <row r="21" spans="3:13" ht="26.25" customHeight="1" thickBot="1">
      <c r="C21" s="151">
        <v>46146</v>
      </c>
      <c r="D21" s="146"/>
      <c r="E21" s="146"/>
      <c r="F21" s="22" t="s">
        <v>52</v>
      </c>
      <c r="G21" s="11" t="s">
        <v>29</v>
      </c>
      <c r="H21" s="11" t="s">
        <v>66</v>
      </c>
      <c r="I21" s="23">
        <v>30933</v>
      </c>
      <c r="J21" s="23">
        <v>30928</v>
      </c>
      <c r="K21" s="1"/>
      <c r="L21" s="11"/>
      <c r="M21" s="11"/>
    </row>
    <row r="22" spans="3:13" ht="26.25" customHeight="1" thickBot="1">
      <c r="C22" s="152"/>
      <c r="D22" s="146"/>
      <c r="E22" s="146"/>
      <c r="F22" s="22" t="s">
        <v>49</v>
      </c>
      <c r="G22" s="11" t="s">
        <v>29</v>
      </c>
      <c r="H22" s="11" t="s">
        <v>66</v>
      </c>
      <c r="I22" s="23">
        <v>11219</v>
      </c>
      <c r="J22" s="23">
        <v>10009</v>
      </c>
      <c r="K22" s="1"/>
      <c r="L22" s="11"/>
      <c r="M22" s="11"/>
    </row>
    <row r="23" spans="3:13" ht="26.25" customHeight="1" thickBot="1">
      <c r="C23" s="152"/>
      <c r="D23" s="146"/>
      <c r="E23" s="146"/>
      <c r="F23" s="22" t="s">
        <v>52</v>
      </c>
      <c r="G23" s="11" t="s">
        <v>29</v>
      </c>
      <c r="H23" s="11" t="s">
        <v>66</v>
      </c>
      <c r="I23" s="23">
        <v>30928</v>
      </c>
      <c r="J23" s="23">
        <v>30854</v>
      </c>
      <c r="K23" s="1"/>
      <c r="L23" s="11"/>
      <c r="M23" s="11"/>
    </row>
    <row r="24" spans="3:13" ht="26.25" customHeight="1" thickBot="1">
      <c r="C24" s="152"/>
      <c r="D24" s="146"/>
      <c r="E24" s="146"/>
      <c r="F24" s="22" t="s">
        <v>52</v>
      </c>
      <c r="G24" s="11" t="s">
        <v>29</v>
      </c>
      <c r="H24" s="11" t="s">
        <v>66</v>
      </c>
      <c r="I24" s="23">
        <v>30854</v>
      </c>
      <c r="J24" s="23">
        <v>30829</v>
      </c>
      <c r="K24" s="1"/>
      <c r="L24" s="11"/>
      <c r="M24" s="11"/>
    </row>
    <row r="25" spans="3:13" ht="26.25" customHeight="1" thickBot="1">
      <c r="C25" s="152"/>
      <c r="D25" s="146"/>
      <c r="E25" s="146"/>
      <c r="F25" s="22" t="s">
        <v>46</v>
      </c>
      <c r="G25" s="11" t="s">
        <v>29</v>
      </c>
      <c r="H25" s="11" t="s">
        <v>66</v>
      </c>
      <c r="I25" s="23">
        <v>28240</v>
      </c>
      <c r="J25" s="23">
        <v>28035</v>
      </c>
      <c r="K25" s="1"/>
      <c r="L25" s="11"/>
      <c r="M25" s="11"/>
    </row>
    <row r="26" spans="3:13" ht="26.25" customHeight="1" thickBot="1">
      <c r="C26" s="152"/>
      <c r="D26" s="146"/>
      <c r="E26" s="146"/>
      <c r="F26" s="22" t="s">
        <v>52</v>
      </c>
      <c r="G26" s="11" t="s">
        <v>29</v>
      </c>
      <c r="H26" s="11" t="s">
        <v>66</v>
      </c>
      <c r="I26" s="23">
        <v>30829</v>
      </c>
      <c r="J26" s="23">
        <v>27224</v>
      </c>
      <c r="K26" s="1"/>
      <c r="L26" s="11"/>
      <c r="M26" s="11"/>
    </row>
    <row r="27" spans="3:13" ht="26.25" customHeight="1" thickBot="1">
      <c r="C27" s="152"/>
      <c r="D27" s="146"/>
      <c r="E27" s="146"/>
      <c r="F27" s="22" t="s">
        <v>47</v>
      </c>
      <c r="G27" s="11" t="s">
        <v>29</v>
      </c>
      <c r="H27" s="11" t="s">
        <v>66</v>
      </c>
      <c r="I27" s="23">
        <v>26500</v>
      </c>
      <c r="J27" s="23">
        <v>25695</v>
      </c>
      <c r="K27" s="1"/>
      <c r="L27" s="11"/>
      <c r="M27" s="11"/>
    </row>
    <row r="28" spans="3:13" ht="26.25" customHeight="1" thickBot="1">
      <c r="C28" s="152"/>
      <c r="D28" s="146"/>
      <c r="E28" s="146"/>
      <c r="F28" s="22" t="s">
        <v>54</v>
      </c>
      <c r="G28" s="11" t="s">
        <v>29</v>
      </c>
      <c r="H28" s="11" t="s">
        <v>66</v>
      </c>
      <c r="I28" s="23">
        <v>10095</v>
      </c>
      <c r="J28" s="23">
        <v>7890</v>
      </c>
      <c r="K28" s="1"/>
      <c r="L28" s="11"/>
      <c r="M28" s="11"/>
    </row>
    <row r="29" spans="3:13" ht="26.25" customHeight="1" thickBot="1">
      <c r="C29" s="152"/>
      <c r="D29" s="146"/>
      <c r="E29" s="146"/>
      <c r="F29" s="22" t="s">
        <v>52</v>
      </c>
      <c r="G29" s="11" t="s">
        <v>29</v>
      </c>
      <c r="H29" s="11" t="s">
        <v>66</v>
      </c>
      <c r="I29" s="23">
        <v>27224</v>
      </c>
      <c r="J29" s="23">
        <v>27217</v>
      </c>
      <c r="K29" s="1"/>
      <c r="L29" s="11"/>
      <c r="M29" s="11"/>
    </row>
    <row r="30" spans="3:13" ht="26.25" customHeight="1" thickBot="1">
      <c r="C30" s="152"/>
      <c r="D30" s="146"/>
      <c r="E30" s="146"/>
      <c r="F30" s="22" t="s">
        <v>52</v>
      </c>
      <c r="G30" s="11" t="s">
        <v>29</v>
      </c>
      <c r="H30" s="11" t="s">
        <v>66</v>
      </c>
      <c r="I30" s="23">
        <v>27217</v>
      </c>
      <c r="J30" s="23">
        <v>21212</v>
      </c>
      <c r="K30" s="1"/>
      <c r="L30" s="11"/>
      <c r="M30" s="13"/>
    </row>
    <row r="31" spans="3:13" ht="26.25" customHeight="1" thickBot="1">
      <c r="C31" s="153"/>
      <c r="D31" s="146"/>
      <c r="E31" s="146"/>
      <c r="F31" s="22" t="s">
        <v>49</v>
      </c>
      <c r="G31" s="11" t="s">
        <v>29</v>
      </c>
      <c r="H31" s="11" t="s">
        <v>66</v>
      </c>
      <c r="I31" s="23">
        <v>10009</v>
      </c>
      <c r="J31" s="23">
        <v>8004</v>
      </c>
      <c r="K31" s="1"/>
      <c r="L31" s="11"/>
      <c r="M31" s="11"/>
    </row>
    <row r="32" spans="3:13" ht="26.25" customHeight="1" thickBot="1">
      <c r="C32" s="50"/>
      <c r="D32" s="146"/>
      <c r="E32" s="146"/>
      <c r="F32" s="60"/>
      <c r="G32" s="51"/>
      <c r="H32" s="51"/>
      <c r="I32" s="61"/>
      <c r="J32" s="61"/>
      <c r="K32" s="1"/>
      <c r="L32" s="51"/>
      <c r="M32" s="51"/>
    </row>
    <row r="33" spans="3:13" ht="26.25" customHeight="1" thickBot="1">
      <c r="C33" s="151">
        <v>46147</v>
      </c>
      <c r="D33" s="146"/>
      <c r="E33" s="146"/>
      <c r="F33" s="22" t="s">
        <v>52</v>
      </c>
      <c r="G33" s="11" t="s">
        <v>29</v>
      </c>
      <c r="H33" s="11" t="s">
        <v>66</v>
      </c>
      <c r="I33" s="23">
        <v>21212</v>
      </c>
      <c r="J33" s="23">
        <v>21187</v>
      </c>
      <c r="K33" s="1"/>
      <c r="L33" s="11"/>
      <c r="M33" s="11"/>
    </row>
    <row r="34" spans="3:13" ht="26.25" customHeight="1" thickBot="1">
      <c r="C34" s="153"/>
      <c r="D34" s="146"/>
      <c r="E34" s="146"/>
      <c r="F34" s="22" t="s">
        <v>54</v>
      </c>
      <c r="G34" s="11" t="s">
        <v>29</v>
      </c>
      <c r="H34" s="11" t="s">
        <v>66</v>
      </c>
      <c r="I34" s="23">
        <v>7890</v>
      </c>
      <c r="J34" s="23">
        <v>7880</v>
      </c>
      <c r="K34" s="1"/>
      <c r="L34" s="11"/>
      <c r="M34" s="11"/>
    </row>
    <row r="35" spans="3:13" ht="26.25" customHeight="1" thickBot="1">
      <c r="C35" s="50"/>
      <c r="D35" s="146"/>
      <c r="E35" s="146"/>
      <c r="F35" s="60"/>
      <c r="G35" s="51"/>
      <c r="H35" s="51"/>
      <c r="I35" s="61"/>
      <c r="J35" s="61"/>
      <c r="K35" s="1"/>
      <c r="L35" s="60"/>
      <c r="M35" s="60"/>
    </row>
    <row r="36" spans="3:13" ht="26.25" customHeight="1" thickBot="1">
      <c r="C36" s="12">
        <v>46148</v>
      </c>
      <c r="D36" s="146"/>
      <c r="E36" s="146"/>
      <c r="F36" s="22" t="s">
        <v>54</v>
      </c>
      <c r="G36" s="11" t="s">
        <v>29</v>
      </c>
      <c r="H36" s="11" t="s">
        <v>66</v>
      </c>
      <c r="I36" s="23">
        <v>7880</v>
      </c>
      <c r="J36" s="23">
        <v>7799</v>
      </c>
      <c r="K36" s="1"/>
      <c r="L36" s="11"/>
      <c r="M36" s="11"/>
    </row>
    <row r="37" spans="3:13" ht="26.25" customHeight="1" thickBot="1">
      <c r="C37" s="12"/>
      <c r="D37" s="146"/>
      <c r="E37" s="146"/>
      <c r="F37" s="94" t="s">
        <v>46</v>
      </c>
      <c r="G37" s="11" t="s">
        <v>29</v>
      </c>
      <c r="H37" s="11" t="s">
        <v>66</v>
      </c>
      <c r="I37" s="23">
        <v>28035</v>
      </c>
      <c r="J37" s="23">
        <v>28028</v>
      </c>
      <c r="K37" s="1"/>
      <c r="L37" s="11"/>
      <c r="M37" s="11"/>
    </row>
    <row r="38" spans="3:13" ht="26.25" customHeight="1" thickBot="1">
      <c r="C38" s="12">
        <v>46149</v>
      </c>
      <c r="D38" s="146"/>
      <c r="E38" s="146"/>
      <c r="F38" s="22" t="s">
        <v>50</v>
      </c>
      <c r="G38" s="11" t="s">
        <v>29</v>
      </c>
      <c r="H38" s="11" t="s">
        <v>66</v>
      </c>
      <c r="I38" s="89">
        <v>10786</v>
      </c>
      <c r="J38" s="90">
        <v>9181</v>
      </c>
      <c r="L38" s="88"/>
      <c r="M38" s="88"/>
    </row>
    <row r="39" spans="3:13" ht="26.25" customHeight="1" thickBot="1">
      <c r="C39" s="88"/>
      <c r="D39" s="146"/>
      <c r="E39" s="146"/>
      <c r="F39" s="22" t="s">
        <v>46</v>
      </c>
      <c r="G39" s="11" t="s">
        <v>29</v>
      </c>
      <c r="H39" s="11" t="s">
        <v>66</v>
      </c>
      <c r="I39" s="89">
        <v>28028</v>
      </c>
      <c r="J39" s="90">
        <v>27023</v>
      </c>
      <c r="L39" s="88"/>
      <c r="M39" s="88"/>
    </row>
    <row r="40" spans="3:13" ht="26.25" customHeight="1" thickBot="1">
      <c r="C40" s="88"/>
      <c r="D40" s="146"/>
      <c r="E40" s="146"/>
      <c r="F40" s="22" t="s">
        <v>54</v>
      </c>
      <c r="G40" s="11" t="s">
        <v>29</v>
      </c>
      <c r="H40" s="11" t="s">
        <v>66</v>
      </c>
      <c r="I40" s="89">
        <v>7799</v>
      </c>
      <c r="J40" s="90">
        <v>7194</v>
      </c>
      <c r="L40" s="88"/>
      <c r="M40" s="88"/>
    </row>
    <row r="41" spans="3:13" ht="26.25" customHeight="1" thickBot="1">
      <c r="C41" s="88"/>
      <c r="D41" s="146"/>
      <c r="E41" s="146"/>
      <c r="F41" s="22" t="s">
        <v>50</v>
      </c>
      <c r="G41" s="11" t="s">
        <v>29</v>
      </c>
      <c r="H41" s="11" t="s">
        <v>66</v>
      </c>
      <c r="I41" s="89">
        <v>9181</v>
      </c>
      <c r="J41" s="90">
        <v>9176</v>
      </c>
      <c r="L41" s="88"/>
      <c r="M41" s="88"/>
    </row>
    <row r="42" spans="3:13" ht="26.25" customHeight="1" thickBot="1">
      <c r="C42" s="88"/>
      <c r="D42" s="146"/>
      <c r="E42" s="146"/>
      <c r="F42" s="22" t="s">
        <v>46</v>
      </c>
      <c r="G42" s="11" t="s">
        <v>29</v>
      </c>
      <c r="H42" s="11" t="s">
        <v>66</v>
      </c>
      <c r="I42" s="89">
        <v>27023</v>
      </c>
      <c r="J42" s="90">
        <v>27016</v>
      </c>
      <c r="L42" s="88"/>
      <c r="M42" s="88"/>
    </row>
    <row r="43" spans="3:13" ht="26.25" customHeight="1" thickBot="1">
      <c r="C43" s="88"/>
      <c r="D43" s="146"/>
      <c r="E43" s="146"/>
      <c r="F43" s="89"/>
      <c r="G43" s="89"/>
      <c r="H43" s="89"/>
      <c r="I43" s="89"/>
      <c r="J43" s="90"/>
      <c r="L43" s="88"/>
      <c r="M43" s="88"/>
    </row>
    <row r="44" spans="3:13" ht="26.25" customHeight="1" thickBot="1">
      <c r="C44" s="88"/>
      <c r="D44" s="146"/>
      <c r="E44" s="146"/>
      <c r="F44" s="89"/>
      <c r="G44" s="89"/>
      <c r="H44" s="89"/>
      <c r="I44" s="89"/>
      <c r="J44" s="90"/>
      <c r="L44" s="88"/>
      <c r="M44" s="88"/>
    </row>
    <row r="45" spans="3:13" ht="26.25" customHeight="1" thickBot="1">
      <c r="C45" s="88"/>
      <c r="D45" s="146"/>
      <c r="E45" s="146"/>
      <c r="F45" s="89"/>
      <c r="G45" s="89"/>
      <c r="H45" s="89"/>
      <c r="I45" s="89"/>
      <c r="J45" s="90"/>
      <c r="L45" s="88"/>
      <c r="M45" s="88"/>
    </row>
    <row r="46" spans="3:13" ht="26.25" customHeight="1" thickBot="1">
      <c r="C46" s="88"/>
      <c r="D46" s="146"/>
      <c r="E46" s="146"/>
      <c r="F46" s="89"/>
      <c r="G46" s="89"/>
      <c r="H46" s="89"/>
      <c r="I46" s="89"/>
      <c r="J46" s="90"/>
      <c r="L46" s="88"/>
      <c r="M46" s="88"/>
    </row>
    <row r="47" spans="3:13" ht="26.25" customHeight="1" thickBot="1">
      <c r="C47" s="88"/>
      <c r="D47" s="146"/>
      <c r="E47" s="146"/>
      <c r="F47" s="89"/>
      <c r="G47" s="89"/>
      <c r="H47" s="89"/>
      <c r="I47" s="89"/>
      <c r="J47" s="90"/>
      <c r="L47" s="88"/>
      <c r="M47" s="88"/>
    </row>
    <row r="48" spans="3:13" ht="26.25" customHeight="1" thickBot="1">
      <c r="C48" s="88"/>
      <c r="D48" s="146"/>
      <c r="E48" s="146"/>
      <c r="F48" s="89"/>
      <c r="G48" s="89"/>
      <c r="H48" s="89"/>
      <c r="I48" s="89"/>
      <c r="J48" s="90"/>
      <c r="L48" s="88"/>
      <c r="M48" s="88"/>
    </row>
    <row r="49" spans="3:13" ht="26.25" customHeight="1" thickBot="1">
      <c r="C49" s="88"/>
      <c r="D49" s="146"/>
      <c r="E49" s="146"/>
      <c r="F49" s="89"/>
      <c r="G49" s="89"/>
      <c r="H49" s="89"/>
      <c r="I49" s="89"/>
      <c r="J49" s="90"/>
      <c r="L49" s="88"/>
      <c r="M49" s="88"/>
    </row>
    <row r="50" spans="3:13" ht="26.25" customHeight="1" thickBot="1">
      <c r="C50" s="88"/>
      <c r="D50" s="146"/>
      <c r="E50" s="146"/>
      <c r="F50" s="89"/>
      <c r="G50" s="89"/>
      <c r="H50" s="89"/>
      <c r="I50" s="89"/>
      <c r="J50" s="90"/>
    </row>
    <row r="51" spans="3:13" ht="26.25" customHeight="1" thickBot="1">
      <c r="C51" s="88"/>
      <c r="D51" s="146"/>
      <c r="E51" s="146"/>
      <c r="F51" s="89"/>
      <c r="G51" s="89"/>
      <c r="H51" s="89"/>
      <c r="I51" s="89"/>
      <c r="J51" s="90"/>
    </row>
    <row r="52" spans="3:13" ht="26.25" customHeight="1" thickBot="1">
      <c r="C52" s="88"/>
      <c r="D52" s="146"/>
      <c r="E52" s="146"/>
      <c r="F52" s="89"/>
      <c r="G52" s="89"/>
      <c r="H52" s="89"/>
      <c r="I52" s="89"/>
      <c r="J52" s="90"/>
    </row>
    <row r="53" spans="3:13" ht="26.25" customHeight="1" thickBot="1">
      <c r="C53" s="88"/>
      <c r="D53" s="146"/>
      <c r="E53" s="146"/>
      <c r="F53" s="89"/>
      <c r="G53" s="89"/>
      <c r="H53" s="89"/>
      <c r="I53" s="89"/>
      <c r="J53" s="90"/>
    </row>
    <row r="54" spans="3:13" ht="26.25" customHeight="1" thickBot="1">
      <c r="C54" s="88"/>
      <c r="D54" s="146"/>
      <c r="E54" s="146"/>
      <c r="F54" s="89"/>
      <c r="G54" s="89"/>
      <c r="H54" s="89"/>
      <c r="I54" s="89"/>
      <c r="J54" s="90"/>
    </row>
    <row r="55" spans="3:13" ht="26.25" customHeight="1" thickBot="1">
      <c r="C55" s="88"/>
      <c r="D55" s="146"/>
      <c r="E55" s="146"/>
      <c r="F55" s="89"/>
      <c r="G55" s="89"/>
      <c r="H55" s="89"/>
      <c r="I55" s="89"/>
      <c r="J55" s="90"/>
    </row>
    <row r="56" spans="3:13" ht="26.25" customHeight="1" thickBot="1">
      <c r="C56" s="88"/>
      <c r="D56" s="146"/>
      <c r="E56" s="146"/>
      <c r="F56" s="89"/>
      <c r="G56" s="89"/>
      <c r="H56" s="89"/>
      <c r="I56" s="89"/>
      <c r="J56" s="90"/>
    </row>
    <row r="57" spans="3:13" ht="26.25" customHeight="1" thickBot="1">
      <c r="C57" s="88"/>
      <c r="D57" s="146"/>
      <c r="E57" s="146"/>
      <c r="F57" s="89"/>
      <c r="G57" s="89"/>
      <c r="H57" s="89"/>
      <c r="I57" s="89"/>
      <c r="J57" s="90"/>
    </row>
    <row r="58" spans="3:13" ht="26.25" customHeight="1" thickBot="1">
      <c r="C58" s="88"/>
      <c r="D58" s="147"/>
      <c r="E58" s="147"/>
      <c r="F58" s="89"/>
      <c r="G58" s="89"/>
      <c r="H58" s="89"/>
      <c r="I58" s="89"/>
      <c r="J58" s="90"/>
    </row>
  </sheetData>
  <mergeCells count="8">
    <mergeCell ref="C2:J4"/>
    <mergeCell ref="L3:M4"/>
    <mergeCell ref="C5:J5"/>
    <mergeCell ref="C7:C15"/>
    <mergeCell ref="C21:C31"/>
    <mergeCell ref="E7:E58"/>
    <mergeCell ref="D7:D58"/>
    <mergeCell ref="C33:C34"/>
  </mergeCells>
  <conditionalFormatting sqref="F1:F1048576">
    <cfRule type="containsText" dxfId="69" priority="1" operator="containsText" text="Red Popp">
      <formula>NOT(ISERROR(SEARCH("Red Popp",F1)))</formula>
    </cfRule>
    <cfRule type="containsText" dxfId="68" priority="2" operator="containsText" text="Purple Popp">
      <formula>NOT(ISERROR(SEARCH("Purple Popp",F1)))</formula>
    </cfRule>
    <cfRule type="containsText" dxfId="67" priority="3" operator="containsText" text="Purple (Fish)">
      <formula>NOT(ISERROR(SEARCH("Purple (Fish)",F1)))</formula>
    </cfRule>
    <cfRule type="containsText" dxfId="66" priority="4" operator="containsText" text="Blue Purple(1C)">
      <formula>NOT(ISERROR(SEARCH("Blue Purple(1C)",F1)))</formula>
    </cfRule>
    <cfRule type="containsText" dxfId="65" priority="5" operator="containsText" text="Purple Dark Blue(1B)">
      <formula>NOT(ISERROR(SEARCH("Purple Dark Blue(1B)",F1)))</formula>
    </cfRule>
    <cfRule type="containsText" dxfId="64" priority="6" operator="containsText" text="Blue Gray(1A)">
      <formula>NOT(ISERROR(SEARCH("Blue Gray(1A)",F1)))</formula>
    </cfRule>
    <cfRule type="containsText" dxfId="63" priority="7" operator="containsText" text="Blue Black(1H)">
      <formula>NOT(ISERROR(SEARCH("Blue Black(1H)",F1)))</formula>
    </cfRule>
    <cfRule type="containsText" dxfId="62" priority="8" operator="containsText" text="Red Dark Blue(1E)">
      <formula>NOT(ISERROR(SEARCH("Red Dark Blue(1E)",F1)))</formula>
    </cfRule>
    <cfRule type="containsText" dxfId="61" priority="9" operator="containsText" text="Blue Green(1J)">
      <formula>NOT(ISERROR(SEARCH("Blue Green(1J)",F1)))</formula>
    </cfRule>
    <cfRule type="containsText" dxfId="60" priority="10" operator="containsText" text="Red Black(1i)">
      <formula>NOT(ISERROR(SEARCH("Red Black(1i)",F1)))</formula>
    </cfRule>
    <cfRule type="containsText" dxfId="59" priority="11" operator="containsText" text="Green Black(GB)">
      <formula>NOT(ISERROR(SEARCH("Green Black(GB)",F1)))</formula>
    </cfRule>
  </conditionalFormatting>
  <dataValidations count="4">
    <dataValidation type="list" allowBlank="1" showInputMessage="1" showErrorMessage="1" sqref="G1:G5 G7:G1048576" xr:uid="{00000000-0002-0000-0300-000000000000}">
      <formula1>"(75*9),(75*13),(70*45)"</formula1>
    </dataValidation>
    <dataValidation type="list" allowBlank="1" showInputMessage="1" showErrorMessage="1" sqref="E7" xr:uid="{00000000-0002-0000-0300-000001000000}">
      <formula1>"Koptimix"</formula1>
    </dataValidation>
    <dataValidation type="list" allowBlank="1" showInputMessage="1" showErrorMessage="1" sqref="F1:F5 F7:F1048576" xr:uid="{00000000-0002-0000-0300-000002000000}">
      <formula1>"Green Black(GB), Red Black(1i), Blue Green(1J), Red Dark Blue(1E), Blue Black(1H), Blue Gray(1A), Purple Dark Blue(1B), Blue Purple(1C), Purple (Fish), Purple Popp, Red Popp"</formula1>
    </dataValidation>
    <dataValidation type="list" allowBlank="1" showInputMessage="1" showErrorMessage="1" sqref="D7" xr:uid="{00000000-0002-0000-0300-000003000000}">
      <formula1>"Sacks"</formula1>
    </dataValidation>
  </dataValidations>
  <pageMargins left="0.75" right="0.75" top="1" bottom="1" header="0.5" footer="0.5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0"/>
  </sheetPr>
  <dimension ref="C1:M37"/>
  <sheetViews>
    <sheetView tabSelected="1" topLeftCell="A15" zoomScale="70" zoomScaleNormal="70" workbookViewId="0">
      <selection activeCell="M32" sqref="M32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style="38" customWidth="1"/>
    <col min="12" max="13" width="16.6640625" customWidth="1"/>
  </cols>
  <sheetData>
    <row r="1" spans="3:13" ht="15" thickBot="1">
      <c r="F1" t="s">
        <v>53</v>
      </c>
    </row>
    <row r="2" spans="3:13" ht="26.4" thickBot="1">
      <c r="C2" s="185" t="s">
        <v>7</v>
      </c>
      <c r="D2" s="186"/>
      <c r="E2" s="186"/>
      <c r="F2" s="186"/>
      <c r="G2" s="186"/>
      <c r="H2" s="186"/>
      <c r="I2" s="186"/>
      <c r="J2" s="187"/>
      <c r="K2" s="1"/>
    </row>
    <row r="3" spans="3:13" ht="27.75" customHeight="1" thickBot="1">
      <c r="C3" s="188"/>
      <c r="D3" s="189"/>
      <c r="E3" s="189"/>
      <c r="F3" s="189"/>
      <c r="G3" s="189"/>
      <c r="H3" s="189"/>
      <c r="I3" s="189"/>
      <c r="J3" s="190"/>
      <c r="K3" s="1"/>
      <c r="L3" s="138" t="s">
        <v>16</v>
      </c>
      <c r="M3" s="139"/>
    </row>
    <row r="4" spans="3:13" ht="27.75" customHeight="1" thickTop="1" thickBot="1">
      <c r="C4" s="191"/>
      <c r="D4" s="192"/>
      <c r="E4" s="192"/>
      <c r="F4" s="192"/>
      <c r="G4" s="192"/>
      <c r="H4" s="192"/>
      <c r="I4" s="192"/>
      <c r="J4" s="193"/>
      <c r="K4" s="1"/>
      <c r="L4" s="140"/>
      <c r="M4" s="141"/>
    </row>
    <row r="5" spans="3:13" ht="26.4" thickBot="1">
      <c r="C5" s="142"/>
      <c r="D5" s="143"/>
      <c r="E5" s="143"/>
      <c r="F5" s="143"/>
      <c r="G5" s="143"/>
      <c r="H5" s="143"/>
      <c r="I5" s="143"/>
      <c r="J5" s="144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39" t="s">
        <v>15</v>
      </c>
      <c r="K6" s="1"/>
      <c r="L6" s="3" t="s">
        <v>1</v>
      </c>
      <c r="M6" s="4" t="s">
        <v>0</v>
      </c>
    </row>
    <row r="7" spans="3:13" ht="26.4" thickBot="1">
      <c r="C7" s="151">
        <v>46143</v>
      </c>
      <c r="D7" s="145" t="s">
        <v>18</v>
      </c>
      <c r="E7" s="148" t="s">
        <v>60</v>
      </c>
      <c r="F7" s="22" t="s">
        <v>61</v>
      </c>
      <c r="G7" s="11"/>
      <c r="H7" s="11" t="s">
        <v>63</v>
      </c>
      <c r="I7" s="23">
        <v>6208</v>
      </c>
      <c r="J7" s="23">
        <v>6208</v>
      </c>
      <c r="K7" s="1"/>
      <c r="L7" s="11"/>
      <c r="M7" s="11"/>
    </row>
    <row r="8" spans="3:13" ht="26.4" thickBot="1">
      <c r="C8" s="152"/>
      <c r="D8" s="146"/>
      <c r="E8" s="149"/>
      <c r="F8" s="22" t="s">
        <v>64</v>
      </c>
      <c r="G8" s="11"/>
      <c r="H8" s="11" t="s">
        <v>63</v>
      </c>
      <c r="I8" s="23">
        <v>7150</v>
      </c>
      <c r="J8" s="23">
        <v>7150</v>
      </c>
      <c r="K8" s="1"/>
      <c r="L8" s="11"/>
      <c r="M8" s="11"/>
    </row>
    <row r="9" spans="3:13" ht="26.4" thickBot="1">
      <c r="C9" s="152"/>
      <c r="D9" s="146"/>
      <c r="E9" s="149"/>
      <c r="F9" s="22" t="s">
        <v>65</v>
      </c>
      <c r="G9" s="11"/>
      <c r="H9" s="11" t="s">
        <v>66</v>
      </c>
      <c r="I9" s="23">
        <v>7092</v>
      </c>
      <c r="J9" s="23">
        <v>7092</v>
      </c>
      <c r="K9" s="1"/>
      <c r="L9" s="11"/>
      <c r="M9" s="13"/>
    </row>
    <row r="10" spans="3:13" ht="26.4" thickBot="1">
      <c r="C10" s="152"/>
      <c r="D10" s="146"/>
      <c r="E10" s="149"/>
      <c r="F10" s="22" t="s">
        <v>67</v>
      </c>
      <c r="G10" s="11"/>
      <c r="H10" s="11" t="s">
        <v>66</v>
      </c>
      <c r="I10" s="23" t="s">
        <v>44</v>
      </c>
      <c r="J10" s="23"/>
      <c r="K10" s="1"/>
      <c r="L10" s="11"/>
      <c r="M10" s="11"/>
    </row>
    <row r="11" spans="3:13" ht="26.4" thickBot="1">
      <c r="C11" s="152"/>
      <c r="D11" s="146"/>
      <c r="E11" s="149"/>
      <c r="F11" s="22" t="s">
        <v>68</v>
      </c>
      <c r="G11" s="11"/>
      <c r="H11" s="11" t="s">
        <v>69</v>
      </c>
      <c r="I11" s="23">
        <v>430</v>
      </c>
      <c r="J11" s="23">
        <v>425</v>
      </c>
      <c r="K11" s="1"/>
      <c r="L11" s="11"/>
      <c r="M11" s="11"/>
    </row>
    <row r="12" spans="3:13" ht="26.4" thickBot="1">
      <c r="C12" s="152"/>
      <c r="D12" s="146"/>
      <c r="E12" s="149"/>
      <c r="F12" s="22" t="s">
        <v>36</v>
      </c>
      <c r="G12" s="11"/>
      <c r="H12" s="11" t="s">
        <v>63</v>
      </c>
      <c r="I12" s="23">
        <v>10000</v>
      </c>
      <c r="J12" s="23">
        <v>10000</v>
      </c>
      <c r="K12" s="1"/>
      <c r="L12" s="11"/>
      <c r="M12" s="11"/>
    </row>
    <row r="13" spans="3:13" ht="26.4" thickBot="1">
      <c r="C13" s="152"/>
      <c r="D13" s="146"/>
      <c r="E13" s="149"/>
      <c r="F13" s="22" t="s">
        <v>37</v>
      </c>
      <c r="G13" s="11"/>
      <c r="H13" s="11" t="s">
        <v>63</v>
      </c>
      <c r="I13" s="23">
        <v>10000</v>
      </c>
      <c r="J13" s="23">
        <v>10000</v>
      </c>
      <c r="K13" s="1"/>
      <c r="L13" s="11"/>
      <c r="M13" s="11"/>
    </row>
    <row r="14" spans="3:13" ht="26.4" thickBot="1">
      <c r="C14" s="152"/>
      <c r="D14" s="146"/>
      <c r="E14" s="149"/>
      <c r="F14" s="22" t="s">
        <v>28</v>
      </c>
      <c r="G14" s="11"/>
      <c r="H14" s="11" t="s">
        <v>66</v>
      </c>
      <c r="I14" s="23">
        <v>7710</v>
      </c>
      <c r="J14" s="23">
        <v>7710</v>
      </c>
      <c r="K14" s="1"/>
      <c r="L14" s="11"/>
      <c r="M14" s="11"/>
    </row>
    <row r="15" spans="3:13" ht="26.4" thickBot="1">
      <c r="C15" s="152"/>
      <c r="D15" s="146"/>
      <c r="E15" s="149"/>
      <c r="F15" s="22" t="s">
        <v>70</v>
      </c>
      <c r="G15" s="11"/>
      <c r="H15" s="11" t="s">
        <v>63</v>
      </c>
      <c r="I15" s="23">
        <v>10745</v>
      </c>
      <c r="J15" s="23">
        <v>10745</v>
      </c>
      <c r="K15" s="1"/>
      <c r="L15" s="11"/>
      <c r="M15" s="11"/>
    </row>
    <row r="16" spans="3:13" ht="26.4" thickBot="1">
      <c r="C16" s="153"/>
      <c r="D16" s="146"/>
      <c r="E16" s="149"/>
      <c r="F16" s="41" t="s">
        <v>71</v>
      </c>
      <c r="G16" s="41"/>
      <c r="H16" s="43" t="s">
        <v>66</v>
      </c>
      <c r="I16" s="47">
        <v>3010</v>
      </c>
      <c r="J16" s="46">
        <v>3010</v>
      </c>
      <c r="K16" s="1"/>
      <c r="L16" s="43"/>
      <c r="M16" s="45"/>
    </row>
    <row r="17" spans="3:13" ht="26.4" thickBot="1">
      <c r="C17" s="50"/>
      <c r="D17" s="146"/>
      <c r="E17" s="149"/>
      <c r="F17" s="60"/>
      <c r="G17" s="51"/>
      <c r="H17" s="51"/>
      <c r="I17" s="61"/>
      <c r="J17" s="61"/>
      <c r="K17" s="1"/>
      <c r="L17" s="51"/>
      <c r="M17" s="51"/>
    </row>
    <row r="18" spans="3:13" ht="26.4" thickBot="1">
      <c r="C18" s="12">
        <v>46144</v>
      </c>
      <c r="D18" s="146"/>
      <c r="E18" s="149"/>
      <c r="F18" s="8" t="s">
        <v>68</v>
      </c>
      <c r="G18" s="11"/>
      <c r="H18" s="11" t="s">
        <v>66</v>
      </c>
      <c r="I18" s="23">
        <v>425</v>
      </c>
      <c r="J18" s="23">
        <v>405</v>
      </c>
      <c r="K18" s="1"/>
      <c r="L18" s="11"/>
      <c r="M18" s="11"/>
    </row>
    <row r="19" spans="3:13" ht="26.4" thickBot="1">
      <c r="C19" s="50"/>
      <c r="D19" s="146"/>
      <c r="E19" s="149"/>
      <c r="F19" s="60"/>
      <c r="G19" s="51"/>
      <c r="H19" s="51"/>
      <c r="I19" s="61"/>
      <c r="J19" s="61"/>
      <c r="K19" s="1"/>
      <c r="L19" s="51"/>
      <c r="M19" s="51"/>
    </row>
    <row r="20" spans="3:13" ht="26.4" thickBot="1">
      <c r="C20" s="68">
        <v>46145</v>
      </c>
      <c r="D20" s="146"/>
      <c r="E20" s="149"/>
      <c r="F20" s="70"/>
      <c r="G20" s="69"/>
      <c r="H20" s="69"/>
      <c r="I20" s="71"/>
      <c r="J20" s="71"/>
      <c r="K20" s="1"/>
      <c r="L20" s="69"/>
      <c r="M20" s="69"/>
    </row>
    <row r="21" spans="3:13" ht="26.25" customHeight="1" thickBot="1">
      <c r="C21" s="50"/>
      <c r="D21" s="146"/>
      <c r="E21" s="149"/>
      <c r="F21" s="60"/>
      <c r="G21" s="51"/>
      <c r="H21" s="51"/>
      <c r="I21" s="61"/>
      <c r="J21" s="61"/>
      <c r="K21" s="1"/>
      <c r="L21" s="51"/>
      <c r="M21" s="51"/>
    </row>
    <row r="22" spans="3:13" ht="26.25" customHeight="1" thickBot="1">
      <c r="C22" s="68">
        <v>46146</v>
      </c>
      <c r="D22" s="146"/>
      <c r="E22" s="149"/>
      <c r="F22" s="70"/>
      <c r="G22" s="69"/>
      <c r="H22" s="69"/>
      <c r="I22" s="71"/>
      <c r="J22" s="71"/>
      <c r="K22" s="1"/>
      <c r="L22" s="69"/>
      <c r="M22" s="69"/>
    </row>
    <row r="23" spans="3:13" ht="26.25" customHeight="1" thickBot="1">
      <c r="C23" s="50"/>
      <c r="D23" s="146"/>
      <c r="E23" s="149"/>
      <c r="F23" s="60"/>
      <c r="G23" s="51"/>
      <c r="H23" s="51"/>
      <c r="I23" s="61"/>
      <c r="J23" s="61"/>
      <c r="K23" s="1"/>
      <c r="L23" s="51"/>
      <c r="M23" s="51"/>
    </row>
    <row r="24" spans="3:13" ht="26.25" customHeight="1" thickBot="1">
      <c r="C24" s="151">
        <v>46147</v>
      </c>
      <c r="D24" s="146"/>
      <c r="E24" s="149"/>
      <c r="F24" s="8" t="s">
        <v>68</v>
      </c>
      <c r="G24" s="11"/>
      <c r="H24" s="11" t="s">
        <v>66</v>
      </c>
      <c r="I24" s="23">
        <v>405</v>
      </c>
      <c r="J24" s="23">
        <v>385</v>
      </c>
      <c r="K24" s="1"/>
      <c r="L24" s="11"/>
      <c r="M24" s="11"/>
    </row>
    <row r="25" spans="3:13" ht="26.25" customHeight="1" thickBot="1">
      <c r="C25" s="153"/>
      <c r="D25" s="146"/>
      <c r="E25" s="149"/>
      <c r="F25" s="8" t="s">
        <v>68</v>
      </c>
      <c r="G25" s="11"/>
      <c r="H25" s="11" t="s">
        <v>66</v>
      </c>
      <c r="I25" s="23">
        <v>385</v>
      </c>
      <c r="J25" s="23">
        <v>375</v>
      </c>
      <c r="K25" s="1"/>
      <c r="L25" s="11"/>
      <c r="M25" s="11"/>
    </row>
    <row r="26" spans="3:13" ht="26.25" customHeight="1" thickBot="1">
      <c r="C26" s="12">
        <v>46148</v>
      </c>
      <c r="D26" s="146"/>
      <c r="E26" s="149"/>
      <c r="F26" s="8" t="s">
        <v>68</v>
      </c>
      <c r="G26" s="11"/>
      <c r="H26" s="11" t="s">
        <v>66</v>
      </c>
      <c r="I26" s="23">
        <v>375</v>
      </c>
      <c r="J26" s="23">
        <v>355</v>
      </c>
      <c r="K26" s="1"/>
      <c r="L26" s="11"/>
      <c r="M26" s="11"/>
    </row>
    <row r="27" spans="3:13" ht="26.25" customHeight="1" thickBot="1">
      <c r="C27" s="151">
        <v>46149</v>
      </c>
      <c r="D27" s="146"/>
      <c r="E27" s="149"/>
      <c r="F27" s="8" t="s">
        <v>68</v>
      </c>
      <c r="G27" s="11"/>
      <c r="H27" s="11" t="s">
        <v>66</v>
      </c>
      <c r="I27" s="23">
        <v>355</v>
      </c>
      <c r="J27" s="23">
        <v>345</v>
      </c>
      <c r="K27" s="1"/>
      <c r="L27" s="11"/>
      <c r="M27" s="11"/>
    </row>
    <row r="28" spans="3:13" ht="26.25" customHeight="1" thickBot="1">
      <c r="C28" s="153"/>
      <c r="D28" s="146"/>
      <c r="E28" s="149"/>
      <c r="F28" s="8" t="s">
        <v>68</v>
      </c>
      <c r="G28" s="11"/>
      <c r="H28" s="11" t="s">
        <v>66</v>
      </c>
      <c r="I28" s="23">
        <v>345</v>
      </c>
      <c r="J28" s="23">
        <v>337</v>
      </c>
      <c r="K28" s="1"/>
      <c r="L28" s="11"/>
      <c r="M28" s="11"/>
    </row>
    <row r="29" spans="3:13" ht="26.25" customHeight="1" thickBot="1">
      <c r="C29" s="68">
        <v>46150</v>
      </c>
      <c r="D29" s="146"/>
      <c r="E29" s="149"/>
      <c r="F29" s="70"/>
      <c r="G29" s="69"/>
      <c r="H29" s="69"/>
      <c r="I29" s="71"/>
      <c r="J29" s="71"/>
      <c r="K29" s="1"/>
      <c r="L29" s="69"/>
      <c r="M29" s="69"/>
    </row>
    <row r="30" spans="3:13" ht="26.25" customHeight="1" thickBot="1">
      <c r="C30" s="68">
        <v>46151</v>
      </c>
      <c r="D30" s="146"/>
      <c r="E30" s="149"/>
      <c r="F30" s="70"/>
      <c r="G30" s="69"/>
      <c r="H30" s="69"/>
      <c r="I30" s="71"/>
      <c r="J30" s="71"/>
      <c r="K30" s="1"/>
      <c r="L30" s="69"/>
      <c r="M30" s="76"/>
    </row>
    <row r="31" spans="3:13" ht="26.25" customHeight="1" thickBot="1">
      <c r="C31" s="12">
        <v>46152</v>
      </c>
      <c r="D31" s="146"/>
      <c r="E31" s="149"/>
      <c r="F31" s="8" t="s">
        <v>68</v>
      </c>
      <c r="G31" s="11"/>
      <c r="H31" s="11" t="s">
        <v>66</v>
      </c>
      <c r="I31" s="23">
        <v>337</v>
      </c>
      <c r="J31" s="23">
        <v>322</v>
      </c>
      <c r="K31" s="1"/>
      <c r="L31" s="11"/>
      <c r="M31" s="11"/>
    </row>
    <row r="32" spans="3:13" ht="26.25" customHeight="1" thickBot="1">
      <c r="C32" s="12"/>
      <c r="D32" s="146"/>
      <c r="E32" s="149"/>
      <c r="F32" s="8"/>
      <c r="G32" s="11"/>
      <c r="H32" s="11"/>
      <c r="I32" s="23"/>
      <c r="J32" s="23"/>
      <c r="K32" s="1"/>
      <c r="L32" s="11"/>
      <c r="M32" s="11"/>
    </row>
    <row r="33" spans="3:13" ht="26.25" customHeight="1" thickBot="1">
      <c r="C33" s="12"/>
      <c r="D33" s="146"/>
      <c r="E33" s="149"/>
      <c r="F33" s="8"/>
      <c r="G33" s="11"/>
      <c r="H33" s="11"/>
      <c r="I33" s="23"/>
      <c r="J33" s="23"/>
      <c r="K33" s="1"/>
      <c r="L33" s="11"/>
      <c r="M33" s="11"/>
    </row>
    <row r="34" spans="3:13" ht="26.25" customHeight="1" thickBot="1">
      <c r="C34" s="12"/>
      <c r="D34" s="146"/>
      <c r="E34" s="149"/>
      <c r="F34" s="8"/>
      <c r="G34" s="11"/>
      <c r="H34" s="11"/>
      <c r="I34" s="23"/>
      <c r="J34" s="23"/>
      <c r="K34" s="1"/>
      <c r="L34" s="11"/>
      <c r="M34" s="11"/>
    </row>
    <row r="35" spans="3:13" ht="26.25" customHeight="1" thickBot="1">
      <c r="C35" s="12"/>
      <c r="D35" s="146"/>
      <c r="E35" s="149"/>
      <c r="F35" s="8"/>
      <c r="G35" s="11"/>
      <c r="H35" s="11"/>
      <c r="I35" s="23"/>
      <c r="J35" s="23"/>
      <c r="K35" s="1"/>
      <c r="L35" s="11"/>
      <c r="M35" s="11"/>
    </row>
    <row r="36" spans="3:13" ht="26.25" customHeight="1" thickBot="1">
      <c r="C36" s="12"/>
      <c r="D36" s="146"/>
      <c r="E36" s="149"/>
      <c r="F36" s="8"/>
      <c r="G36" s="11"/>
      <c r="H36" s="11"/>
      <c r="I36" s="23"/>
      <c r="J36" s="23"/>
      <c r="K36" s="1"/>
      <c r="L36" s="11"/>
      <c r="M36" s="11"/>
    </row>
    <row r="37" spans="3:13" ht="26.25" customHeight="1" thickBot="1">
      <c r="C37" s="12"/>
      <c r="D37" s="147"/>
      <c r="E37" s="150"/>
      <c r="F37" s="9"/>
      <c r="G37" s="11"/>
      <c r="H37" s="11"/>
      <c r="I37" s="23"/>
      <c r="J37" s="23"/>
      <c r="K37" s="1"/>
      <c r="L37" s="11"/>
      <c r="M37" s="11"/>
    </row>
  </sheetData>
  <mergeCells count="8">
    <mergeCell ref="C2:J4"/>
    <mergeCell ref="L3:M4"/>
    <mergeCell ref="C5:J5"/>
    <mergeCell ref="D7:D37"/>
    <mergeCell ref="E7:E37"/>
    <mergeCell ref="C7:C16"/>
    <mergeCell ref="C24:C25"/>
    <mergeCell ref="C27:C28"/>
  </mergeCells>
  <conditionalFormatting sqref="F1:F1048576">
    <cfRule type="containsText" dxfId="58" priority="1" operator="containsText" text="Red KOP">
      <formula>NOT(ISERROR(SEARCH("Red KOP",F1)))</formula>
    </cfRule>
    <cfRule type="containsText" dxfId="57" priority="2" operator="containsText" text="Blue KOP">
      <formula>NOT(ISERROR(SEARCH("Blue KOP",F1)))</formula>
    </cfRule>
    <cfRule type="containsText" dxfId="56" priority="3" operator="containsText" text="Purple">
      <formula>NOT(ISERROR(SEARCH("Purple",F1)))</formula>
    </cfRule>
    <cfRule type="containsText" dxfId="55" priority="4" operator="containsText" text="Green">
      <formula>NOT(ISERROR(SEARCH("Green",F1)))</formula>
    </cfRule>
    <cfRule type="containsText" dxfId="54" priority="5" operator="containsText" text="Red">
      <formula>NOT(ISERROR(SEARCH("Red",F1)))</formula>
    </cfRule>
    <cfRule type="containsText" dxfId="53" priority="6" operator="containsText" text="White 50G">
      <formula>NOT(ISERROR(SEARCH("White 50G",F1)))</formula>
    </cfRule>
    <cfRule type="containsText" dxfId="52" priority="7" operator="containsText" text="White 25G">
      <formula>NOT(ISERROR(SEARCH("White 25G",F1)))</formula>
    </cfRule>
    <cfRule type="containsText" dxfId="51" priority="8" operator="containsText" text="Green Popp">
      <formula>NOT(ISERROR(SEARCH("Green Popp",F1)))</formula>
    </cfRule>
    <cfRule type="containsText" dxfId="50" priority="9" operator="containsText" text="Blue Popp">
      <formula>NOT(ISERROR(SEARCH("Blue Popp",F1)))</formula>
    </cfRule>
    <cfRule type="containsText" dxfId="49" priority="10" operator="containsText" text="Purple Popp">
      <formula>NOT(ISERROR(SEARCH("Purple Popp",F1)))</formula>
    </cfRule>
  </conditionalFormatting>
  <dataValidations count="4">
    <dataValidation type="list" allowBlank="1" showInputMessage="1" showErrorMessage="1" sqref="D7:D37" xr:uid="{00000000-0002-0000-0400-000000000000}">
      <formula1>"Sacks"</formula1>
    </dataValidation>
    <dataValidation type="list" allowBlank="1" showInputMessage="1" showErrorMessage="1" sqref="E7:E37" xr:uid="{00000000-0002-0000-0400-000001000000}">
      <formula1>"Plastic"</formula1>
    </dataValidation>
    <dataValidation type="list" allowBlank="1" showInputMessage="1" showErrorMessage="1" sqref="G7:G37" xr:uid="{00000000-0002-0000-0400-000002000000}">
      <formula1>"(75*9),(75*13),(70*45)"</formula1>
    </dataValidation>
    <dataValidation type="list" allowBlank="1" showInputMessage="1" showErrorMessage="1" sqref="F1:F1048576" xr:uid="{00000000-0002-0000-0400-000003000000}">
      <formula1>"Purple Popp, Blue Popp, Green Popp,Red,Green,Purple,Blue KOP, Red KOP, White 25G,White 50G"</formula1>
    </dataValidation>
  </dataValidations>
  <pageMargins left="0.75" right="0.75" top="1" bottom="1" header="0.5" footer="0.5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1"/>
  </sheetPr>
  <dimension ref="C1:M37"/>
  <sheetViews>
    <sheetView zoomScale="80" zoomScaleNormal="80" workbookViewId="0">
      <selection activeCell="C22" sqref="C22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6.4" thickBot="1">
      <c r="C2" s="194" t="s">
        <v>7</v>
      </c>
      <c r="D2" s="195"/>
      <c r="E2" s="195"/>
      <c r="F2" s="195"/>
      <c r="G2" s="195"/>
      <c r="H2" s="195"/>
      <c r="I2" s="195"/>
      <c r="J2" s="196"/>
      <c r="K2" s="1"/>
    </row>
    <row r="3" spans="3:13" ht="27.75" customHeight="1" thickBot="1">
      <c r="C3" s="197"/>
      <c r="D3" s="198"/>
      <c r="E3" s="198"/>
      <c r="F3" s="198"/>
      <c r="G3" s="198"/>
      <c r="H3" s="198"/>
      <c r="I3" s="198"/>
      <c r="J3" s="199"/>
      <c r="K3" s="1"/>
      <c r="L3" s="138" t="s">
        <v>16</v>
      </c>
      <c r="M3" s="139"/>
    </row>
    <row r="4" spans="3:13" ht="27.75" customHeight="1" thickTop="1" thickBot="1">
      <c r="C4" s="200"/>
      <c r="D4" s="201"/>
      <c r="E4" s="201"/>
      <c r="F4" s="201"/>
      <c r="G4" s="201"/>
      <c r="H4" s="201"/>
      <c r="I4" s="201"/>
      <c r="J4" s="202"/>
      <c r="K4" s="1"/>
      <c r="L4" s="140"/>
      <c r="M4" s="141"/>
    </row>
    <row r="5" spans="3:13" ht="26.4" thickBot="1">
      <c r="C5" s="142"/>
      <c r="D5" s="143"/>
      <c r="E5" s="143"/>
      <c r="F5" s="143"/>
      <c r="G5" s="143"/>
      <c r="H5" s="143"/>
      <c r="I5" s="143"/>
      <c r="J5" s="144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51">
        <v>46143</v>
      </c>
      <c r="D7" s="145" t="s">
        <v>23</v>
      </c>
      <c r="E7" s="148" t="s">
        <v>4</v>
      </c>
      <c r="F7" s="8" t="s">
        <v>24</v>
      </c>
      <c r="G7" s="145" t="s">
        <v>25</v>
      </c>
      <c r="H7" s="11" t="s">
        <v>66</v>
      </c>
      <c r="I7" s="11">
        <v>101</v>
      </c>
      <c r="J7" s="11">
        <v>101</v>
      </c>
      <c r="K7" s="1"/>
      <c r="L7" s="11"/>
      <c r="M7" s="11"/>
    </row>
    <row r="8" spans="3:13" ht="26.4" thickBot="1">
      <c r="C8" s="152"/>
      <c r="D8" s="146"/>
      <c r="E8" s="149"/>
      <c r="F8" s="8" t="s">
        <v>31</v>
      </c>
      <c r="G8" s="146"/>
      <c r="H8" s="11" t="s">
        <v>66</v>
      </c>
      <c r="I8" s="11" t="s">
        <v>44</v>
      </c>
      <c r="J8" s="11"/>
      <c r="K8" s="1"/>
      <c r="L8" s="11"/>
      <c r="M8" s="11"/>
    </row>
    <row r="9" spans="3:13" ht="26.4" thickBot="1">
      <c r="C9" s="152"/>
      <c r="D9" s="146"/>
      <c r="E9" s="149"/>
      <c r="F9" s="8" t="s">
        <v>40</v>
      </c>
      <c r="G9" s="146"/>
      <c r="H9" s="11" t="s">
        <v>66</v>
      </c>
      <c r="I9" s="11" t="s">
        <v>44</v>
      </c>
      <c r="J9" s="11"/>
      <c r="K9" s="1"/>
      <c r="L9" s="11"/>
      <c r="M9" s="13"/>
    </row>
    <row r="10" spans="3:13" ht="26.4" thickBot="1">
      <c r="C10" s="152"/>
      <c r="D10" s="146"/>
      <c r="E10" s="149"/>
      <c r="F10" s="8" t="s">
        <v>74</v>
      </c>
      <c r="G10" s="146"/>
      <c r="H10" s="11" t="s">
        <v>66</v>
      </c>
      <c r="I10" s="11">
        <v>11</v>
      </c>
      <c r="J10" s="11">
        <v>11</v>
      </c>
      <c r="K10" s="1"/>
      <c r="L10" s="11"/>
      <c r="M10" s="11"/>
    </row>
    <row r="11" spans="3:13" ht="26.4" thickBot="1">
      <c r="C11" s="152"/>
      <c r="D11" s="146"/>
      <c r="E11" s="149"/>
      <c r="F11" s="8" t="s">
        <v>28</v>
      </c>
      <c r="G11" s="146"/>
      <c r="H11" s="11" t="s">
        <v>66</v>
      </c>
      <c r="I11" s="11">
        <v>3</v>
      </c>
      <c r="J11" s="11">
        <v>3</v>
      </c>
      <c r="K11" s="1"/>
      <c r="L11" s="11"/>
      <c r="M11" s="11"/>
    </row>
    <row r="12" spans="3:13" ht="26.4" thickBot="1">
      <c r="C12" s="152"/>
      <c r="D12" s="146"/>
      <c r="E12" s="149"/>
      <c r="F12" s="8" t="s">
        <v>37</v>
      </c>
      <c r="G12" s="146"/>
      <c r="H12" s="11" t="s">
        <v>66</v>
      </c>
      <c r="I12" s="11">
        <v>70</v>
      </c>
      <c r="J12" s="11">
        <v>70</v>
      </c>
      <c r="K12" s="1"/>
      <c r="L12" s="11"/>
      <c r="M12" s="11"/>
    </row>
    <row r="13" spans="3:13" ht="26.4" thickBot="1">
      <c r="C13" s="152"/>
      <c r="D13" s="146"/>
      <c r="E13" s="149"/>
      <c r="F13" s="8" t="s">
        <v>36</v>
      </c>
      <c r="G13" s="146"/>
      <c r="H13" s="11" t="s">
        <v>66</v>
      </c>
      <c r="I13" s="11">
        <v>2</v>
      </c>
      <c r="J13" s="11">
        <v>2</v>
      </c>
      <c r="K13" s="1"/>
      <c r="L13" s="11"/>
      <c r="M13" s="11"/>
    </row>
    <row r="14" spans="3:13" ht="26.4" thickBot="1">
      <c r="C14" s="153"/>
      <c r="D14" s="146"/>
      <c r="E14" s="149"/>
      <c r="F14" s="8" t="s">
        <v>75</v>
      </c>
      <c r="G14" s="146"/>
      <c r="H14" s="11" t="s">
        <v>66</v>
      </c>
      <c r="I14" s="11">
        <v>35</v>
      </c>
      <c r="J14" s="11">
        <v>35</v>
      </c>
      <c r="K14" s="1"/>
      <c r="L14" s="11"/>
      <c r="M14" s="11"/>
    </row>
    <row r="15" spans="3:13" ht="26.4" thickBot="1">
      <c r="C15" s="50"/>
      <c r="D15" s="146"/>
      <c r="E15" s="149"/>
      <c r="F15" s="60"/>
      <c r="G15" s="146"/>
      <c r="H15" s="51"/>
      <c r="I15" s="51"/>
      <c r="J15" s="51"/>
      <c r="K15" s="1"/>
      <c r="L15" s="51"/>
      <c r="M15" s="51"/>
    </row>
    <row r="16" spans="3:13" ht="26.4" thickBot="1">
      <c r="C16" s="12">
        <v>46144</v>
      </c>
      <c r="D16" s="146"/>
      <c r="E16" s="149"/>
      <c r="F16" s="8" t="s">
        <v>37</v>
      </c>
      <c r="G16" s="146"/>
      <c r="H16" s="11" t="s">
        <v>66</v>
      </c>
      <c r="I16" s="11">
        <v>70</v>
      </c>
      <c r="J16" s="11">
        <v>62</v>
      </c>
      <c r="K16" s="1"/>
      <c r="L16" s="11"/>
      <c r="M16" s="13"/>
    </row>
    <row r="17" spans="3:13" ht="26.4" thickBot="1">
      <c r="C17" s="50"/>
      <c r="D17" s="146"/>
      <c r="E17" s="149"/>
      <c r="F17" s="60"/>
      <c r="G17" s="146"/>
      <c r="H17" s="51"/>
      <c r="I17" s="51"/>
      <c r="J17" s="51"/>
      <c r="K17" s="1"/>
      <c r="L17" s="51"/>
      <c r="M17" s="51"/>
    </row>
    <row r="18" spans="3:13" ht="26.4" thickBot="1">
      <c r="C18" s="68">
        <v>46145</v>
      </c>
      <c r="D18" s="146"/>
      <c r="E18" s="149"/>
      <c r="F18" s="70"/>
      <c r="G18" s="146"/>
      <c r="H18" s="69"/>
      <c r="I18" s="69"/>
      <c r="J18" s="69"/>
      <c r="K18" s="1"/>
      <c r="L18" s="69"/>
      <c r="M18" s="69"/>
    </row>
    <row r="19" spans="3:13" ht="26.4" thickBot="1">
      <c r="C19" s="50"/>
      <c r="D19" s="146"/>
      <c r="E19" s="149"/>
      <c r="F19" s="60"/>
      <c r="G19" s="146"/>
      <c r="H19" s="51"/>
      <c r="I19" s="51"/>
      <c r="J19" s="51"/>
      <c r="K19" s="1"/>
      <c r="L19" s="51"/>
      <c r="M19" s="51"/>
    </row>
    <row r="20" spans="3:13" ht="26.4" thickBot="1">
      <c r="C20" s="12">
        <v>46146</v>
      </c>
      <c r="D20" s="146"/>
      <c r="E20" s="149"/>
      <c r="F20" s="8"/>
      <c r="G20" s="146"/>
      <c r="H20" s="11"/>
      <c r="I20" s="11"/>
      <c r="J20" s="11"/>
      <c r="K20" s="1"/>
      <c r="L20" s="11"/>
      <c r="M20" s="11"/>
    </row>
    <row r="21" spans="3:13" ht="26.25" customHeight="1" thickBot="1">
      <c r="C21" s="12"/>
      <c r="D21" s="146"/>
      <c r="E21" s="149"/>
      <c r="F21" s="8"/>
      <c r="G21" s="146"/>
      <c r="H21" s="11"/>
      <c r="I21" s="11"/>
      <c r="J21" s="11"/>
      <c r="K21" s="1"/>
      <c r="L21" s="11"/>
      <c r="M21" s="11"/>
    </row>
    <row r="22" spans="3:13" ht="26.25" customHeight="1" thickBot="1">
      <c r="C22" s="12"/>
      <c r="D22" s="146"/>
      <c r="E22" s="149"/>
      <c r="F22" s="8"/>
      <c r="G22" s="146"/>
      <c r="H22" s="11"/>
      <c r="I22" s="11"/>
      <c r="J22" s="11"/>
      <c r="K22" s="1"/>
      <c r="L22" s="11"/>
      <c r="M22" s="11"/>
    </row>
    <row r="23" spans="3:13" ht="26.25" customHeight="1" thickBot="1">
      <c r="C23" s="12"/>
      <c r="D23" s="146"/>
      <c r="E23" s="149"/>
      <c r="F23" s="8"/>
      <c r="G23" s="146"/>
      <c r="H23" s="11"/>
      <c r="I23" s="11"/>
      <c r="J23" s="11"/>
      <c r="K23" s="1"/>
      <c r="L23" s="11"/>
      <c r="M23" s="11"/>
    </row>
    <row r="24" spans="3:13" ht="26.25" customHeight="1" thickBot="1">
      <c r="C24" s="12"/>
      <c r="D24" s="146"/>
      <c r="E24" s="149"/>
      <c r="F24" s="8"/>
      <c r="G24" s="146"/>
      <c r="H24" s="11"/>
      <c r="I24" s="11"/>
      <c r="J24" s="11"/>
      <c r="K24" s="1"/>
      <c r="L24" s="11"/>
      <c r="M24" s="11"/>
    </row>
    <row r="25" spans="3:13" ht="26.25" customHeight="1" thickBot="1">
      <c r="C25" s="12"/>
      <c r="D25" s="146"/>
      <c r="E25" s="149"/>
      <c r="F25" s="8"/>
      <c r="G25" s="146"/>
      <c r="H25" s="11"/>
      <c r="I25" s="11"/>
      <c r="J25" s="11"/>
      <c r="K25" s="1"/>
      <c r="L25" s="11"/>
      <c r="M25" s="11"/>
    </row>
    <row r="26" spans="3:13" ht="26.25" customHeight="1" thickBot="1">
      <c r="C26" s="12"/>
      <c r="D26" s="146"/>
      <c r="E26" s="149"/>
      <c r="F26" s="8"/>
      <c r="G26" s="146"/>
      <c r="H26" s="11"/>
      <c r="I26" s="11"/>
      <c r="J26" s="11"/>
      <c r="K26" s="1"/>
      <c r="L26" s="11"/>
      <c r="M26" s="11"/>
    </row>
    <row r="27" spans="3:13" ht="26.25" customHeight="1" thickBot="1">
      <c r="C27" s="12"/>
      <c r="D27" s="146"/>
      <c r="E27" s="149"/>
      <c r="F27" s="8"/>
      <c r="G27" s="146"/>
      <c r="H27" s="11"/>
      <c r="I27" s="11"/>
      <c r="J27" s="11"/>
      <c r="K27" s="1"/>
      <c r="L27" s="11"/>
      <c r="M27" s="11"/>
    </row>
    <row r="28" spans="3:13" ht="26.25" customHeight="1" thickBot="1">
      <c r="C28" s="12"/>
      <c r="D28" s="146"/>
      <c r="E28" s="149"/>
      <c r="F28" s="8"/>
      <c r="G28" s="146"/>
      <c r="H28" s="11"/>
      <c r="I28" s="11"/>
      <c r="J28" s="11"/>
      <c r="K28" s="1"/>
      <c r="L28" s="11"/>
      <c r="M28" s="11"/>
    </row>
    <row r="29" spans="3:13" ht="26.25" customHeight="1" thickBot="1">
      <c r="C29" s="12"/>
      <c r="D29" s="146"/>
      <c r="E29" s="149"/>
      <c r="F29" s="8"/>
      <c r="G29" s="146"/>
      <c r="H29" s="11"/>
      <c r="I29" s="11"/>
      <c r="J29" s="11"/>
      <c r="K29" s="1"/>
      <c r="L29" s="11"/>
      <c r="M29" s="11"/>
    </row>
    <row r="30" spans="3:13" ht="26.25" customHeight="1" thickBot="1">
      <c r="C30" s="12"/>
      <c r="D30" s="146"/>
      <c r="E30" s="149"/>
      <c r="F30" s="8"/>
      <c r="G30" s="146"/>
      <c r="H30" s="11"/>
      <c r="I30" s="11"/>
      <c r="J30" s="11"/>
      <c r="K30" s="1"/>
      <c r="L30" s="11"/>
      <c r="M30" s="13"/>
    </row>
    <row r="31" spans="3:13" ht="26.25" customHeight="1" thickBot="1">
      <c r="C31" s="12"/>
      <c r="D31" s="146"/>
      <c r="E31" s="149"/>
      <c r="F31" s="8"/>
      <c r="G31" s="146"/>
      <c r="H31" s="11"/>
      <c r="I31" s="11"/>
      <c r="J31" s="11"/>
      <c r="K31" s="1"/>
      <c r="L31" s="11"/>
      <c r="M31" s="11"/>
    </row>
    <row r="32" spans="3:13" ht="26.25" customHeight="1" thickBot="1">
      <c r="C32" s="12"/>
      <c r="D32" s="146"/>
      <c r="E32" s="149"/>
      <c r="F32" s="8"/>
      <c r="G32" s="146"/>
      <c r="H32" s="11"/>
      <c r="I32" s="11"/>
      <c r="J32" s="11"/>
      <c r="K32" s="1"/>
      <c r="L32" s="11"/>
      <c r="M32" s="11"/>
    </row>
    <row r="33" spans="3:13" ht="26.25" customHeight="1" thickBot="1">
      <c r="C33" s="12"/>
      <c r="D33" s="146"/>
      <c r="E33" s="149"/>
      <c r="F33" s="8"/>
      <c r="G33" s="146"/>
      <c r="H33" s="11"/>
      <c r="I33" s="11"/>
      <c r="J33" s="11"/>
      <c r="K33" s="1"/>
      <c r="L33" s="11"/>
      <c r="M33" s="11"/>
    </row>
    <row r="34" spans="3:13" ht="26.25" customHeight="1" thickBot="1">
      <c r="C34" s="12"/>
      <c r="D34" s="146"/>
      <c r="E34" s="149"/>
      <c r="F34" s="8"/>
      <c r="G34" s="146"/>
      <c r="H34" s="11"/>
      <c r="I34" s="11"/>
      <c r="J34" s="11"/>
      <c r="K34" s="1"/>
      <c r="L34" s="11"/>
      <c r="M34" s="11"/>
    </row>
    <row r="35" spans="3:13" ht="26.25" customHeight="1" thickBot="1">
      <c r="C35" s="12"/>
      <c r="D35" s="146"/>
      <c r="E35" s="149"/>
      <c r="F35" s="8"/>
      <c r="G35" s="146"/>
      <c r="H35" s="11"/>
      <c r="I35" s="11"/>
      <c r="J35" s="11"/>
      <c r="K35" s="1"/>
      <c r="L35" s="11"/>
      <c r="M35" s="11"/>
    </row>
    <row r="36" spans="3:13" ht="26.25" customHeight="1" thickBot="1">
      <c r="C36" s="12"/>
      <c r="D36" s="146"/>
      <c r="E36" s="149"/>
      <c r="F36" s="8"/>
      <c r="G36" s="146"/>
      <c r="H36" s="11"/>
      <c r="I36" s="11"/>
      <c r="J36" s="11"/>
      <c r="K36" s="1"/>
      <c r="L36" s="11"/>
      <c r="M36" s="11"/>
    </row>
    <row r="37" spans="3:13" ht="26.25" customHeight="1" thickBot="1">
      <c r="C37" s="12"/>
      <c r="D37" s="147"/>
      <c r="E37" s="150"/>
      <c r="F37" s="9"/>
      <c r="G37" s="147"/>
      <c r="H37" s="11"/>
      <c r="I37" s="11"/>
      <c r="J37" s="11"/>
      <c r="K37" s="1"/>
      <c r="L37" s="11"/>
      <c r="M37" s="11"/>
    </row>
  </sheetData>
  <mergeCells count="7">
    <mergeCell ref="C2:J4"/>
    <mergeCell ref="L3:M4"/>
    <mergeCell ref="C5:J5"/>
    <mergeCell ref="D7:D37"/>
    <mergeCell ref="E7:E37"/>
    <mergeCell ref="G7:G37"/>
    <mergeCell ref="C7:C14"/>
  </mergeCells>
  <conditionalFormatting sqref="F1:F1048576">
    <cfRule type="containsText" dxfId="48" priority="1" operator="containsText" text="Blue +">
      <formula>NOT(ISERROR(SEARCH("Blue +",F1)))</formula>
    </cfRule>
    <cfRule type="containsText" dxfId="47" priority="2" operator="containsText" text="Purple">
      <formula>NOT(ISERROR(SEARCH("Purple",F1)))</formula>
    </cfRule>
    <cfRule type="containsText" dxfId="46" priority="3" operator="containsText" text="Black">
      <formula>NOT(ISERROR(SEARCH("Black",F1)))</formula>
    </cfRule>
    <cfRule type="containsText" dxfId="45" priority="4" operator="containsText" text="Dark Blue">
      <formula>NOT(ISERROR(SEARCH("Dark Blue",F1)))</formula>
    </cfRule>
    <cfRule type="containsText" dxfId="44" priority="5" operator="containsText" text="Gray">
      <formula>NOT(ISERROR(SEARCH("Gray",F1)))</formula>
    </cfRule>
    <cfRule type="containsText" dxfId="43" priority="6" operator="containsText" text="Red">
      <formula>NOT(ISERROR(SEARCH("Red",F1)))</formula>
    </cfRule>
    <cfRule type="containsText" dxfId="42" priority="7" operator="containsText" text="Green">
      <formula>NOT(ISERROR(SEARCH("Green",F1)))</formula>
    </cfRule>
    <cfRule type="containsText" dxfId="41" priority="8" operator="containsText" text="Blue">
      <formula>NOT(ISERROR(SEARCH("Blue",F1)))</formula>
    </cfRule>
  </conditionalFormatting>
  <dataValidations count="4">
    <dataValidation type="list" allowBlank="1" showInputMessage="1" showErrorMessage="1" sqref="E7:E37" xr:uid="{00000000-0002-0000-0500-000000000000}">
      <formula1>"Koptimix"</formula1>
    </dataValidation>
    <dataValidation type="list" allowBlank="1" showInputMessage="1" showErrorMessage="1" sqref="D7:D37" xr:uid="{00000000-0002-0000-0500-000001000000}">
      <formula1>" Lable"</formula1>
    </dataValidation>
    <dataValidation type="list" allowBlank="1" showInputMessage="1" showErrorMessage="1" sqref="G7" xr:uid="{00000000-0002-0000-0500-000002000000}">
      <formula1>"160x240"</formula1>
    </dataValidation>
    <dataValidation type="list" allowBlank="1" showInputMessage="1" showErrorMessage="1" sqref="F1:F1048576" xr:uid="{00000000-0002-0000-0500-000003000000}">
      <formula1>"Blue, Green,Gray,Dark Blue,Black,Purple,Red,Blue+"</formula1>
    </dataValidation>
  </dataValidations>
  <pageMargins left="0.75" right="0.75" top="1" bottom="1" header="0.5" footer="0.5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1"/>
  </sheetPr>
  <dimension ref="C1:M37"/>
  <sheetViews>
    <sheetView zoomScale="80" zoomScaleNormal="80" workbookViewId="0">
      <selection activeCell="C17" sqref="C17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6.4" thickBot="1">
      <c r="C2" s="203" t="s">
        <v>73</v>
      </c>
      <c r="D2" s="204"/>
      <c r="E2" s="204"/>
      <c r="F2" s="204"/>
      <c r="G2" s="204"/>
      <c r="H2" s="204"/>
      <c r="I2" s="204"/>
      <c r="J2" s="205"/>
      <c r="K2" s="1"/>
    </row>
    <row r="3" spans="3:13" ht="27.75" customHeight="1" thickBot="1">
      <c r="C3" s="206"/>
      <c r="D3" s="207"/>
      <c r="E3" s="207"/>
      <c r="F3" s="207"/>
      <c r="G3" s="207"/>
      <c r="H3" s="207"/>
      <c r="I3" s="207"/>
      <c r="J3" s="208"/>
      <c r="K3" s="1"/>
      <c r="L3" s="138" t="s">
        <v>16</v>
      </c>
      <c r="M3" s="139"/>
    </row>
    <row r="4" spans="3:13" ht="27.75" customHeight="1" thickTop="1" thickBot="1">
      <c r="C4" s="209"/>
      <c r="D4" s="210"/>
      <c r="E4" s="210"/>
      <c r="F4" s="210"/>
      <c r="G4" s="210"/>
      <c r="H4" s="210"/>
      <c r="I4" s="210"/>
      <c r="J4" s="211"/>
      <c r="K4" s="1"/>
      <c r="L4" s="140"/>
      <c r="M4" s="141"/>
    </row>
    <row r="5" spans="3:13" ht="26.4" thickBot="1">
      <c r="C5" s="142"/>
      <c r="D5" s="143"/>
      <c r="E5" s="143"/>
      <c r="F5" s="143"/>
      <c r="G5" s="143"/>
      <c r="H5" s="143"/>
      <c r="I5" s="143"/>
      <c r="J5" s="144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2">
        <v>46143</v>
      </c>
      <c r="D7" s="145" t="s">
        <v>23</v>
      </c>
      <c r="E7" s="148" t="s">
        <v>72</v>
      </c>
      <c r="F7" s="8" t="s">
        <v>37</v>
      </c>
      <c r="G7" s="145" t="s">
        <v>26</v>
      </c>
      <c r="H7" s="11" t="s">
        <v>66</v>
      </c>
      <c r="I7" s="11">
        <v>31</v>
      </c>
      <c r="J7" s="11">
        <v>31</v>
      </c>
      <c r="K7" s="1"/>
      <c r="L7" s="11"/>
      <c r="M7" s="11"/>
    </row>
    <row r="8" spans="3:13" ht="26.4" thickBot="1">
      <c r="C8" s="50"/>
      <c r="D8" s="146"/>
      <c r="E8" s="149"/>
      <c r="F8" s="60"/>
      <c r="G8" s="146"/>
      <c r="H8" s="51"/>
      <c r="I8" s="51"/>
      <c r="J8" s="51"/>
      <c r="K8" s="1"/>
      <c r="L8" s="51"/>
      <c r="M8" s="51"/>
    </row>
    <row r="9" spans="3:13" ht="26.4" thickBot="1">
      <c r="C9" s="68">
        <v>46144</v>
      </c>
      <c r="D9" s="146"/>
      <c r="E9" s="149"/>
      <c r="F9" s="70"/>
      <c r="G9" s="146"/>
      <c r="H9" s="69"/>
      <c r="I9" s="69"/>
      <c r="J9" s="69"/>
      <c r="K9" s="1"/>
      <c r="L9" s="69"/>
      <c r="M9" s="76"/>
    </row>
    <row r="10" spans="3:13" ht="26.4" thickBot="1">
      <c r="C10" s="50"/>
      <c r="D10" s="146"/>
      <c r="E10" s="149"/>
      <c r="F10" s="60"/>
      <c r="G10" s="146"/>
      <c r="H10" s="51"/>
      <c r="I10" s="51"/>
      <c r="J10" s="51"/>
      <c r="K10" s="1"/>
      <c r="L10" s="51"/>
      <c r="M10" s="51"/>
    </row>
    <row r="11" spans="3:13" ht="26.4" thickBot="1">
      <c r="C11" s="68">
        <v>46145</v>
      </c>
      <c r="D11" s="146"/>
      <c r="E11" s="149"/>
      <c r="F11" s="70"/>
      <c r="G11" s="146"/>
      <c r="H11" s="69"/>
      <c r="I11" s="69"/>
      <c r="J11" s="69"/>
      <c r="K11" s="1"/>
      <c r="L11" s="69"/>
      <c r="M11" s="69"/>
    </row>
    <row r="12" spans="3:13" ht="26.4" thickBot="1">
      <c r="C12" s="50"/>
      <c r="D12" s="146"/>
      <c r="E12" s="149"/>
      <c r="F12" s="60"/>
      <c r="G12" s="146"/>
      <c r="H12" s="51"/>
      <c r="I12" s="51"/>
      <c r="J12" s="51"/>
      <c r="K12" s="1"/>
      <c r="L12" s="51"/>
      <c r="M12" s="51"/>
    </row>
    <row r="13" spans="3:13" ht="26.4" thickBot="1">
      <c r="C13" s="68">
        <v>46146</v>
      </c>
      <c r="D13" s="146"/>
      <c r="E13" s="149"/>
      <c r="F13" s="70"/>
      <c r="G13" s="146"/>
      <c r="H13" s="69"/>
      <c r="I13" s="69"/>
      <c r="J13" s="69"/>
      <c r="K13" s="1"/>
      <c r="L13" s="69"/>
      <c r="M13" s="69"/>
    </row>
    <row r="14" spans="3:13" ht="26.4" thickBot="1">
      <c r="C14" s="50"/>
      <c r="D14" s="146"/>
      <c r="E14" s="149"/>
      <c r="F14" s="60"/>
      <c r="G14" s="146"/>
      <c r="H14" s="51"/>
      <c r="I14" s="51"/>
      <c r="J14" s="51"/>
      <c r="K14" s="1"/>
      <c r="L14" s="51"/>
      <c r="M14" s="51"/>
    </row>
    <row r="15" spans="3:13" ht="26.4" thickBot="1">
      <c r="C15" s="12">
        <v>46147</v>
      </c>
      <c r="D15" s="146"/>
      <c r="E15" s="149"/>
      <c r="F15" s="8"/>
      <c r="G15" s="146"/>
      <c r="H15" s="11"/>
      <c r="I15" s="11"/>
      <c r="J15" s="11"/>
      <c r="K15" s="1"/>
      <c r="L15" s="11"/>
      <c r="M15" s="11"/>
    </row>
    <row r="16" spans="3:13" ht="26.4" thickBot="1">
      <c r="C16" s="12"/>
      <c r="D16" s="146"/>
      <c r="E16" s="149"/>
      <c r="F16" s="8"/>
      <c r="G16" s="146"/>
      <c r="H16" s="11"/>
      <c r="I16" s="11"/>
      <c r="J16" s="11"/>
      <c r="K16" s="1"/>
      <c r="L16" s="11"/>
      <c r="M16" s="13"/>
    </row>
    <row r="17" spans="3:13" ht="26.4" thickBot="1">
      <c r="C17" s="12"/>
      <c r="D17" s="146"/>
      <c r="E17" s="149"/>
      <c r="F17" s="8"/>
      <c r="G17" s="146"/>
      <c r="H17" s="11"/>
      <c r="I17" s="11"/>
      <c r="J17" s="11"/>
      <c r="K17" s="1"/>
      <c r="L17" s="11"/>
      <c r="M17" s="11"/>
    </row>
    <row r="18" spans="3:13" ht="26.4" thickBot="1">
      <c r="C18" s="12"/>
      <c r="D18" s="146"/>
      <c r="E18" s="149"/>
      <c r="F18" s="8"/>
      <c r="G18" s="146"/>
      <c r="H18" s="11"/>
      <c r="I18" s="11"/>
      <c r="J18" s="11"/>
      <c r="K18" s="1"/>
      <c r="L18" s="11"/>
      <c r="M18" s="11"/>
    </row>
    <row r="19" spans="3:13" ht="26.4" thickBot="1">
      <c r="C19" s="12"/>
      <c r="D19" s="146"/>
      <c r="E19" s="149"/>
      <c r="F19" s="8"/>
      <c r="G19" s="146"/>
      <c r="H19" s="11"/>
      <c r="I19" s="11"/>
      <c r="J19" s="11"/>
      <c r="K19" s="1"/>
      <c r="L19" s="11"/>
      <c r="M19" s="11"/>
    </row>
    <row r="20" spans="3:13" ht="26.4" thickBot="1">
      <c r="C20" s="12"/>
      <c r="D20" s="146"/>
      <c r="E20" s="149"/>
      <c r="F20" s="8"/>
      <c r="G20" s="146"/>
      <c r="H20" s="11"/>
      <c r="I20" s="11"/>
      <c r="J20" s="11"/>
      <c r="K20" s="1"/>
      <c r="L20" s="11"/>
      <c r="M20" s="11"/>
    </row>
    <row r="21" spans="3:13" ht="26.25" customHeight="1" thickBot="1">
      <c r="C21" s="12"/>
      <c r="D21" s="146"/>
      <c r="E21" s="149"/>
      <c r="F21" s="8"/>
      <c r="G21" s="146"/>
      <c r="H21" s="11"/>
      <c r="I21" s="11"/>
      <c r="J21" s="11"/>
      <c r="K21" s="1"/>
      <c r="L21" s="11"/>
      <c r="M21" s="11"/>
    </row>
    <row r="22" spans="3:13" ht="26.25" customHeight="1" thickBot="1">
      <c r="C22" s="12"/>
      <c r="D22" s="146"/>
      <c r="E22" s="149"/>
      <c r="F22" s="8"/>
      <c r="G22" s="146"/>
      <c r="H22" s="11"/>
      <c r="I22" s="11"/>
      <c r="J22" s="11"/>
      <c r="K22" s="1"/>
      <c r="L22" s="11"/>
      <c r="M22" s="11"/>
    </row>
    <row r="23" spans="3:13" ht="26.25" customHeight="1" thickBot="1">
      <c r="C23" s="12"/>
      <c r="D23" s="146"/>
      <c r="E23" s="149"/>
      <c r="F23" s="8"/>
      <c r="G23" s="146"/>
      <c r="H23" s="11"/>
      <c r="I23" s="11"/>
      <c r="J23" s="11"/>
      <c r="K23" s="1"/>
      <c r="L23" s="11"/>
      <c r="M23" s="11"/>
    </row>
    <row r="24" spans="3:13" ht="26.25" customHeight="1" thickBot="1">
      <c r="C24" s="12"/>
      <c r="D24" s="146"/>
      <c r="E24" s="149"/>
      <c r="F24" s="8"/>
      <c r="G24" s="146"/>
      <c r="H24" s="11"/>
      <c r="I24" s="11"/>
      <c r="J24" s="11"/>
      <c r="K24" s="1"/>
      <c r="L24" s="11"/>
      <c r="M24" s="11"/>
    </row>
    <row r="25" spans="3:13" ht="26.25" customHeight="1" thickBot="1">
      <c r="C25" s="12"/>
      <c r="D25" s="146"/>
      <c r="E25" s="149"/>
      <c r="F25" s="8"/>
      <c r="G25" s="146"/>
      <c r="H25" s="11"/>
      <c r="I25" s="11"/>
      <c r="J25" s="11"/>
      <c r="K25" s="1"/>
      <c r="L25" s="11"/>
      <c r="M25" s="11"/>
    </row>
    <row r="26" spans="3:13" ht="26.25" customHeight="1" thickBot="1">
      <c r="C26" s="12"/>
      <c r="D26" s="146"/>
      <c r="E26" s="149"/>
      <c r="F26" s="8"/>
      <c r="G26" s="146"/>
      <c r="H26" s="11"/>
      <c r="I26" s="11"/>
      <c r="J26" s="11"/>
      <c r="K26" s="1"/>
      <c r="L26" s="11"/>
      <c r="M26" s="11"/>
    </row>
    <row r="27" spans="3:13" ht="26.25" customHeight="1" thickBot="1">
      <c r="C27" s="12"/>
      <c r="D27" s="146"/>
      <c r="E27" s="149"/>
      <c r="F27" s="8"/>
      <c r="G27" s="146"/>
      <c r="H27" s="11"/>
      <c r="I27" s="11"/>
      <c r="J27" s="11"/>
      <c r="K27" s="1"/>
      <c r="L27" s="11"/>
      <c r="M27" s="11"/>
    </row>
    <row r="28" spans="3:13" ht="26.25" customHeight="1" thickBot="1">
      <c r="C28" s="12"/>
      <c r="D28" s="146"/>
      <c r="E28" s="149"/>
      <c r="F28" s="8"/>
      <c r="G28" s="146"/>
      <c r="H28" s="11"/>
      <c r="I28" s="11"/>
      <c r="J28" s="11"/>
      <c r="K28" s="1"/>
      <c r="L28" s="11"/>
      <c r="M28" s="11"/>
    </row>
    <row r="29" spans="3:13" ht="26.25" customHeight="1" thickBot="1">
      <c r="C29" s="12"/>
      <c r="D29" s="146"/>
      <c r="E29" s="149"/>
      <c r="F29" s="8"/>
      <c r="G29" s="146"/>
      <c r="H29" s="11"/>
      <c r="I29" s="11"/>
      <c r="J29" s="11"/>
      <c r="K29" s="1"/>
      <c r="L29" s="11"/>
      <c r="M29" s="11"/>
    </row>
    <row r="30" spans="3:13" ht="26.25" customHeight="1" thickBot="1">
      <c r="C30" s="12"/>
      <c r="D30" s="146"/>
      <c r="E30" s="149"/>
      <c r="F30" s="8"/>
      <c r="G30" s="146"/>
      <c r="H30" s="11"/>
      <c r="I30" s="11"/>
      <c r="J30" s="11"/>
      <c r="K30" s="1"/>
      <c r="L30" s="11"/>
      <c r="M30" s="13"/>
    </row>
    <row r="31" spans="3:13" ht="26.25" customHeight="1" thickBot="1">
      <c r="C31" s="12"/>
      <c r="D31" s="146"/>
      <c r="E31" s="149"/>
      <c r="F31" s="8"/>
      <c r="G31" s="146"/>
      <c r="H31" s="11"/>
      <c r="I31" s="11"/>
      <c r="J31" s="11"/>
      <c r="K31" s="1"/>
      <c r="L31" s="11"/>
      <c r="M31" s="11"/>
    </row>
    <row r="32" spans="3:13" ht="26.25" customHeight="1" thickBot="1">
      <c r="C32" s="12"/>
      <c r="D32" s="146"/>
      <c r="E32" s="149"/>
      <c r="F32" s="8"/>
      <c r="G32" s="146"/>
      <c r="H32" s="11"/>
      <c r="I32" s="11"/>
      <c r="J32" s="11"/>
      <c r="K32" s="1"/>
      <c r="L32" s="11"/>
      <c r="M32" s="11"/>
    </row>
    <row r="33" spans="3:13" ht="26.25" customHeight="1" thickBot="1">
      <c r="C33" s="12"/>
      <c r="D33" s="146"/>
      <c r="E33" s="149"/>
      <c r="F33" s="8"/>
      <c r="G33" s="146"/>
      <c r="H33" s="11"/>
      <c r="I33" s="11"/>
      <c r="J33" s="11"/>
      <c r="K33" s="1"/>
      <c r="L33" s="11"/>
      <c r="M33" s="11"/>
    </row>
    <row r="34" spans="3:13" ht="26.25" customHeight="1" thickBot="1">
      <c r="C34" s="12"/>
      <c r="D34" s="146"/>
      <c r="E34" s="149"/>
      <c r="F34" s="8"/>
      <c r="G34" s="146"/>
      <c r="H34" s="11"/>
      <c r="I34" s="11"/>
      <c r="J34" s="11"/>
      <c r="K34" s="1"/>
      <c r="L34" s="11"/>
      <c r="M34" s="11"/>
    </row>
    <row r="35" spans="3:13" ht="26.25" customHeight="1" thickBot="1">
      <c r="C35" s="12"/>
      <c r="D35" s="146"/>
      <c r="E35" s="149"/>
      <c r="F35" s="8"/>
      <c r="G35" s="146"/>
      <c r="H35" s="11"/>
      <c r="I35" s="11"/>
      <c r="J35" s="11"/>
      <c r="K35" s="1"/>
      <c r="L35" s="11"/>
      <c r="M35" s="11"/>
    </row>
    <row r="36" spans="3:13" ht="26.25" customHeight="1" thickBot="1">
      <c r="C36" s="12"/>
      <c r="D36" s="146"/>
      <c r="E36" s="149"/>
      <c r="F36" s="8"/>
      <c r="G36" s="146"/>
      <c r="H36" s="11"/>
      <c r="I36" s="11"/>
      <c r="J36" s="11"/>
      <c r="K36" s="1"/>
      <c r="L36" s="11"/>
      <c r="M36" s="11"/>
    </row>
    <row r="37" spans="3:13" ht="26.25" customHeight="1" thickBot="1">
      <c r="C37" s="12"/>
      <c r="D37" s="147"/>
      <c r="E37" s="150"/>
      <c r="F37" s="9"/>
      <c r="G37" s="147"/>
      <c r="H37" s="11"/>
      <c r="I37" s="11"/>
      <c r="J37" s="11"/>
      <c r="K37" s="1"/>
      <c r="L37" s="11"/>
      <c r="M37" s="11"/>
    </row>
  </sheetData>
  <mergeCells count="6">
    <mergeCell ref="C2:J4"/>
    <mergeCell ref="L3:M4"/>
    <mergeCell ref="C5:J5"/>
    <mergeCell ref="D7:D37"/>
    <mergeCell ref="E7:E37"/>
    <mergeCell ref="G7:G37"/>
  </mergeCells>
  <conditionalFormatting sqref="F7:F37">
    <cfRule type="containsText" dxfId="40" priority="6" operator="containsText" text="Light Blue">
      <formula>NOT(ISERROR(SEARCH("Light Blue",F7)))</formula>
    </cfRule>
    <cfRule type="containsText" dxfId="39" priority="16" operator="containsText" text="Orange">
      <formula>NOT(ISERROR(SEARCH("Orange",F7)))</formula>
    </cfRule>
    <cfRule type="containsText" dxfId="38" priority="17" operator="containsText" text="Purple">
      <formula>NOT(ISERROR(SEARCH("Purple",F7)))</formula>
    </cfRule>
  </conditionalFormatting>
  <conditionalFormatting sqref="F7:F37">
    <cfRule type="containsText" dxfId="37" priority="4" operator="containsText" text="Light Blue">
      <formula>NOT(ISERROR(SEARCH("Light Blue",F7)))</formula>
    </cfRule>
    <cfRule type="containsText" dxfId="36" priority="7" operator="containsText" text="Dark Blue">
      <formula>NOT(ISERROR(SEARCH("Dark Blue",F7)))</formula>
    </cfRule>
    <cfRule type="containsText" dxfId="35" priority="8" operator="containsText" text="Blue">
      <formula>NOT(ISERROR(SEARCH("Blue",F7)))</formula>
    </cfRule>
    <cfRule type="containsText" dxfId="34" priority="9" operator="containsText" text="Yellow">
      <formula>NOT(ISERROR(SEARCH("Yellow",F7)))</formula>
    </cfRule>
    <cfRule type="containsText" dxfId="33" priority="10" operator="containsText" text="Light Blue">
      <formula>NOT(ISERROR(SEARCH("Light Blue",F7)))</formula>
    </cfRule>
    <cfRule type="containsText" dxfId="32" priority="11" operator="containsText" text="Dark Green">
      <formula>NOT(ISERROR(SEARCH("Dark Green",F7)))</formula>
    </cfRule>
    <cfRule type="containsText" dxfId="31" priority="12" operator="containsText" text="Brown">
      <formula>NOT(ISERROR(SEARCH("Brown",F7)))</formula>
    </cfRule>
    <cfRule type="containsText" dxfId="30" priority="13" operator="containsText" text="Green">
      <formula>NOT(ISERROR(SEARCH("Green",F7)))</formula>
    </cfRule>
    <cfRule type="containsText" dxfId="29" priority="14" operator="containsText" text="Red">
      <formula>NOT(ISERROR(SEARCH("Red",F7)))</formula>
    </cfRule>
    <cfRule type="containsText" dxfId="28" priority="15" operator="containsText" text="Gray">
      <formula>NOT(ISERROR(SEARCH("Gray",F7)))</formula>
    </cfRule>
  </conditionalFormatting>
  <conditionalFormatting sqref="F8">
    <cfRule type="containsText" dxfId="27" priority="5" operator="containsText" text="Orange">
      <formula>NOT(ISERROR(SEARCH("Orange",F8)))</formula>
    </cfRule>
  </conditionalFormatting>
  <conditionalFormatting sqref="F19">
    <cfRule type="containsText" priority="2" operator="containsText" text="White">
      <formula>NOT(ISERROR(SEARCH("White",F19)))</formula>
    </cfRule>
    <cfRule type="containsText" dxfId="26" priority="3" operator="containsText" text="wHITE">
      <formula>NOT(ISERROR(SEARCH("wHITE",F19)))</formula>
    </cfRule>
  </conditionalFormatting>
  <conditionalFormatting sqref="F7:F37">
    <cfRule type="containsText" dxfId="25" priority="1" operator="containsText" text="White">
      <formula>NOT(ISERROR(SEARCH("White",F7)))</formula>
    </cfRule>
  </conditionalFormatting>
  <dataValidations count="4">
    <dataValidation type="list" allowBlank="1" showInputMessage="1" showErrorMessage="1" sqref="D7:D37" xr:uid="{00000000-0002-0000-0600-000000000000}">
      <formula1>" Lable"</formula1>
    </dataValidation>
    <dataValidation type="list" allowBlank="1" showInputMessage="1" showErrorMessage="1" sqref="E7:E37" xr:uid="{00000000-0002-0000-0600-000001000000}">
      <formula1>"EST"</formula1>
    </dataValidation>
    <dataValidation type="list" allowBlank="1" showInputMessage="1" showErrorMessage="1" sqref="F7:F37" xr:uid="{00000000-0002-0000-0600-000002000000}">
      <formula1>"Blue, Green"</formula1>
    </dataValidation>
    <dataValidation type="list" allowBlank="1" showInputMessage="1" showErrorMessage="1" sqref="G7:G37" xr:uid="{00000000-0002-0000-0600-000003000000}">
      <formula1>"140x240"</formula1>
    </dataValidation>
  </dataValidations>
  <pageMargins left="0.75" right="0.75" top="1" bottom="1" header="0.5" footer="0.5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theme="1"/>
  </sheetPr>
  <dimension ref="C1:M37"/>
  <sheetViews>
    <sheetView topLeftCell="A17" zoomScale="70" zoomScaleNormal="70" workbookViewId="0">
      <selection activeCell="M36" sqref="M36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.75" customHeight="1" thickBot="1"/>
    <row r="2" spans="3:13" ht="27" customHeight="1" thickBot="1">
      <c r="C2" s="203" t="s">
        <v>77</v>
      </c>
      <c r="D2" s="204"/>
      <c r="E2" s="204"/>
      <c r="F2" s="204"/>
      <c r="G2" s="204"/>
      <c r="H2" s="204"/>
      <c r="I2" s="204"/>
      <c r="J2" s="205"/>
      <c r="K2" s="1"/>
    </row>
    <row r="3" spans="3:13" ht="27.75" customHeight="1" thickBot="1">
      <c r="C3" s="206"/>
      <c r="D3" s="207"/>
      <c r="E3" s="207"/>
      <c r="F3" s="207"/>
      <c r="G3" s="207"/>
      <c r="H3" s="207"/>
      <c r="I3" s="207"/>
      <c r="J3" s="208"/>
      <c r="K3" s="1"/>
      <c r="L3" s="138" t="s">
        <v>16</v>
      </c>
      <c r="M3" s="139"/>
    </row>
    <row r="4" spans="3:13" ht="27.75" customHeight="1" thickTop="1" thickBot="1">
      <c r="C4" s="209"/>
      <c r="D4" s="210"/>
      <c r="E4" s="210"/>
      <c r="F4" s="210"/>
      <c r="G4" s="210"/>
      <c r="H4" s="210"/>
      <c r="I4" s="210"/>
      <c r="J4" s="211"/>
      <c r="K4" s="1"/>
      <c r="L4" s="140"/>
      <c r="M4" s="141"/>
    </row>
    <row r="5" spans="3:13" ht="26.4" thickBot="1">
      <c r="C5" s="53"/>
      <c r="D5" s="54"/>
      <c r="E5" s="54"/>
      <c r="F5" s="54"/>
      <c r="G5" s="54"/>
      <c r="H5" s="54"/>
      <c r="I5" s="54"/>
      <c r="J5" s="55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51">
        <v>46143</v>
      </c>
      <c r="D7" s="145" t="s">
        <v>79</v>
      </c>
      <c r="E7" s="56" t="s">
        <v>78</v>
      </c>
      <c r="F7" s="8" t="s">
        <v>87</v>
      </c>
      <c r="G7" s="66" t="s">
        <v>76</v>
      </c>
      <c r="H7" s="11" t="s">
        <v>66</v>
      </c>
      <c r="I7" s="11">
        <v>2000</v>
      </c>
      <c r="J7" s="11">
        <v>2000</v>
      </c>
      <c r="K7" s="1"/>
      <c r="L7" s="11"/>
      <c r="M7" s="11"/>
    </row>
    <row r="8" spans="3:13" ht="26.4" thickBot="1">
      <c r="C8" s="152"/>
      <c r="D8" s="146"/>
      <c r="E8" s="57" t="s">
        <v>72</v>
      </c>
      <c r="F8" s="8" t="s">
        <v>86</v>
      </c>
      <c r="G8" s="66" t="s">
        <v>83</v>
      </c>
      <c r="H8" s="11" t="s">
        <v>66</v>
      </c>
      <c r="I8" s="11">
        <v>1464</v>
      </c>
      <c r="J8" s="11">
        <v>1464</v>
      </c>
      <c r="K8" s="1"/>
      <c r="L8" s="11"/>
      <c r="M8" s="11"/>
    </row>
    <row r="9" spans="3:13" ht="26.4" thickBot="1">
      <c r="C9" s="152"/>
      <c r="D9" s="146"/>
      <c r="E9" s="57" t="s">
        <v>80</v>
      </c>
      <c r="F9" s="8" t="s">
        <v>37</v>
      </c>
      <c r="G9" s="66" t="s">
        <v>83</v>
      </c>
      <c r="H9" s="11" t="s">
        <v>66</v>
      </c>
      <c r="I9" s="11">
        <v>400</v>
      </c>
      <c r="J9" s="11">
        <v>400</v>
      </c>
      <c r="K9" s="1"/>
      <c r="L9" s="11"/>
      <c r="M9" s="13"/>
    </row>
    <row r="10" spans="3:13" ht="26.4" thickBot="1">
      <c r="C10" s="152"/>
      <c r="D10" s="146"/>
      <c r="E10" s="57" t="s">
        <v>80</v>
      </c>
      <c r="F10" s="8" t="s">
        <v>24</v>
      </c>
      <c r="G10" s="66" t="s">
        <v>83</v>
      </c>
      <c r="H10" s="11" t="s">
        <v>66</v>
      </c>
      <c r="I10" s="11">
        <v>400</v>
      </c>
      <c r="J10" s="11">
        <v>400</v>
      </c>
      <c r="K10" s="1"/>
      <c r="L10" s="11"/>
      <c r="M10" s="11"/>
    </row>
    <row r="11" spans="3:13" ht="26.4" thickBot="1">
      <c r="C11" s="152"/>
      <c r="D11" s="146"/>
      <c r="E11" s="57" t="s">
        <v>81</v>
      </c>
      <c r="F11" s="8" t="s">
        <v>81</v>
      </c>
      <c r="G11" s="66" t="s">
        <v>82</v>
      </c>
      <c r="H11" s="11" t="s">
        <v>66</v>
      </c>
      <c r="I11" s="11">
        <v>105</v>
      </c>
      <c r="J11" s="11">
        <v>105</v>
      </c>
      <c r="K11" s="1"/>
      <c r="L11" s="11"/>
      <c r="M11" s="11"/>
    </row>
    <row r="12" spans="3:13" ht="26.4" thickBot="1">
      <c r="C12" s="153"/>
      <c r="D12" s="146"/>
      <c r="E12" s="57" t="s">
        <v>84</v>
      </c>
      <c r="F12" s="8" t="s">
        <v>84</v>
      </c>
      <c r="G12" s="66" t="s">
        <v>85</v>
      </c>
      <c r="H12" s="11" t="s">
        <v>66</v>
      </c>
      <c r="I12" s="11">
        <v>200</v>
      </c>
      <c r="J12" s="11">
        <v>200</v>
      </c>
      <c r="K12" s="1"/>
      <c r="L12" s="11"/>
      <c r="M12" s="11"/>
    </row>
    <row r="13" spans="3:13" ht="26.4" thickBot="1">
      <c r="C13" s="50"/>
      <c r="D13" s="146"/>
      <c r="E13" s="64"/>
      <c r="F13" s="60"/>
      <c r="G13" s="66"/>
      <c r="H13" s="51"/>
      <c r="I13" s="51"/>
      <c r="J13" s="51"/>
      <c r="K13" s="1"/>
      <c r="L13" s="51"/>
      <c r="M13" s="51"/>
    </row>
    <row r="14" spans="3:13" ht="26.4" thickBot="1">
      <c r="C14" s="151">
        <v>46144</v>
      </c>
      <c r="D14" s="146"/>
      <c r="E14" s="57" t="s">
        <v>80</v>
      </c>
      <c r="F14" s="8" t="s">
        <v>37</v>
      </c>
      <c r="G14" s="66"/>
      <c r="H14" s="11" t="s">
        <v>66</v>
      </c>
      <c r="I14" s="11">
        <v>400</v>
      </c>
      <c r="J14" s="11">
        <v>399</v>
      </c>
      <c r="K14" s="1"/>
      <c r="L14" s="11"/>
      <c r="M14" s="11"/>
    </row>
    <row r="15" spans="3:13" ht="26.4" thickBot="1">
      <c r="C15" s="152"/>
      <c r="D15" s="146"/>
      <c r="E15" s="57" t="s">
        <v>78</v>
      </c>
      <c r="F15" s="8" t="s">
        <v>87</v>
      </c>
      <c r="G15" s="66"/>
      <c r="H15" s="11" t="s">
        <v>66</v>
      </c>
      <c r="I15" s="11">
        <v>2000</v>
      </c>
      <c r="J15" s="11">
        <v>1998</v>
      </c>
      <c r="K15" s="1"/>
      <c r="L15" s="11"/>
      <c r="M15" s="11"/>
    </row>
    <row r="16" spans="3:13" ht="26.4" thickBot="1">
      <c r="C16" s="153"/>
      <c r="D16" s="146"/>
      <c r="E16" s="57" t="s">
        <v>80</v>
      </c>
      <c r="F16" s="8" t="s">
        <v>37</v>
      </c>
      <c r="G16" s="66"/>
      <c r="H16" s="11" t="s">
        <v>66</v>
      </c>
      <c r="I16" s="11">
        <v>399</v>
      </c>
      <c r="J16" s="11">
        <v>398</v>
      </c>
      <c r="K16" s="1"/>
      <c r="L16" s="11"/>
      <c r="M16" s="13"/>
    </row>
    <row r="17" spans="3:13" ht="26.4" thickBot="1">
      <c r="C17" s="50"/>
      <c r="D17" s="146"/>
      <c r="E17" s="64"/>
      <c r="F17" s="60"/>
      <c r="G17" s="66"/>
      <c r="H17" s="51"/>
      <c r="I17" s="51"/>
      <c r="J17" s="51"/>
      <c r="K17" s="1"/>
      <c r="L17" s="51"/>
      <c r="M17" s="51"/>
    </row>
    <row r="18" spans="3:13" ht="26.4" thickBot="1">
      <c r="C18" s="212">
        <v>46145</v>
      </c>
      <c r="D18" s="146"/>
      <c r="E18" s="57" t="s">
        <v>80</v>
      </c>
      <c r="F18" s="8" t="s">
        <v>37</v>
      </c>
      <c r="G18" s="66"/>
      <c r="H18" s="11" t="s">
        <v>66</v>
      </c>
      <c r="I18" s="11">
        <v>398</v>
      </c>
      <c r="J18" s="11">
        <v>390</v>
      </c>
      <c r="K18" s="1"/>
      <c r="L18" s="11"/>
      <c r="M18" s="11"/>
    </row>
    <row r="19" spans="3:13" ht="26.4" thickBot="1">
      <c r="C19" s="213"/>
      <c r="D19" s="146"/>
      <c r="E19" s="57" t="s">
        <v>78</v>
      </c>
      <c r="F19" s="8" t="s">
        <v>87</v>
      </c>
      <c r="G19" s="66"/>
      <c r="H19" s="11" t="s">
        <v>66</v>
      </c>
      <c r="I19" s="11">
        <v>1998</v>
      </c>
      <c r="J19" s="11">
        <v>1995</v>
      </c>
      <c r="K19" s="1"/>
      <c r="L19" s="11"/>
      <c r="M19" s="11"/>
    </row>
    <row r="20" spans="3:13" ht="26.4" thickBot="1">
      <c r="C20" s="50"/>
      <c r="D20" s="146"/>
      <c r="E20" s="64"/>
      <c r="F20" s="60"/>
      <c r="G20" s="66"/>
      <c r="H20" s="51"/>
      <c r="I20" s="51"/>
      <c r="J20" s="51"/>
      <c r="K20" s="1"/>
      <c r="L20" s="51"/>
      <c r="M20" s="51"/>
    </row>
    <row r="21" spans="3:13" ht="26.25" customHeight="1" thickBot="1">
      <c r="C21" s="212">
        <v>46146</v>
      </c>
      <c r="D21" s="146"/>
      <c r="E21" s="57" t="s">
        <v>78</v>
      </c>
      <c r="F21" s="8" t="s">
        <v>87</v>
      </c>
      <c r="G21" s="66"/>
      <c r="H21" s="11" t="s">
        <v>66</v>
      </c>
      <c r="I21" s="11">
        <v>1995</v>
      </c>
      <c r="J21" s="11">
        <v>1988</v>
      </c>
      <c r="K21" s="1"/>
      <c r="L21" s="11"/>
      <c r="M21" s="11"/>
    </row>
    <row r="22" spans="3:13" ht="26.25" customHeight="1" thickBot="1">
      <c r="C22" s="213"/>
      <c r="D22" s="146"/>
      <c r="E22" s="57" t="s">
        <v>80</v>
      </c>
      <c r="F22" s="8" t="s">
        <v>37</v>
      </c>
      <c r="G22" s="66"/>
      <c r="H22" s="11" t="s">
        <v>66</v>
      </c>
      <c r="I22" s="11">
        <v>390</v>
      </c>
      <c r="J22" s="11">
        <v>374</v>
      </c>
      <c r="K22" s="1"/>
      <c r="L22" s="11"/>
      <c r="M22" s="11"/>
    </row>
    <row r="23" spans="3:13" ht="26.25" customHeight="1" thickBot="1">
      <c r="C23" s="50"/>
      <c r="D23" s="146"/>
      <c r="E23" s="64"/>
      <c r="F23" s="60"/>
      <c r="G23" s="66"/>
      <c r="H23" s="51"/>
      <c r="I23" s="51"/>
      <c r="J23" s="51"/>
      <c r="K23" s="1"/>
      <c r="L23" s="51"/>
      <c r="M23" s="51"/>
    </row>
    <row r="24" spans="3:13" ht="26.25" customHeight="1" thickBot="1">
      <c r="C24" s="212">
        <v>46147</v>
      </c>
      <c r="D24" s="146"/>
      <c r="E24" s="57" t="s">
        <v>78</v>
      </c>
      <c r="F24" s="8" t="s">
        <v>87</v>
      </c>
      <c r="G24" s="66"/>
      <c r="H24" s="11" t="s">
        <v>66</v>
      </c>
      <c r="I24" s="11">
        <v>1988</v>
      </c>
      <c r="J24" s="11">
        <v>1983</v>
      </c>
      <c r="K24" s="1"/>
      <c r="L24" s="11"/>
      <c r="M24" s="11"/>
    </row>
    <row r="25" spans="3:13" ht="26.25" customHeight="1" thickBot="1">
      <c r="C25" s="214"/>
      <c r="D25" s="146"/>
      <c r="E25" s="57" t="s">
        <v>80</v>
      </c>
      <c r="F25" s="8" t="s">
        <v>37</v>
      </c>
      <c r="G25" s="66"/>
      <c r="H25" s="11" t="s">
        <v>66</v>
      </c>
      <c r="I25" s="11">
        <v>374</v>
      </c>
      <c r="J25" s="11">
        <v>370</v>
      </c>
      <c r="K25" s="1"/>
      <c r="L25" s="11"/>
      <c r="M25" s="11"/>
    </row>
    <row r="26" spans="3:13" ht="26.25" customHeight="1" thickBot="1">
      <c r="C26" s="213"/>
      <c r="D26" s="146"/>
      <c r="E26" s="57" t="s">
        <v>80</v>
      </c>
      <c r="F26" s="8" t="s">
        <v>24</v>
      </c>
      <c r="G26" s="66"/>
      <c r="H26" s="11" t="s">
        <v>66</v>
      </c>
      <c r="I26" s="11">
        <v>400</v>
      </c>
      <c r="J26" s="11">
        <v>395</v>
      </c>
      <c r="K26" s="1"/>
      <c r="L26" s="11"/>
      <c r="M26" s="11"/>
    </row>
    <row r="27" spans="3:13" ht="26.25" customHeight="1" thickBot="1">
      <c r="C27" s="50"/>
      <c r="D27" s="146"/>
      <c r="E27" s="64"/>
      <c r="F27" s="60"/>
      <c r="G27" s="66"/>
      <c r="H27" s="51"/>
      <c r="I27" s="51"/>
      <c r="J27" s="51"/>
      <c r="K27" s="1"/>
      <c r="L27" s="51"/>
      <c r="M27" s="51"/>
    </row>
    <row r="28" spans="3:13" ht="26.25" customHeight="1" thickBot="1">
      <c r="C28" s="212">
        <v>46148</v>
      </c>
      <c r="D28" s="146"/>
      <c r="E28" s="57" t="s">
        <v>80</v>
      </c>
      <c r="F28" s="8" t="s">
        <v>24</v>
      </c>
      <c r="G28" s="66"/>
      <c r="H28" s="11" t="s">
        <v>66</v>
      </c>
      <c r="I28" s="11">
        <v>395</v>
      </c>
      <c r="J28" s="11">
        <v>393</v>
      </c>
      <c r="K28" s="1"/>
      <c r="L28" s="11"/>
      <c r="M28" s="11"/>
    </row>
    <row r="29" spans="3:13" ht="26.25" customHeight="1" thickBot="1">
      <c r="C29" s="214"/>
      <c r="D29" s="146"/>
      <c r="E29" s="57" t="s">
        <v>78</v>
      </c>
      <c r="F29" s="8" t="s">
        <v>87</v>
      </c>
      <c r="G29" s="66"/>
      <c r="H29" s="11" t="s">
        <v>66</v>
      </c>
      <c r="I29" s="11">
        <v>1983</v>
      </c>
      <c r="J29" s="11">
        <v>1978</v>
      </c>
      <c r="K29" s="1"/>
      <c r="L29" s="11"/>
      <c r="M29" s="11"/>
    </row>
    <row r="30" spans="3:13" ht="26.25" customHeight="1" thickBot="1">
      <c r="C30" s="213"/>
      <c r="D30" s="146"/>
      <c r="E30" s="95" t="s">
        <v>72</v>
      </c>
      <c r="F30" s="96" t="s">
        <v>86</v>
      </c>
      <c r="G30" s="66"/>
      <c r="H30" s="43" t="s">
        <v>66</v>
      </c>
      <c r="I30" s="43">
        <v>1464</v>
      </c>
      <c r="J30" s="43">
        <v>1456</v>
      </c>
      <c r="K30" s="1"/>
      <c r="L30" s="43"/>
      <c r="M30" s="45"/>
    </row>
    <row r="31" spans="3:13" ht="26.25" customHeight="1" thickBot="1">
      <c r="C31" s="73">
        <v>46149</v>
      </c>
      <c r="D31" s="146"/>
      <c r="E31" s="57" t="s">
        <v>72</v>
      </c>
      <c r="F31" s="8" t="s">
        <v>86</v>
      </c>
      <c r="G31" s="66"/>
      <c r="H31" s="11" t="s">
        <v>66</v>
      </c>
      <c r="I31" s="11">
        <v>1456</v>
      </c>
      <c r="J31" s="11">
        <v>1454</v>
      </c>
      <c r="K31" s="1"/>
      <c r="L31" s="11"/>
      <c r="M31" s="11"/>
    </row>
    <row r="32" spans="3:13" ht="26.25" customHeight="1" thickBot="1">
      <c r="C32" s="73">
        <v>46150</v>
      </c>
      <c r="D32" s="146"/>
      <c r="E32" s="57"/>
      <c r="F32" s="8"/>
      <c r="G32" s="66"/>
      <c r="H32" s="11"/>
      <c r="I32" s="11"/>
      <c r="J32" s="11"/>
      <c r="K32" s="1"/>
      <c r="L32" s="11"/>
      <c r="M32" s="11"/>
    </row>
    <row r="33" spans="3:13" ht="26.25" customHeight="1" thickBot="1">
      <c r="C33" s="73">
        <v>46151</v>
      </c>
      <c r="D33" s="146"/>
      <c r="E33" s="57"/>
      <c r="F33" s="8"/>
      <c r="G33" s="66"/>
      <c r="H33" s="11"/>
      <c r="I33" s="11"/>
      <c r="J33" s="11"/>
      <c r="K33" s="1"/>
      <c r="L33" s="11"/>
      <c r="M33" s="11"/>
    </row>
    <row r="34" spans="3:13" ht="26.25" customHeight="1" thickBot="1">
      <c r="C34" s="73">
        <v>46152</v>
      </c>
      <c r="D34" s="146"/>
      <c r="E34" s="57" t="s">
        <v>72</v>
      </c>
      <c r="F34" s="8" t="s">
        <v>86</v>
      </c>
      <c r="G34" s="66"/>
      <c r="H34" s="11" t="s">
        <v>66</v>
      </c>
      <c r="I34" s="11">
        <v>1454</v>
      </c>
      <c r="J34" s="11">
        <v>1445</v>
      </c>
      <c r="K34" s="1"/>
      <c r="L34" s="11"/>
      <c r="M34" s="11"/>
    </row>
    <row r="35" spans="3:13" ht="26.25" customHeight="1" thickBot="1">
      <c r="C35" s="12"/>
      <c r="D35" s="146"/>
      <c r="E35" s="57" t="s">
        <v>78</v>
      </c>
      <c r="F35" s="8" t="s">
        <v>87</v>
      </c>
      <c r="G35" s="66"/>
      <c r="H35" s="11" t="s">
        <v>66</v>
      </c>
      <c r="I35" s="11">
        <v>1978</v>
      </c>
      <c r="J35" s="11">
        <v>1974</v>
      </c>
      <c r="K35" s="1"/>
      <c r="L35" s="11"/>
      <c r="M35" s="11"/>
    </row>
    <row r="36" spans="3:13" ht="26.25" customHeight="1" thickBot="1">
      <c r="C36" s="12"/>
      <c r="D36" s="146"/>
      <c r="E36" s="57"/>
      <c r="F36" s="8"/>
      <c r="G36" s="66"/>
      <c r="H36" s="11"/>
      <c r="I36" s="11"/>
      <c r="J36" s="11"/>
      <c r="K36" s="1"/>
      <c r="L36" s="11"/>
      <c r="M36" s="11"/>
    </row>
    <row r="37" spans="3:13" ht="26.25" customHeight="1" thickBot="1">
      <c r="C37" s="12"/>
      <c r="D37" s="147"/>
      <c r="E37" s="58"/>
      <c r="F37" s="9"/>
      <c r="G37" s="66"/>
      <c r="H37" s="11"/>
      <c r="I37" s="11"/>
      <c r="J37" s="11"/>
      <c r="K37" s="1"/>
      <c r="L37" s="11"/>
      <c r="M37" s="11"/>
    </row>
  </sheetData>
  <mergeCells count="9">
    <mergeCell ref="C2:J4"/>
    <mergeCell ref="L3:M4"/>
    <mergeCell ref="D7:D37"/>
    <mergeCell ref="C7:C12"/>
    <mergeCell ref="C14:C16"/>
    <mergeCell ref="C18:C19"/>
    <mergeCell ref="C21:C22"/>
    <mergeCell ref="C24:C26"/>
    <mergeCell ref="C28:C30"/>
  </mergeCells>
  <conditionalFormatting sqref="F7:F37">
    <cfRule type="containsText" dxfId="24" priority="10" operator="containsText" text="Light Blue">
      <formula>NOT(ISERROR(SEARCH("Light Blue",F7)))</formula>
    </cfRule>
    <cfRule type="containsText" dxfId="23" priority="20" operator="containsText" text="Orange">
      <formula>NOT(ISERROR(SEARCH("Orange",F7)))</formula>
    </cfRule>
    <cfRule type="containsText" dxfId="22" priority="21" operator="containsText" text="Purple">
      <formula>NOT(ISERROR(SEARCH("Purple",F7)))</formula>
    </cfRule>
  </conditionalFormatting>
  <conditionalFormatting sqref="F7:F37">
    <cfRule type="containsText" dxfId="21" priority="8" operator="containsText" text="Light Blue">
      <formula>NOT(ISERROR(SEARCH("Light Blue",F7)))</formula>
    </cfRule>
    <cfRule type="containsText" dxfId="20" priority="11" operator="containsText" text="Dark Blue">
      <formula>NOT(ISERROR(SEARCH("Dark Blue",F7)))</formula>
    </cfRule>
    <cfRule type="containsText" dxfId="19" priority="12" operator="containsText" text="Blue">
      <formula>NOT(ISERROR(SEARCH("Blue",F7)))</formula>
    </cfRule>
    <cfRule type="containsText" dxfId="18" priority="13" operator="containsText" text="Yellow">
      <formula>NOT(ISERROR(SEARCH("Yellow",F7)))</formula>
    </cfRule>
    <cfRule type="containsText" dxfId="17" priority="14" operator="containsText" text="Light Blue">
      <formula>NOT(ISERROR(SEARCH("Light Blue",F7)))</formula>
    </cfRule>
    <cfRule type="containsText" dxfId="16" priority="15" operator="containsText" text="Dark Green">
      <formula>NOT(ISERROR(SEARCH("Dark Green",F7)))</formula>
    </cfRule>
    <cfRule type="containsText" dxfId="15" priority="16" operator="containsText" text="Brown">
      <formula>NOT(ISERROR(SEARCH("Brown",F7)))</formula>
    </cfRule>
    <cfRule type="containsText" dxfId="14" priority="17" operator="containsText" text="Green">
      <formula>NOT(ISERROR(SEARCH("Green",F7)))</formula>
    </cfRule>
    <cfRule type="containsText" dxfId="13" priority="18" operator="containsText" text="Red">
      <formula>NOT(ISERROR(SEARCH("Red",F7)))</formula>
    </cfRule>
    <cfRule type="containsText" dxfId="12" priority="19" operator="containsText" text="Gray">
      <formula>NOT(ISERROR(SEARCH("Gray",F7)))</formula>
    </cfRule>
  </conditionalFormatting>
  <conditionalFormatting sqref="F8">
    <cfRule type="containsText" dxfId="11" priority="9" operator="containsText" text="Orange">
      <formula>NOT(ISERROR(SEARCH("Orange",F8)))</formula>
    </cfRule>
  </conditionalFormatting>
  <conditionalFormatting sqref="F19">
    <cfRule type="containsText" priority="6" operator="containsText" text="White">
      <formula>NOT(ISERROR(SEARCH("White",F19)))</formula>
    </cfRule>
    <cfRule type="containsText" dxfId="10" priority="7" operator="containsText" text="wHITE">
      <formula>NOT(ISERROR(SEARCH("wHITE",F19)))</formula>
    </cfRule>
  </conditionalFormatting>
  <conditionalFormatting sqref="F7:F37">
    <cfRule type="containsText" dxfId="9" priority="5" operator="containsText" text="White">
      <formula>NOT(ISERROR(SEARCH("White",F7)))</formula>
    </cfRule>
  </conditionalFormatting>
  <conditionalFormatting sqref="F1:F1048576">
    <cfRule type="containsText" dxfId="8" priority="1" operator="containsText" text="QC">
      <formula>NOT(ISERROR(SEARCH("QC",F1)))</formula>
    </cfRule>
    <cfRule type="containsText" dxfId="7" priority="2" operator="containsText" text="White">
      <formula>NOT(ISERROR(SEARCH("White",F1)))</formula>
    </cfRule>
    <cfRule type="containsText" dxfId="6" priority="3" operator="containsText" text="QC">
      <formula>NOT(ISERROR(SEARCH("QC",F1)))</formula>
    </cfRule>
    <cfRule type="containsText" dxfId="5" priority="4" operator="containsText" text="Green+">
      <formula>NOT(ISERROR(SEARCH("Green+",F1)))</formula>
    </cfRule>
  </conditionalFormatting>
  <dataValidations count="4">
    <dataValidation type="list" allowBlank="1" showInputMessage="1" showErrorMessage="1" sqref="G1 G5:G1048576" xr:uid="{00000000-0002-0000-0700-000000000000}">
      <formula1>"165x300,16x24,7*5,8.6 (Dia.)"</formula1>
    </dataValidation>
    <dataValidation type="list" allowBlank="1" showInputMessage="1" showErrorMessage="1" sqref="D1 D5:D1048576" xr:uid="{00000000-0002-0000-0700-000001000000}">
      <formula1>"Roll"</formula1>
    </dataValidation>
    <dataValidation type="list" allowBlank="1" showInputMessage="1" showErrorMessage="1" sqref="E1:E1048576" xr:uid="{00000000-0002-0000-0700-000002000000}">
      <formula1>"Ribbon,EST,KOP,Plain White,QC"</formula1>
    </dataValidation>
    <dataValidation type="list" allowBlank="1" showInputMessage="1" showErrorMessage="1" sqref="F1:F1048576" xr:uid="{00000000-0002-0000-0700-000003000000}">
      <formula1>"Blue, Green,Green+,QC,CW641,Plain White"</formula1>
    </dataValidation>
  </dataValidations>
  <pageMargins left="0.75" right="0.75" top="1" bottom="1" header="0.5" footer="0.5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FF00"/>
  </sheetPr>
  <dimension ref="D1:U59"/>
  <sheetViews>
    <sheetView view="pageBreakPreview" topLeftCell="B9" zoomScale="102" zoomScaleNormal="100" zoomScaleSheetLayoutView="102" workbookViewId="0">
      <selection activeCell="I1" sqref="I1:J2"/>
    </sheetView>
  </sheetViews>
  <sheetFormatPr defaultColWidth="9.109375" defaultRowHeight="14.4"/>
  <cols>
    <col min="1" max="6" width="9.109375" style="102"/>
    <col min="7" max="7" width="9.109375" style="115"/>
    <col min="8" max="8" width="10.5546875" style="115" customWidth="1"/>
    <col min="9" max="10" width="11" style="118" customWidth="1"/>
    <col min="11" max="11" width="9.109375" style="102"/>
    <col min="12" max="12" width="12.33203125" style="102" customWidth="1"/>
    <col min="13" max="13" width="9.109375" style="102"/>
    <col min="14" max="16" width="11" style="102" customWidth="1"/>
    <col min="17" max="18" width="9.109375" style="102" customWidth="1"/>
    <col min="19" max="19" width="16" style="102" customWidth="1"/>
    <col min="20" max="16384" width="9.109375" style="102"/>
  </cols>
  <sheetData>
    <row r="1" spans="4:21" ht="14.4" customHeight="1">
      <c r="G1" s="217" t="s">
        <v>3</v>
      </c>
      <c r="H1" s="217"/>
      <c r="I1" s="217" t="s">
        <v>2</v>
      </c>
      <c r="J1" s="217"/>
      <c r="K1" s="217" t="s">
        <v>5</v>
      </c>
      <c r="L1" s="217"/>
      <c r="M1" s="217" t="s">
        <v>60</v>
      </c>
      <c r="N1" s="242"/>
      <c r="O1" s="217" t="s">
        <v>4</v>
      </c>
      <c r="P1" s="217"/>
      <c r="Q1" s="219" t="s">
        <v>79</v>
      </c>
      <c r="R1" s="217"/>
      <c r="S1" s="107"/>
      <c r="T1" s="108"/>
      <c r="U1" s="108"/>
    </row>
    <row r="2" spans="4:21" ht="15" customHeight="1">
      <c r="D2" s="103"/>
      <c r="E2" s="103"/>
      <c r="F2" s="103"/>
      <c r="G2" s="217"/>
      <c r="H2" s="217"/>
      <c r="I2" s="217"/>
      <c r="J2" s="217"/>
      <c r="K2" s="217"/>
      <c r="L2" s="217"/>
      <c r="M2" s="217"/>
      <c r="N2" s="242"/>
      <c r="O2" s="217"/>
      <c r="P2" s="217"/>
      <c r="Q2" s="219"/>
      <c r="R2" s="217"/>
      <c r="S2" s="107"/>
      <c r="T2" s="108"/>
      <c r="U2" s="108"/>
    </row>
    <row r="3" spans="4:21" ht="15" customHeight="1">
      <c r="D3" s="103"/>
      <c r="E3" s="103"/>
      <c r="F3" s="103"/>
      <c r="G3" s="217" t="s">
        <v>28</v>
      </c>
      <c r="H3" s="217"/>
      <c r="I3" s="242" t="s">
        <v>28</v>
      </c>
      <c r="J3" s="219"/>
      <c r="K3" s="242" t="s">
        <v>28</v>
      </c>
      <c r="L3" s="219"/>
      <c r="M3" s="217" t="s">
        <v>61</v>
      </c>
      <c r="N3" s="242"/>
      <c r="O3" s="217" t="s">
        <v>46</v>
      </c>
      <c r="P3" s="217"/>
      <c r="Q3" s="219" t="s">
        <v>78</v>
      </c>
      <c r="R3" s="217"/>
      <c r="S3" s="107"/>
      <c r="T3" s="108"/>
      <c r="U3" s="108"/>
    </row>
    <row r="4" spans="4:21" ht="15" customHeight="1">
      <c r="D4" s="103"/>
      <c r="E4" s="103"/>
      <c r="F4" s="103"/>
      <c r="G4" s="221" cm="1">
        <f t="array" ref="G4">LOOKUP(2,1/(Chicken!F:F="Purple"),Chicken!J:J)</f>
        <v>44158</v>
      </c>
      <c r="H4" s="221"/>
      <c r="I4" s="221" cm="1">
        <f t="array" ref="I4">LOOKUP(2,1/(COW!F:F="Purple"),COW!J:J)</f>
        <v>32111</v>
      </c>
      <c r="J4" s="221"/>
      <c r="K4" s="221" cm="1">
        <f t="array" ref="K4">LOOKUP(2,1/(WithOut!F:F="Purple (10)"),WithOut!J:J)</f>
        <v>7591</v>
      </c>
      <c r="L4" s="221"/>
      <c r="M4" s="221">
        <f>LOOKUP(2,1/(Plastic!F:F="Purple Popp"),Plastic!J:J)</f>
        <v>6208</v>
      </c>
      <c r="N4" s="251"/>
      <c r="O4" s="215">
        <f>LOOKUP(2,1/(Koptimix!F:F="Red Black(1i)"),Koptimix!J:J)</f>
        <v>27016</v>
      </c>
      <c r="P4" s="215"/>
      <c r="Q4" s="220">
        <f>LOOKUP(2,1/(Roll!F:F="CW641"),Roll!J:J)</f>
        <v>1974</v>
      </c>
      <c r="R4" s="221"/>
      <c r="S4" s="107"/>
      <c r="T4" s="107"/>
      <c r="U4" s="107"/>
    </row>
    <row r="5" spans="4:21" ht="15" customHeight="1">
      <c r="D5" s="103"/>
      <c r="E5" s="103"/>
      <c r="F5" s="103"/>
      <c r="G5" s="221"/>
      <c r="H5" s="221"/>
      <c r="I5" s="221"/>
      <c r="J5" s="221"/>
      <c r="K5" s="221"/>
      <c r="L5" s="221"/>
      <c r="M5" s="221"/>
      <c r="N5" s="251"/>
      <c r="O5" s="215"/>
      <c r="P5" s="215"/>
      <c r="Q5" s="220"/>
      <c r="R5" s="221"/>
      <c r="S5" s="107"/>
      <c r="T5" s="107"/>
      <c r="U5" s="107"/>
    </row>
    <row r="6" spans="4:21" ht="15" customHeight="1">
      <c r="D6" s="103"/>
      <c r="E6" s="103"/>
      <c r="F6" s="103"/>
      <c r="G6" s="218" t="s">
        <v>30</v>
      </c>
      <c r="H6" s="218"/>
      <c r="I6" s="243" t="s">
        <v>36</v>
      </c>
      <c r="J6" s="222"/>
      <c r="K6" s="243" t="s">
        <v>36</v>
      </c>
      <c r="L6" s="222"/>
      <c r="M6" s="218" t="s">
        <v>64</v>
      </c>
      <c r="N6" s="243"/>
      <c r="O6" s="218" t="s">
        <v>47</v>
      </c>
      <c r="P6" s="218"/>
      <c r="Q6" s="222" t="s">
        <v>72</v>
      </c>
      <c r="R6" s="218"/>
      <c r="S6" s="107"/>
      <c r="T6" s="107"/>
      <c r="U6" s="107"/>
    </row>
    <row r="7" spans="4:21" ht="15" customHeight="1">
      <c r="D7" s="103"/>
      <c r="E7" s="103"/>
      <c r="F7" s="103"/>
      <c r="G7" s="244" cm="1">
        <f t="array" ref="G7">LOOKUP(2,1/(Chicken!F:F="Orange"),Chicken!J:J)</f>
        <v>59</v>
      </c>
      <c r="H7" s="244"/>
      <c r="I7" s="241" cm="1">
        <f t="array" ref="I7">LOOKUP(2,1/(COW!F:F="Red"),COW!J:J)</f>
        <v>4753</v>
      </c>
      <c r="J7" s="241"/>
      <c r="K7" s="241" cm="1">
        <f t="array" ref="K7">LOOKUP(2,1/(WithOut!F:F="Red"),WithOut!J:J)</f>
        <v>24013</v>
      </c>
      <c r="L7" s="241"/>
      <c r="M7" s="252">
        <f>LOOKUP(2,1/(Plastic!F:F="Blue Popp"),Plastic!J:J)</f>
        <v>7150</v>
      </c>
      <c r="N7" s="253"/>
      <c r="O7" s="215">
        <f>LOOKUP(2,1/(Koptimix!F:F="Blue Green(1J)"),Koptimix!J:J)</f>
        <v>25695</v>
      </c>
      <c r="P7" s="215"/>
      <c r="Q7" s="223">
        <f>LOOKUP(2,1/(Roll!F:F="Green+"),Roll!J:J)</f>
        <v>1445</v>
      </c>
      <c r="R7" s="224"/>
      <c r="S7" s="104"/>
      <c r="T7" s="104"/>
      <c r="U7" s="104"/>
    </row>
    <row r="8" spans="4:21" ht="15" customHeight="1">
      <c r="D8" s="103"/>
      <c r="E8" s="103"/>
      <c r="F8" s="103"/>
      <c r="G8" s="244"/>
      <c r="H8" s="244"/>
      <c r="I8" s="241"/>
      <c r="J8" s="241"/>
      <c r="K8" s="241"/>
      <c r="L8" s="241"/>
      <c r="M8" s="252"/>
      <c r="N8" s="253"/>
      <c r="O8" s="215"/>
      <c r="P8" s="215"/>
      <c r="Q8" s="223"/>
      <c r="R8" s="224"/>
      <c r="S8" s="105"/>
      <c r="T8" s="110"/>
      <c r="U8" s="110"/>
    </row>
    <row r="9" spans="4:21" s="44" customFormat="1" ht="15" customHeight="1">
      <c r="G9" s="216" t="s">
        <v>88</v>
      </c>
      <c r="H9" s="216"/>
      <c r="I9" s="216" t="s">
        <v>30</v>
      </c>
      <c r="J9" s="216"/>
      <c r="K9" s="216" t="s">
        <v>30</v>
      </c>
      <c r="L9" s="216"/>
      <c r="M9" s="216" t="s">
        <v>65</v>
      </c>
      <c r="N9" s="248"/>
      <c r="O9" s="216" t="s">
        <v>48</v>
      </c>
      <c r="P9" s="216"/>
      <c r="Q9" s="227" t="s">
        <v>80</v>
      </c>
      <c r="R9" s="216"/>
      <c r="S9" s="105"/>
      <c r="T9" s="110"/>
      <c r="U9" s="110"/>
    </row>
    <row r="10" spans="4:21" ht="15" customHeight="1">
      <c r="D10" s="103"/>
      <c r="E10" s="103"/>
      <c r="F10" s="103"/>
      <c r="G10" s="245" cm="1">
        <f t="array" ref="G10">LOOKUP(2,1/(Chicken!F:F="Orange (13)"),Chicken!J:J)</f>
        <v>0</v>
      </c>
      <c r="H10" s="245"/>
      <c r="I10" s="244" cm="1">
        <f t="array" ref="I10">LOOKUP(2,1/(COW!F:F="Orange"),COW!J:J)</f>
        <v>4130</v>
      </c>
      <c r="J10" s="244"/>
      <c r="K10" s="244" cm="1">
        <f t="array" ref="K10">LOOKUP(2,1/(WithOut!F:F="Orange (10)"),WithOut!J:J)</f>
        <v>7450</v>
      </c>
      <c r="L10" s="244"/>
      <c r="M10" s="224">
        <f>LOOKUP(2,1/(Plastic!F:F="Green Popp"),Plastic!J:J)</f>
        <v>7092</v>
      </c>
      <c r="N10" s="249"/>
      <c r="O10" s="215" cm="1">
        <f t="array" ref="O10">LOOKUP(2,1/(Koptimix!F:F="Blue Black(1H)"),Koptimix!J:J)</f>
        <v>9176</v>
      </c>
      <c r="P10" s="215"/>
      <c r="Q10" s="230">
        <f>LOOKUP(2,1/(Roll!F:F="Green"),Roll!J:J)</f>
        <v>370</v>
      </c>
      <c r="R10" s="231"/>
      <c r="S10" s="112"/>
      <c r="T10" s="113"/>
      <c r="U10" s="113"/>
    </row>
    <row r="11" spans="4:21" ht="15" customHeight="1">
      <c r="D11" s="103"/>
      <c r="E11" s="103"/>
      <c r="F11" s="103"/>
      <c r="G11" s="245"/>
      <c r="H11" s="245"/>
      <c r="I11" s="244"/>
      <c r="J11" s="244"/>
      <c r="K11" s="244"/>
      <c r="L11" s="244"/>
      <c r="M11" s="224"/>
      <c r="N11" s="249"/>
      <c r="O11" s="215"/>
      <c r="P11" s="215"/>
      <c r="Q11" s="230"/>
      <c r="R11" s="231"/>
      <c r="S11" s="112"/>
      <c r="T11" s="113"/>
      <c r="U11" s="113"/>
    </row>
    <row r="12" spans="4:21" s="44" customFormat="1" ht="15" customHeight="1">
      <c r="G12" s="216" t="s">
        <v>34</v>
      </c>
      <c r="H12" s="216"/>
      <c r="I12" s="216" t="s">
        <v>24</v>
      </c>
      <c r="J12" s="216"/>
      <c r="K12" s="216" t="s">
        <v>24</v>
      </c>
      <c r="L12" s="216"/>
      <c r="M12" s="216" t="s">
        <v>90</v>
      </c>
      <c r="N12" s="248"/>
      <c r="O12" s="216" t="s">
        <v>50</v>
      </c>
      <c r="P12" s="216"/>
      <c r="Q12" s="227" t="s">
        <v>80</v>
      </c>
      <c r="R12" s="216"/>
      <c r="S12" s="112"/>
      <c r="T12" s="113"/>
      <c r="U12" s="113"/>
    </row>
    <row r="13" spans="4:21" ht="15" customHeight="1">
      <c r="D13" s="103"/>
      <c r="E13" s="103"/>
      <c r="F13" s="103"/>
      <c r="G13" s="244" cm="1">
        <f t="array" ref="G13">LOOKUP(2,1/(Chicken!F:F="Orange (70*45)"),Chicken!J:J)</f>
        <v>210</v>
      </c>
      <c r="H13" s="244"/>
      <c r="I13" s="233" cm="1">
        <f t="array" ref="I13">LOOKUP(2,1/(COW!F:F="Blue"),COW!J:J)</f>
        <v>47403</v>
      </c>
      <c r="J13" s="233"/>
      <c r="K13" s="233" cm="1">
        <f t="array" ref="K13">LOOKUP(2,1/(WithOut!F:F="Blue"),WithOut!J:J)</f>
        <v>6945</v>
      </c>
      <c r="L13" s="233"/>
      <c r="M13" s="244">
        <f>LOOKUP(2,1/(Plastic!F:F="White 25G"),Plastic!J:J)</f>
        <v>0</v>
      </c>
      <c r="N13" s="250"/>
      <c r="O13" s="215" cm="1">
        <f t="array" ref="O13">LOOKUP(2,1/(Koptimix!F:F="Red Dark Blue(1E)"),Koptimix!J:J)</f>
        <v>41655</v>
      </c>
      <c r="P13" s="215"/>
      <c r="Q13" s="232">
        <f>LOOKUP(2,1/(Roll!F:F="Blue"),Roll!J:J)</f>
        <v>393</v>
      </c>
      <c r="R13" s="233"/>
      <c r="S13" s="112"/>
      <c r="T13" s="113"/>
      <c r="U13" s="113"/>
    </row>
    <row r="14" spans="4:21" ht="15" customHeight="1">
      <c r="D14" s="103"/>
      <c r="E14" s="103"/>
      <c r="F14" s="103"/>
      <c r="G14" s="244"/>
      <c r="H14" s="244"/>
      <c r="I14" s="233"/>
      <c r="J14" s="233"/>
      <c r="K14" s="233"/>
      <c r="L14" s="233"/>
      <c r="M14" s="244"/>
      <c r="N14" s="250"/>
      <c r="O14" s="215"/>
      <c r="P14" s="215"/>
      <c r="Q14" s="232"/>
      <c r="R14" s="233"/>
      <c r="S14" s="104"/>
      <c r="T14" s="104"/>
      <c r="U14" s="104"/>
    </row>
    <row r="15" spans="4:21" s="44" customFormat="1" ht="15" customHeight="1">
      <c r="G15" s="216" t="s">
        <v>31</v>
      </c>
      <c r="H15" s="216"/>
      <c r="I15" s="216" t="s">
        <v>38</v>
      </c>
      <c r="J15" s="216"/>
      <c r="K15" s="216" t="s">
        <v>42</v>
      </c>
      <c r="L15" s="216"/>
      <c r="M15" s="216" t="s">
        <v>91</v>
      </c>
      <c r="N15" s="248"/>
      <c r="O15" s="216" t="s">
        <v>49</v>
      </c>
      <c r="P15" s="216"/>
      <c r="Q15" s="227" t="s">
        <v>81</v>
      </c>
      <c r="R15" s="216"/>
      <c r="S15" s="104"/>
      <c r="T15" s="104"/>
      <c r="U15" s="104"/>
    </row>
    <row r="16" spans="4:21" ht="15" customHeight="1">
      <c r="D16" s="103"/>
      <c r="E16" s="103"/>
      <c r="F16" s="103"/>
      <c r="G16" s="226" cm="1">
        <f t="array" ref="G16">LOOKUP(2,1/(Chicken!F:F="Gray"),Chicken!J:J)</f>
        <v>7723</v>
      </c>
      <c r="H16" s="226"/>
      <c r="I16" s="224" cm="1">
        <f t="array" ref="I16">LOOKUP(2,1/(COW!F:F="Dark Green"),COW!J:J)</f>
        <v>38160</v>
      </c>
      <c r="J16" s="224"/>
      <c r="K16" s="247" cm="1">
        <f t="array" ref="K16">LOOKUP(2,1/(WithOut!F:F="Brown"),WithOut!J:J)</f>
        <v>5516</v>
      </c>
      <c r="L16" s="247"/>
      <c r="M16" s="226">
        <f>LOOKUP(2,1/(Plastic!F:F="White 50G"),Plastic!J:J)</f>
        <v>322</v>
      </c>
      <c r="N16" s="255"/>
      <c r="O16" s="215" cm="1">
        <f t="array" ref="O16">LOOKUP(2,1/(Koptimix!F:F="Blue Gray(1A)"),Koptimix!J:J)</f>
        <v>8004</v>
      </c>
      <c r="P16" s="215"/>
      <c r="Q16" s="225">
        <f>LOOKUP(2,1/(Roll!F:F="QC"),Roll!J:J)</f>
        <v>105</v>
      </c>
      <c r="R16" s="226"/>
      <c r="S16" s="104"/>
      <c r="T16" s="104"/>
      <c r="U16" s="104"/>
    </row>
    <row r="17" spans="4:21" ht="15" customHeight="1">
      <c r="D17" s="103"/>
      <c r="E17" s="103"/>
      <c r="F17" s="103"/>
      <c r="G17" s="226"/>
      <c r="H17" s="226"/>
      <c r="I17" s="224"/>
      <c r="J17" s="224"/>
      <c r="K17" s="247"/>
      <c r="L17" s="247"/>
      <c r="M17" s="226"/>
      <c r="N17" s="255"/>
      <c r="O17" s="215"/>
      <c r="P17" s="215"/>
      <c r="Q17" s="225"/>
      <c r="R17" s="226"/>
      <c r="S17" s="104"/>
      <c r="T17" s="104"/>
      <c r="U17" s="104"/>
    </row>
    <row r="18" spans="4:21" s="44" customFormat="1" ht="15" customHeight="1">
      <c r="G18" s="216" t="s">
        <v>36</v>
      </c>
      <c r="H18" s="216"/>
      <c r="I18" s="216" t="s">
        <v>45</v>
      </c>
      <c r="J18" s="216"/>
      <c r="K18" s="216" t="s">
        <v>59</v>
      </c>
      <c r="L18" s="216"/>
      <c r="M18" s="216" t="s">
        <v>36</v>
      </c>
      <c r="N18" s="248"/>
      <c r="O18" s="216" t="s">
        <v>51</v>
      </c>
      <c r="P18" s="216"/>
      <c r="Q18" s="227" t="s">
        <v>84</v>
      </c>
      <c r="R18" s="216"/>
      <c r="S18" s="104"/>
      <c r="T18" s="104"/>
      <c r="U18" s="104"/>
    </row>
    <row r="19" spans="4:21" ht="15" customHeight="1">
      <c r="D19" s="103"/>
      <c r="E19" s="103"/>
      <c r="F19" s="103"/>
      <c r="G19" s="241" cm="1">
        <f t="array" ref="G19">LOOKUP(2,1/(Chicken!F:F="Red"),Chicken!J:J)</f>
        <v>8095</v>
      </c>
      <c r="H19" s="241"/>
      <c r="I19" s="224" cm="1">
        <f t="array" ref="I19">LOOKUP(2,1/(COW!F:F="Dark Green(75*50*13)"),COW!J:J)</f>
        <v>1802</v>
      </c>
      <c r="J19" s="224"/>
      <c r="K19" s="229" cm="1">
        <f t="array" ref="K19">LOOKUP(2,1/(WithOut!F:F="White"),WithOut!J:J)</f>
        <v>5457</v>
      </c>
      <c r="L19" s="229"/>
      <c r="M19" s="241">
        <f>LOOKUP(2,1/(Plastic!F:F="Red"),Plastic!J:J)</f>
        <v>10000</v>
      </c>
      <c r="N19" s="256"/>
      <c r="O19" s="215" cm="1">
        <f t="array" ref="O19">LOOKUP(2,1/(Koptimix!F:F="Purple Dark Blue(1B)"),Koptimix!J:J)</f>
        <v>10090</v>
      </c>
      <c r="P19" s="215"/>
      <c r="Q19" s="228">
        <f>LOOKUP(2,1/(Roll!F:F="Plain White"),Roll!J:J)</f>
        <v>200</v>
      </c>
      <c r="R19" s="229"/>
      <c r="S19" s="105"/>
      <c r="T19" s="104"/>
      <c r="U19" s="104"/>
    </row>
    <row r="20" spans="4:21" ht="15" customHeight="1">
      <c r="D20" s="103"/>
      <c r="E20" s="103"/>
      <c r="F20" s="103"/>
      <c r="G20" s="241"/>
      <c r="H20" s="241"/>
      <c r="I20" s="224"/>
      <c r="J20" s="224"/>
      <c r="K20" s="229"/>
      <c r="L20" s="229"/>
      <c r="M20" s="241"/>
      <c r="N20" s="256"/>
      <c r="O20" s="215"/>
      <c r="P20" s="215"/>
      <c r="Q20" s="228"/>
      <c r="R20" s="229"/>
      <c r="S20" s="112"/>
      <c r="T20" s="104"/>
      <c r="U20" s="104"/>
    </row>
    <row r="21" spans="4:21" ht="15" customHeight="1">
      <c r="D21" s="103"/>
      <c r="E21" s="103"/>
      <c r="F21" s="103"/>
      <c r="G21" s="216" t="s">
        <v>37</v>
      </c>
      <c r="H21" s="216"/>
      <c r="I21" s="216" t="s">
        <v>37</v>
      </c>
      <c r="J21" s="216"/>
      <c r="K21" s="216" t="s">
        <v>37</v>
      </c>
      <c r="L21" s="216"/>
      <c r="M21" s="216" t="s">
        <v>37</v>
      </c>
      <c r="N21" s="248"/>
      <c r="O21" s="216" t="s">
        <v>52</v>
      </c>
      <c r="P21" s="216"/>
      <c r="Q21" s="112"/>
      <c r="R21" s="112"/>
      <c r="S21" s="112"/>
      <c r="T21" s="104"/>
      <c r="U21" s="104"/>
    </row>
    <row r="22" spans="4:21" ht="15" customHeight="1">
      <c r="D22" s="103"/>
      <c r="E22" s="103"/>
      <c r="F22" s="103"/>
      <c r="G22" s="231" cm="1">
        <f t="array" ref="G22">LOOKUP(2,1/(Chicken!F:F="Green"),Chicken!J:J)</f>
        <v>65283</v>
      </c>
      <c r="H22" s="231"/>
      <c r="I22" s="231" cm="1">
        <f t="array" ref="I22">LOOKUP(2,1/(COW!F:F="Green"),COW!J:J)</f>
        <v>5904</v>
      </c>
      <c r="J22" s="231"/>
      <c r="K22" s="224" cm="1">
        <f t="array" ref="K22">LOOKUP(2,1/(WithOut!F:F="Green"),WithOut!J:J)</f>
        <v>20591</v>
      </c>
      <c r="L22" s="224"/>
      <c r="M22" s="231">
        <f>LOOKUP(2,1/(Plastic!F:F="Green"),Plastic!J:J)</f>
        <v>10000</v>
      </c>
      <c r="N22" s="257"/>
      <c r="O22" s="215" cm="1">
        <f t="array" ref="O22">LOOKUP(2,1/(Koptimix!F:F="Blue Purple(1C)"),Koptimix!J:J)</f>
        <v>21187</v>
      </c>
      <c r="P22" s="215"/>
      <c r="Q22" s="112"/>
      <c r="R22" s="112"/>
      <c r="S22" s="112"/>
      <c r="T22" s="104"/>
      <c r="U22" s="104"/>
    </row>
    <row r="23" spans="4:21" ht="15" customHeight="1">
      <c r="D23" s="103"/>
      <c r="E23" s="103"/>
      <c r="F23" s="103"/>
      <c r="G23" s="231"/>
      <c r="H23" s="231"/>
      <c r="I23" s="231"/>
      <c r="J23" s="231"/>
      <c r="K23" s="224"/>
      <c r="L23" s="224"/>
      <c r="M23" s="231"/>
      <c r="N23" s="257"/>
      <c r="O23" s="215"/>
      <c r="P23" s="215"/>
      <c r="Q23" s="112"/>
      <c r="R23" s="112"/>
      <c r="S23" s="112"/>
      <c r="T23" s="104"/>
      <c r="U23" s="104"/>
    </row>
    <row r="24" spans="4:21" s="44" customFormat="1" ht="15" customHeight="1">
      <c r="G24" s="216" t="s">
        <v>38</v>
      </c>
      <c r="H24" s="216"/>
      <c r="I24" s="234"/>
      <c r="J24" s="234"/>
      <c r="K24" s="111"/>
      <c r="L24" s="111"/>
      <c r="M24" s="216" t="s">
        <v>28</v>
      </c>
      <c r="N24" s="248"/>
      <c r="O24" s="216" t="s">
        <v>54</v>
      </c>
      <c r="P24" s="216"/>
      <c r="Q24" s="112"/>
      <c r="R24" s="112"/>
      <c r="S24" s="112"/>
      <c r="T24" s="104"/>
      <c r="U24" s="104"/>
    </row>
    <row r="25" spans="4:21" ht="15" customHeight="1">
      <c r="D25" s="103"/>
      <c r="E25" s="103"/>
      <c r="F25" s="103"/>
      <c r="G25" s="224" cm="1">
        <f t="array" ref="G25">LOOKUP(2,1/(Chicken!F:F="Dark Green"),Chicken!J:J)</f>
        <v>6146</v>
      </c>
      <c r="H25" s="224"/>
      <c r="I25" s="235"/>
      <c r="J25" s="235"/>
      <c r="K25" s="104"/>
      <c r="L25" s="104"/>
      <c r="M25" s="221">
        <f>LOOKUP(2,1/(Plastic!F:F="Purple"),Plastic!J:J)</f>
        <v>7710</v>
      </c>
      <c r="N25" s="251"/>
      <c r="O25" s="215" cm="1">
        <f t="array" ref="O25">LOOKUP(2,1/(Koptimix!F:F="Green Black(GB)"),Koptimix!J:J)</f>
        <v>7194</v>
      </c>
      <c r="P25" s="215"/>
      <c r="Q25" s="104"/>
      <c r="R25" s="104"/>
      <c r="S25" s="104"/>
      <c r="T25" s="104"/>
      <c r="U25" s="104"/>
    </row>
    <row r="26" spans="4:21" ht="15" customHeight="1">
      <c r="D26" s="103"/>
      <c r="E26" s="103"/>
      <c r="F26" s="103"/>
      <c r="G26" s="224"/>
      <c r="H26" s="224"/>
      <c r="I26" s="235"/>
      <c r="J26" s="235"/>
      <c r="K26" s="104"/>
      <c r="L26" s="104"/>
      <c r="M26" s="221"/>
      <c r="N26" s="251"/>
      <c r="O26" s="215"/>
      <c r="P26" s="215"/>
      <c r="Q26" s="104"/>
      <c r="R26" s="104"/>
      <c r="S26" s="104"/>
      <c r="T26" s="104"/>
      <c r="U26" s="104"/>
    </row>
    <row r="27" spans="4:21" ht="15" customHeight="1">
      <c r="D27" s="103"/>
      <c r="E27" s="103"/>
      <c r="F27" s="103"/>
      <c r="G27" s="216" t="s">
        <v>39</v>
      </c>
      <c r="H27" s="216"/>
      <c r="I27" s="234"/>
      <c r="J27" s="234"/>
      <c r="K27" s="104"/>
      <c r="L27" s="104"/>
      <c r="M27" s="216" t="s">
        <v>70</v>
      </c>
      <c r="N27" s="248"/>
      <c r="O27" s="216" t="s">
        <v>55</v>
      </c>
      <c r="P27" s="216"/>
      <c r="Q27" s="104"/>
      <c r="R27" s="104"/>
      <c r="S27" s="104"/>
      <c r="T27" s="104"/>
      <c r="U27" s="104"/>
    </row>
    <row r="28" spans="4:21" ht="15" customHeight="1">
      <c r="D28" s="103"/>
      <c r="E28" s="103"/>
      <c r="F28" s="103"/>
      <c r="G28" s="246" cm="1">
        <f t="array" ref="G28">LOOKUP(2,1/(Chicken!F:F="Light Blue"),Chicken!J:J)</f>
        <v>384</v>
      </c>
      <c r="H28" s="246"/>
      <c r="I28" s="235"/>
      <c r="J28" s="235"/>
      <c r="K28" s="104"/>
      <c r="L28" s="104"/>
      <c r="M28" s="252">
        <f>LOOKUP(2,1/(Plastic!F:F="Blue KOP"),Plastic!J:J)</f>
        <v>10745</v>
      </c>
      <c r="N28" s="253"/>
      <c r="O28" s="215" cm="1">
        <f t="array" ref="O28">LOOKUP(2,1/(Koptimix!F:F="Purple (Fish)"),Koptimix!J:J)</f>
        <v>2918</v>
      </c>
      <c r="P28" s="215"/>
      <c r="Q28" s="104"/>
      <c r="R28" s="104"/>
      <c r="S28" s="104"/>
      <c r="T28" s="104"/>
      <c r="U28" s="104"/>
    </row>
    <row r="29" spans="4:21" ht="15" customHeight="1">
      <c r="D29" s="103"/>
      <c r="E29" s="103"/>
      <c r="F29" s="103"/>
      <c r="G29" s="246"/>
      <c r="H29" s="246"/>
      <c r="I29" s="235"/>
      <c r="J29" s="235"/>
      <c r="K29" s="109"/>
      <c r="L29" s="109"/>
      <c r="M29" s="252"/>
      <c r="N29" s="253"/>
      <c r="O29" s="215"/>
      <c r="P29" s="215"/>
      <c r="Q29" s="105"/>
      <c r="R29" s="105"/>
      <c r="S29" s="105"/>
      <c r="T29" s="104"/>
      <c r="U29" s="104"/>
    </row>
    <row r="30" spans="4:21" ht="15" customHeight="1">
      <c r="D30" s="103"/>
      <c r="E30" s="103"/>
      <c r="F30" s="103"/>
      <c r="G30" s="216" t="s">
        <v>24</v>
      </c>
      <c r="H30" s="216"/>
      <c r="I30" s="234"/>
      <c r="J30" s="234"/>
      <c r="K30" s="109"/>
      <c r="L30" s="109"/>
      <c r="M30" s="216" t="s">
        <v>71</v>
      </c>
      <c r="N30" s="248"/>
      <c r="O30" s="119"/>
      <c r="P30" s="119"/>
      <c r="Q30" s="105"/>
      <c r="R30" s="105"/>
      <c r="S30" s="105"/>
      <c r="T30" s="104"/>
      <c r="U30" s="104"/>
    </row>
    <row r="31" spans="4:21" ht="15" customHeight="1">
      <c r="D31" s="103"/>
      <c r="E31" s="103"/>
      <c r="F31" s="103"/>
      <c r="G31" s="233" cm="1">
        <f t="array" ref="G31">LOOKUP(2,1/(Chicken!F:F="Blue"),Chicken!J:J)</f>
        <v>2494</v>
      </c>
      <c r="H31" s="233"/>
      <c r="I31" s="235"/>
      <c r="J31" s="235"/>
      <c r="K31" s="111"/>
      <c r="L31" s="111"/>
      <c r="M31" s="233">
        <f>LOOKUP(2,1/(Plastic!F:F="Red KOP"),Plastic!J:J)</f>
        <v>3010</v>
      </c>
      <c r="N31" s="254"/>
      <c r="O31" s="120"/>
      <c r="P31" s="120"/>
      <c r="Q31" s="112"/>
      <c r="R31" s="112"/>
      <c r="S31" s="112"/>
      <c r="T31" s="104"/>
      <c r="U31" s="104"/>
    </row>
    <row r="32" spans="4:21" ht="15" customHeight="1">
      <c r="D32" s="103"/>
      <c r="E32" s="103"/>
      <c r="F32" s="103"/>
      <c r="G32" s="233"/>
      <c r="H32" s="233"/>
      <c r="I32" s="235"/>
      <c r="J32" s="235"/>
      <c r="K32" s="111"/>
      <c r="L32" s="111"/>
      <c r="M32" s="233"/>
      <c r="N32" s="254"/>
      <c r="O32" s="120"/>
      <c r="P32" s="120"/>
      <c r="Q32" s="112"/>
      <c r="R32" s="112"/>
      <c r="S32" s="112"/>
      <c r="T32" s="104"/>
      <c r="U32" s="104"/>
    </row>
    <row r="33" spans="4:21" ht="15" customHeight="1">
      <c r="D33" s="103"/>
      <c r="E33" s="103"/>
      <c r="F33" s="103"/>
      <c r="G33" s="216" t="s">
        <v>40</v>
      </c>
      <c r="H33" s="216"/>
      <c r="I33" s="234"/>
      <c r="J33" s="234"/>
      <c r="K33" s="111"/>
      <c r="L33" s="111"/>
      <c r="M33" s="111"/>
      <c r="N33" s="111"/>
      <c r="O33" s="111"/>
      <c r="P33" s="111"/>
      <c r="Q33" s="112"/>
      <c r="R33" s="112"/>
      <c r="S33" s="112"/>
      <c r="T33" s="104"/>
      <c r="U33" s="104"/>
    </row>
    <row r="34" spans="4:21" ht="15" customHeight="1">
      <c r="D34" s="103"/>
      <c r="E34" s="103"/>
      <c r="F34" s="103"/>
      <c r="G34" s="240" cm="1">
        <f t="array" ref="G34">LOOKUP(2,1/(Chicken!F:F="Dark Blue"),Chicken!J:J)</f>
        <v>63952</v>
      </c>
      <c r="H34" s="240"/>
      <c r="I34" s="235"/>
      <c r="J34" s="235"/>
      <c r="K34" s="111"/>
      <c r="L34" s="111"/>
      <c r="M34" s="111"/>
      <c r="N34" s="111"/>
      <c r="O34" s="111"/>
      <c r="P34" s="111"/>
      <c r="Q34" s="112"/>
      <c r="R34" s="112"/>
      <c r="S34" s="112"/>
      <c r="T34" s="104"/>
      <c r="U34" s="104"/>
    </row>
    <row r="35" spans="4:21" ht="15" customHeight="1">
      <c r="D35" s="103"/>
      <c r="E35" s="103"/>
      <c r="F35" s="103"/>
      <c r="G35" s="240"/>
      <c r="H35" s="240"/>
      <c r="I35" s="235"/>
      <c r="J35" s="235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</row>
    <row r="36" spans="4:21" ht="15" customHeight="1">
      <c r="D36" s="103"/>
      <c r="E36" s="103"/>
      <c r="F36" s="103"/>
      <c r="G36" s="216" t="s">
        <v>41</v>
      </c>
      <c r="H36" s="216"/>
      <c r="I36" s="234"/>
      <c r="J36" s="23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</row>
    <row r="37" spans="4:21" ht="15" customHeight="1">
      <c r="D37" s="103"/>
      <c r="E37" s="103"/>
      <c r="F37" s="103"/>
      <c r="G37" s="237" cm="1">
        <f t="array" ref="G37">LOOKUP(2,1/(Chicken!F:F="Yellow"),Chicken!J:J)</f>
        <v>8017</v>
      </c>
      <c r="H37" s="237"/>
      <c r="I37" s="236"/>
      <c r="J37" s="236"/>
      <c r="K37" s="104"/>
      <c r="L37" s="104"/>
      <c r="M37" s="104"/>
      <c r="N37" s="104"/>
      <c r="O37" s="104"/>
      <c r="P37" s="104"/>
      <c r="Q37" s="105"/>
      <c r="R37" s="105"/>
      <c r="S37" s="104"/>
      <c r="T37" s="104"/>
      <c r="U37" s="104"/>
    </row>
    <row r="38" spans="4:21" ht="15" customHeight="1">
      <c r="D38" s="103"/>
      <c r="E38" s="103"/>
      <c r="F38" s="103"/>
      <c r="G38" s="237"/>
      <c r="H38" s="237"/>
      <c r="I38" s="236"/>
      <c r="J38" s="236"/>
      <c r="K38" s="104"/>
      <c r="L38" s="104"/>
      <c r="M38" s="104"/>
      <c r="N38" s="104"/>
      <c r="O38" s="104"/>
      <c r="P38" s="104"/>
      <c r="Q38" s="112"/>
      <c r="R38" s="112"/>
      <c r="S38" s="104"/>
      <c r="T38" s="104"/>
      <c r="U38" s="104"/>
    </row>
    <row r="39" spans="4:21" ht="15" customHeight="1">
      <c r="D39" s="103"/>
      <c r="E39" s="103"/>
      <c r="F39" s="103"/>
      <c r="G39" s="216" t="s">
        <v>42</v>
      </c>
      <c r="H39" s="216"/>
      <c r="I39" s="234"/>
      <c r="J39" s="234"/>
      <c r="K39" s="104"/>
      <c r="L39" s="104"/>
      <c r="M39" s="104"/>
      <c r="N39" s="104"/>
      <c r="O39" s="104"/>
      <c r="P39" s="104"/>
      <c r="Q39" s="112"/>
      <c r="R39" s="112"/>
      <c r="S39" s="104"/>
      <c r="T39" s="104"/>
      <c r="U39" s="104"/>
    </row>
    <row r="40" spans="4:21" ht="15" customHeight="1">
      <c r="D40" s="103"/>
      <c r="E40" s="103"/>
      <c r="F40" s="103"/>
      <c r="G40" s="238" cm="1">
        <f t="array" ref="G40">LOOKUP(2,1/(Chicken!F:F="Brown"),Chicken!J:J)</f>
        <v>30</v>
      </c>
      <c r="H40" s="238"/>
      <c r="I40" s="235"/>
      <c r="J40" s="235"/>
      <c r="K40" s="104"/>
      <c r="L40" s="104"/>
      <c r="M40" s="104"/>
      <c r="N40" s="104"/>
      <c r="O40" s="104"/>
      <c r="P40" s="104"/>
      <c r="Q40" s="112"/>
      <c r="R40" s="112"/>
      <c r="S40" s="104"/>
      <c r="T40" s="104"/>
      <c r="U40" s="104"/>
    </row>
    <row r="41" spans="4:21" ht="15" customHeight="1">
      <c r="D41" s="103"/>
      <c r="E41" s="103"/>
      <c r="F41" s="103"/>
      <c r="G41" s="238"/>
      <c r="H41" s="238"/>
      <c r="I41" s="235"/>
      <c r="J41" s="235"/>
      <c r="K41" s="104"/>
      <c r="L41" s="104"/>
      <c r="M41" s="104"/>
      <c r="N41" s="104"/>
      <c r="O41" s="104"/>
      <c r="P41" s="104"/>
      <c r="Q41" s="112"/>
      <c r="R41" s="112"/>
      <c r="S41" s="104"/>
      <c r="T41" s="104"/>
      <c r="U41" s="104"/>
    </row>
    <row r="42" spans="4:21" ht="15" customHeight="1">
      <c r="D42" s="103"/>
      <c r="E42" s="103"/>
      <c r="F42" s="103"/>
      <c r="G42" s="216" t="s">
        <v>89</v>
      </c>
      <c r="H42" s="216"/>
      <c r="I42" s="234"/>
      <c r="J42" s="234"/>
      <c r="K42" s="104"/>
      <c r="L42" s="104"/>
      <c r="M42" s="104"/>
      <c r="N42" s="104"/>
      <c r="O42" s="104"/>
      <c r="P42" s="104"/>
      <c r="Q42" s="112"/>
      <c r="R42" s="112"/>
      <c r="S42" s="104"/>
      <c r="T42" s="104"/>
      <c r="U42" s="104"/>
    </row>
    <row r="43" spans="4:21" ht="15" customHeight="1">
      <c r="D43" s="103"/>
      <c r="E43" s="103"/>
      <c r="F43" s="103"/>
      <c r="G43" s="238" cm="1">
        <f t="array" ref="G43">LOOKUP(2,1/(Chicken!F:F="Brown(13)"),Chicken!J:J)</f>
        <v>0</v>
      </c>
      <c r="H43" s="238"/>
      <c r="I43" s="235"/>
      <c r="J43" s="235"/>
      <c r="K43" s="44"/>
      <c r="L43" s="44"/>
      <c r="M43" s="44"/>
      <c r="N43" s="44"/>
      <c r="O43" s="44"/>
      <c r="P43" s="44"/>
      <c r="Q43" s="106"/>
      <c r="R43" s="106"/>
      <c r="S43" s="106"/>
      <c r="T43" s="106"/>
      <c r="U43" s="106"/>
    </row>
    <row r="44" spans="4:21" ht="15" customHeight="1">
      <c r="D44" s="103"/>
      <c r="E44" s="103"/>
      <c r="F44" s="103"/>
      <c r="G44" s="239"/>
      <c r="H44" s="239"/>
      <c r="I44" s="235"/>
      <c r="J44" s="235"/>
      <c r="K44" s="44"/>
      <c r="L44" s="44"/>
      <c r="M44" s="44"/>
      <c r="N44" s="44"/>
      <c r="O44" s="44"/>
      <c r="P44" s="44"/>
      <c r="Q44" s="106"/>
      <c r="R44" s="106"/>
      <c r="S44" s="106"/>
      <c r="T44" s="106"/>
      <c r="U44" s="106"/>
    </row>
    <row r="45" spans="4:21">
      <c r="G45" s="44"/>
      <c r="H45" s="44"/>
      <c r="I45" s="117"/>
      <c r="J45" s="117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</row>
    <row r="46" spans="4:21">
      <c r="G46" s="116"/>
      <c r="H46" s="116"/>
      <c r="I46" s="117"/>
      <c r="J46" s="117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</row>
    <row r="47" spans="4:21">
      <c r="G47" s="114"/>
      <c r="H47" s="114"/>
      <c r="I47" s="117"/>
      <c r="J47" s="117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</row>
    <row r="48" spans="4:21">
      <c r="G48" s="114"/>
      <c r="H48" s="114"/>
      <c r="I48" s="117"/>
      <c r="J48" s="117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</row>
    <row r="49" spans="7:21">
      <c r="G49" s="114"/>
      <c r="H49" s="114"/>
      <c r="I49" s="117"/>
      <c r="J49" s="117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</row>
    <row r="50" spans="7:21">
      <c r="G50" s="114"/>
      <c r="H50" s="114"/>
      <c r="I50" s="117"/>
      <c r="J50" s="117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</row>
    <row r="51" spans="7:21">
      <c r="G51" s="114"/>
      <c r="H51" s="114"/>
      <c r="I51" s="117"/>
      <c r="J51" s="117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</row>
    <row r="52" spans="7:21">
      <c r="G52" s="114"/>
      <c r="H52" s="114"/>
      <c r="I52" s="117"/>
      <c r="J52" s="117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</row>
    <row r="53" spans="7:21">
      <c r="G53" s="114"/>
      <c r="H53" s="114"/>
      <c r="I53" s="117"/>
      <c r="J53" s="117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</row>
    <row r="54" spans="7:21">
      <c r="G54" s="114"/>
      <c r="H54" s="114"/>
      <c r="I54" s="117"/>
      <c r="J54" s="117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</row>
    <row r="55" spans="7:21">
      <c r="G55" s="114"/>
      <c r="H55" s="114"/>
      <c r="I55" s="117"/>
      <c r="J55" s="117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</row>
    <row r="56" spans="7:21">
      <c r="G56" s="114"/>
      <c r="H56" s="114"/>
      <c r="I56" s="117"/>
      <c r="J56" s="117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</row>
    <row r="57" spans="7:21">
      <c r="G57" s="114"/>
      <c r="H57" s="114"/>
      <c r="I57" s="117"/>
      <c r="J57" s="117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</row>
    <row r="58" spans="7:21">
      <c r="G58" s="114"/>
      <c r="H58" s="114"/>
      <c r="I58" s="117"/>
      <c r="J58" s="117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</row>
    <row r="59" spans="7:21">
      <c r="G59" s="114"/>
      <c r="H59" s="114"/>
      <c r="I59" s="117"/>
      <c r="J59" s="117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</row>
  </sheetData>
  <mergeCells count="126">
    <mergeCell ref="M31:N32"/>
    <mergeCell ref="M24:N24"/>
    <mergeCell ref="M25:N26"/>
    <mergeCell ref="M27:N27"/>
    <mergeCell ref="M28:N29"/>
    <mergeCell ref="M30:N30"/>
    <mergeCell ref="M16:N17"/>
    <mergeCell ref="M18:N18"/>
    <mergeCell ref="M19:N20"/>
    <mergeCell ref="M21:N21"/>
    <mergeCell ref="M22:N23"/>
    <mergeCell ref="M9:N9"/>
    <mergeCell ref="M10:N11"/>
    <mergeCell ref="M12:N12"/>
    <mergeCell ref="M13:N14"/>
    <mergeCell ref="M15:N15"/>
    <mergeCell ref="M1:N2"/>
    <mergeCell ref="M3:N3"/>
    <mergeCell ref="M4:N5"/>
    <mergeCell ref="M6:N6"/>
    <mergeCell ref="M7:N8"/>
    <mergeCell ref="K19:L20"/>
    <mergeCell ref="K21:L21"/>
    <mergeCell ref="K22:L23"/>
    <mergeCell ref="I9:J9"/>
    <mergeCell ref="G28:H29"/>
    <mergeCell ref="G22:H23"/>
    <mergeCell ref="G25:H26"/>
    <mergeCell ref="I21:J21"/>
    <mergeCell ref="I22:J23"/>
    <mergeCell ref="I24:J24"/>
    <mergeCell ref="I25:J26"/>
    <mergeCell ref="I27:J27"/>
    <mergeCell ref="I28:J29"/>
    <mergeCell ref="I13:J14"/>
    <mergeCell ref="I15:J15"/>
    <mergeCell ref="I16:J17"/>
    <mergeCell ref="I18:J18"/>
    <mergeCell ref="I19:J20"/>
    <mergeCell ref="K15:L15"/>
    <mergeCell ref="K16:L17"/>
    <mergeCell ref="K18:L18"/>
    <mergeCell ref="I1:J2"/>
    <mergeCell ref="I3:J3"/>
    <mergeCell ref="I4:J5"/>
    <mergeCell ref="I6:J6"/>
    <mergeCell ref="I7:J8"/>
    <mergeCell ref="G16:H17"/>
    <mergeCell ref="G15:H15"/>
    <mergeCell ref="I10:J11"/>
    <mergeCell ref="I12:J12"/>
    <mergeCell ref="G1:H2"/>
    <mergeCell ref="G4:H5"/>
    <mergeCell ref="G7:H8"/>
    <mergeCell ref="G10:H11"/>
    <mergeCell ref="G13:H14"/>
    <mergeCell ref="K1:L2"/>
    <mergeCell ref="K3:L3"/>
    <mergeCell ref="K4:L5"/>
    <mergeCell ref="K6:L6"/>
    <mergeCell ref="K7:L8"/>
    <mergeCell ref="K9:L9"/>
    <mergeCell ref="K10:L11"/>
    <mergeCell ref="K12:L12"/>
    <mergeCell ref="K13:L14"/>
    <mergeCell ref="G37:H38"/>
    <mergeCell ref="G40:H41"/>
    <mergeCell ref="G43:H44"/>
    <mergeCell ref="G3:H3"/>
    <mergeCell ref="G6:H6"/>
    <mergeCell ref="G12:H12"/>
    <mergeCell ref="G9:H9"/>
    <mergeCell ref="G24:H24"/>
    <mergeCell ref="G27:H27"/>
    <mergeCell ref="G33:H33"/>
    <mergeCell ref="G30:H30"/>
    <mergeCell ref="G36:H36"/>
    <mergeCell ref="G39:H39"/>
    <mergeCell ref="G42:H42"/>
    <mergeCell ref="G18:H18"/>
    <mergeCell ref="G21:H21"/>
    <mergeCell ref="G31:H32"/>
    <mergeCell ref="G34:H35"/>
    <mergeCell ref="G19:H20"/>
    <mergeCell ref="I30:J30"/>
    <mergeCell ref="I31:J32"/>
    <mergeCell ref="I40:J41"/>
    <mergeCell ref="I42:J42"/>
    <mergeCell ref="I43:J44"/>
    <mergeCell ref="I33:J33"/>
    <mergeCell ref="I34:J35"/>
    <mergeCell ref="I36:J36"/>
    <mergeCell ref="I37:J38"/>
    <mergeCell ref="I39:J39"/>
    <mergeCell ref="Q1:R2"/>
    <mergeCell ref="Q3:R3"/>
    <mergeCell ref="Q4:R5"/>
    <mergeCell ref="Q6:R6"/>
    <mergeCell ref="Q7:R8"/>
    <mergeCell ref="Q16:R17"/>
    <mergeCell ref="Q18:R18"/>
    <mergeCell ref="Q19:R20"/>
    <mergeCell ref="Q9:R9"/>
    <mergeCell ref="Q10:R11"/>
    <mergeCell ref="Q12:R12"/>
    <mergeCell ref="Q13:R14"/>
    <mergeCell ref="Q15:R15"/>
    <mergeCell ref="O1:P2"/>
    <mergeCell ref="O3:P3"/>
    <mergeCell ref="O4:P5"/>
    <mergeCell ref="O6:P6"/>
    <mergeCell ref="O7:P8"/>
    <mergeCell ref="O9:P9"/>
    <mergeCell ref="O10:P11"/>
    <mergeCell ref="O12:P12"/>
    <mergeCell ref="O13:P14"/>
    <mergeCell ref="O28:P29"/>
    <mergeCell ref="O15:P15"/>
    <mergeCell ref="O16:P17"/>
    <mergeCell ref="O18:P18"/>
    <mergeCell ref="O19:P20"/>
    <mergeCell ref="O21:P21"/>
    <mergeCell ref="O22:P23"/>
    <mergeCell ref="O24:P24"/>
    <mergeCell ref="O25:P26"/>
    <mergeCell ref="O27:P27"/>
  </mergeCells>
  <pageMargins left="0.7" right="0.7" top="0.75" bottom="0.75" header="0.3" footer="0.3"/>
  <pageSetup paperSize="256" orientation="portrait" r:id="rId1"/>
  <colBreaks count="1" manualBreakCount="1">
    <brk id="6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rgb="FFFF0000"/>
  </sheetPr>
  <dimension ref="A1:I217"/>
  <sheetViews>
    <sheetView topLeftCell="A43" zoomScale="80" zoomScaleNormal="80" workbookViewId="0">
      <selection activeCell="E87" sqref="E87"/>
    </sheetView>
  </sheetViews>
  <sheetFormatPr defaultRowHeight="14.4"/>
  <cols>
    <col min="1" max="1" width="32.88671875" style="31" customWidth="1"/>
    <col min="2" max="2" width="28.44140625" style="35" customWidth="1"/>
    <col min="3" max="4" width="28.44140625" style="79" customWidth="1"/>
    <col min="5" max="5" width="37" customWidth="1"/>
    <col min="6" max="7" width="28.44140625" customWidth="1"/>
    <col min="8" max="8" width="28.44140625" style="32" customWidth="1"/>
    <col min="9" max="9" width="25.6640625" style="44" customWidth="1"/>
  </cols>
  <sheetData>
    <row r="1" spans="1:9" ht="25.8">
      <c r="A1" s="24" t="s">
        <v>22</v>
      </c>
      <c r="B1" s="36" t="s">
        <v>21</v>
      </c>
      <c r="C1" s="77" t="s">
        <v>20</v>
      </c>
      <c r="D1" s="77" t="s">
        <v>19</v>
      </c>
      <c r="E1" s="25" t="s">
        <v>12</v>
      </c>
      <c r="F1" s="25" t="s">
        <v>13</v>
      </c>
      <c r="G1" s="26" t="s">
        <v>11</v>
      </c>
      <c r="H1" s="121" t="s">
        <v>10</v>
      </c>
      <c r="I1" s="86" t="s">
        <v>27</v>
      </c>
    </row>
    <row r="2" spans="1:9" s="20" customFormat="1" ht="31.5" customHeight="1">
      <c r="A2" s="27">
        <v>46143.896122685182</v>
      </c>
      <c r="B2" s="33" t="s">
        <v>0</v>
      </c>
      <c r="C2" s="19">
        <v>7</v>
      </c>
      <c r="D2" s="19">
        <v>6276</v>
      </c>
      <c r="E2" s="18" t="s">
        <v>38</v>
      </c>
      <c r="F2" s="18" t="s">
        <v>29</v>
      </c>
      <c r="G2" s="18" t="s">
        <v>3</v>
      </c>
      <c r="H2" s="28" t="s">
        <v>18</v>
      </c>
      <c r="I2" s="122"/>
    </row>
    <row r="3" spans="1:9" s="20" customFormat="1" ht="31.5" customHeight="1">
      <c r="A3" s="27">
        <v>46143.928553240738</v>
      </c>
      <c r="B3" s="33" t="s">
        <v>0</v>
      </c>
      <c r="C3" s="19">
        <v>5</v>
      </c>
      <c r="D3" s="19">
        <v>41660</v>
      </c>
      <c r="E3" s="18" t="s">
        <v>48</v>
      </c>
      <c r="F3" s="18" t="s">
        <v>29</v>
      </c>
      <c r="G3" s="18" t="s">
        <v>4</v>
      </c>
      <c r="H3" s="28" t="s">
        <v>18</v>
      </c>
      <c r="I3" s="122"/>
    </row>
    <row r="4" spans="1:9" s="20" customFormat="1" ht="31.5" customHeight="1">
      <c r="A4" s="27">
        <v>46143.978541666664</v>
      </c>
      <c r="B4" s="33" t="s">
        <v>0</v>
      </c>
      <c r="C4" s="19">
        <v>5</v>
      </c>
      <c r="D4" s="19">
        <v>425</v>
      </c>
      <c r="E4" s="18" t="s">
        <v>68</v>
      </c>
      <c r="F4" s="18"/>
      <c r="G4" s="18" t="s">
        <v>60</v>
      </c>
      <c r="H4" s="28" t="s">
        <v>18</v>
      </c>
      <c r="I4" s="122"/>
    </row>
    <row r="5" spans="1:9" s="20" customFormat="1" ht="31.5" customHeight="1">
      <c r="A5" s="27">
        <v>46143.978935185187</v>
      </c>
      <c r="B5" s="33" t="s">
        <v>0</v>
      </c>
      <c r="C5" s="19">
        <v>15</v>
      </c>
      <c r="D5" s="19">
        <v>13978</v>
      </c>
      <c r="E5" s="18" t="s">
        <v>59</v>
      </c>
      <c r="F5" s="18"/>
      <c r="G5" s="18" t="s">
        <v>5</v>
      </c>
      <c r="H5" s="28" t="s">
        <v>18</v>
      </c>
      <c r="I5" s="122"/>
    </row>
    <row r="6" spans="1:9" s="20" customFormat="1" ht="31.5" customHeight="1">
      <c r="A6" s="27">
        <v>46144.352731481478</v>
      </c>
      <c r="B6" s="33" t="s">
        <v>0</v>
      </c>
      <c r="C6" s="19">
        <v>5</v>
      </c>
      <c r="D6" s="19">
        <v>41655</v>
      </c>
      <c r="E6" s="18" t="s">
        <v>48</v>
      </c>
      <c r="F6" s="18" t="s">
        <v>29</v>
      </c>
      <c r="G6" s="18" t="s">
        <v>4</v>
      </c>
      <c r="H6" s="28" t="s">
        <v>18</v>
      </c>
      <c r="I6" s="122"/>
    </row>
    <row r="7" spans="1:9" s="20" customFormat="1" ht="31.5" customHeight="1">
      <c r="A7" s="27">
        <v>46144.417997685188</v>
      </c>
      <c r="B7" s="33" t="s">
        <v>0</v>
      </c>
      <c r="C7" s="19">
        <v>20</v>
      </c>
      <c r="D7" s="19">
        <v>405</v>
      </c>
      <c r="E7" s="18" t="s">
        <v>68</v>
      </c>
      <c r="F7" s="18"/>
      <c r="G7" s="18" t="s">
        <v>60</v>
      </c>
      <c r="H7" s="28" t="s">
        <v>18</v>
      </c>
      <c r="I7" s="122"/>
    </row>
    <row r="8" spans="1:9" s="20" customFormat="1" ht="31.5" customHeight="1">
      <c r="A8" s="27">
        <v>46144.603807870371</v>
      </c>
      <c r="B8" s="33" t="s">
        <v>0</v>
      </c>
      <c r="C8" s="19">
        <v>70</v>
      </c>
      <c r="D8" s="19">
        <v>47430</v>
      </c>
      <c r="E8" s="18" t="s">
        <v>24</v>
      </c>
      <c r="F8" s="18" t="s">
        <v>29</v>
      </c>
      <c r="G8" s="18" t="s">
        <v>2</v>
      </c>
      <c r="H8" s="28" t="s">
        <v>18</v>
      </c>
      <c r="I8" s="122"/>
    </row>
    <row r="9" spans="1:9" s="20" customFormat="1" ht="31.5" customHeight="1">
      <c r="A9" s="27">
        <v>46144.604641203703</v>
      </c>
      <c r="B9" s="33" t="s">
        <v>1</v>
      </c>
      <c r="C9" s="19">
        <v>0</v>
      </c>
      <c r="D9" s="19">
        <v>2410</v>
      </c>
      <c r="E9" s="18" t="s">
        <v>45</v>
      </c>
      <c r="F9" s="18" t="s">
        <v>32</v>
      </c>
      <c r="G9" s="18" t="s">
        <v>2</v>
      </c>
      <c r="H9" s="28" t="s">
        <v>18</v>
      </c>
      <c r="I9" s="122"/>
    </row>
    <row r="10" spans="1:9" s="20" customFormat="1" ht="31.5" customHeight="1">
      <c r="A10" s="27">
        <v>46144.604988425926</v>
      </c>
      <c r="B10" s="33" t="s">
        <v>0</v>
      </c>
      <c r="C10" s="19">
        <v>3</v>
      </c>
      <c r="D10" s="19">
        <v>2407</v>
      </c>
      <c r="E10" s="18" t="s">
        <v>45</v>
      </c>
      <c r="F10" s="18" t="s">
        <v>32</v>
      </c>
      <c r="G10" s="18" t="s">
        <v>2</v>
      </c>
      <c r="H10" s="2" t="s">
        <v>18</v>
      </c>
      <c r="I10" s="122"/>
    </row>
    <row r="11" spans="1:9" s="20" customFormat="1" ht="31.5" customHeight="1" thickBot="1">
      <c r="A11" s="27">
        <v>46144.637280092589</v>
      </c>
      <c r="B11" s="33" t="s">
        <v>0</v>
      </c>
      <c r="C11" s="19">
        <v>6</v>
      </c>
      <c r="D11" s="83">
        <v>47424</v>
      </c>
      <c r="E11" s="18" t="s">
        <v>24</v>
      </c>
      <c r="F11" s="18" t="s">
        <v>29</v>
      </c>
      <c r="G11" s="18" t="s">
        <v>2</v>
      </c>
      <c r="H11" s="2" t="s">
        <v>18</v>
      </c>
      <c r="I11" s="122"/>
    </row>
    <row r="12" spans="1:9" s="20" customFormat="1" ht="31.5" customHeight="1" thickBot="1">
      <c r="A12" s="27">
        <v>46145.352083333331</v>
      </c>
      <c r="B12" s="33" t="s">
        <v>0</v>
      </c>
      <c r="C12" s="81">
        <v>90</v>
      </c>
      <c r="D12" s="85">
        <v>13888</v>
      </c>
      <c r="E12" s="82" t="s">
        <v>59</v>
      </c>
      <c r="F12" s="18"/>
      <c r="G12" s="18" t="s">
        <v>5</v>
      </c>
      <c r="H12" s="2" t="s">
        <v>18</v>
      </c>
      <c r="I12" s="122"/>
    </row>
    <row r="13" spans="1:9" s="20" customFormat="1" ht="31.5" customHeight="1">
      <c r="A13" s="27">
        <v>46145.357349537036</v>
      </c>
      <c r="B13" s="33" t="s">
        <v>0</v>
      </c>
      <c r="C13" s="19">
        <v>1</v>
      </c>
      <c r="D13" s="84">
        <v>32356</v>
      </c>
      <c r="E13" s="18" t="s">
        <v>28</v>
      </c>
      <c r="F13" s="18" t="s">
        <v>29</v>
      </c>
      <c r="G13" s="18" t="s">
        <v>2</v>
      </c>
      <c r="H13" s="2" t="s">
        <v>18</v>
      </c>
      <c r="I13" s="122"/>
    </row>
    <row r="14" spans="1:9" s="20" customFormat="1" ht="31.5" customHeight="1">
      <c r="A14" s="27">
        <v>46145.358229166668</v>
      </c>
      <c r="B14" s="33" t="s">
        <v>0</v>
      </c>
      <c r="C14" s="19">
        <v>1</v>
      </c>
      <c r="D14" s="19">
        <v>399</v>
      </c>
      <c r="E14" s="18" t="s">
        <v>37</v>
      </c>
      <c r="F14" s="18"/>
      <c r="G14" s="18" t="s">
        <v>80</v>
      </c>
      <c r="H14" s="2" t="s">
        <v>79</v>
      </c>
      <c r="I14" s="122"/>
    </row>
    <row r="15" spans="1:9" s="20" customFormat="1" ht="31.5" customHeight="1">
      <c r="A15" s="27">
        <v>46145.358530092592</v>
      </c>
      <c r="B15" s="33" t="s">
        <v>0</v>
      </c>
      <c r="C15" s="19">
        <v>2</v>
      </c>
      <c r="D15" s="19">
        <v>1998</v>
      </c>
      <c r="E15" s="18" t="s">
        <v>87</v>
      </c>
      <c r="F15" s="18"/>
      <c r="G15" s="18" t="s">
        <v>78</v>
      </c>
      <c r="H15" s="2" t="s">
        <v>79</v>
      </c>
      <c r="I15" s="122"/>
    </row>
    <row r="16" spans="1:9" s="20" customFormat="1" ht="31.5" customHeight="1">
      <c r="A16" s="27">
        <v>46145.3594212963</v>
      </c>
      <c r="B16" s="33" t="s">
        <v>0</v>
      </c>
      <c r="C16" s="19">
        <v>8</v>
      </c>
      <c r="D16" s="19">
        <v>62</v>
      </c>
      <c r="E16" s="18" t="s">
        <v>37</v>
      </c>
      <c r="F16" s="18"/>
      <c r="G16" s="18" t="s">
        <v>4</v>
      </c>
      <c r="H16" s="2" t="s">
        <v>23</v>
      </c>
      <c r="I16" s="122"/>
    </row>
    <row r="17" spans="1:9" s="20" customFormat="1" ht="31.5" customHeight="1">
      <c r="A17" s="27">
        <v>46145.485925925925</v>
      </c>
      <c r="B17" s="33" t="s">
        <v>0</v>
      </c>
      <c r="C17" s="19">
        <v>1</v>
      </c>
      <c r="D17" s="19">
        <v>398</v>
      </c>
      <c r="E17" s="18" t="s">
        <v>37</v>
      </c>
      <c r="F17" s="18"/>
      <c r="G17" s="18" t="s">
        <v>80</v>
      </c>
      <c r="H17" s="2" t="s">
        <v>79</v>
      </c>
      <c r="I17" s="122"/>
    </row>
    <row r="18" spans="1:9" s="20" customFormat="1" ht="31.5" customHeight="1">
      <c r="A18" s="27">
        <v>46145.490023148152</v>
      </c>
      <c r="B18" s="33" t="s">
        <v>0</v>
      </c>
      <c r="C18" s="19">
        <v>8000</v>
      </c>
      <c r="D18" s="19">
        <v>5888</v>
      </c>
      <c r="E18" s="18" t="s">
        <v>59</v>
      </c>
      <c r="F18" s="18"/>
      <c r="G18" s="18" t="s">
        <v>5</v>
      </c>
      <c r="H18" s="2" t="s">
        <v>18</v>
      </c>
      <c r="I18" s="122"/>
    </row>
    <row r="19" spans="1:9" s="20" customFormat="1" ht="31.5" customHeight="1">
      <c r="A19" s="27">
        <v>46146.578668981485</v>
      </c>
      <c r="B19" s="33" t="s">
        <v>0</v>
      </c>
      <c r="C19" s="19">
        <v>8</v>
      </c>
      <c r="D19" s="19">
        <v>390</v>
      </c>
      <c r="E19" s="18" t="s">
        <v>37</v>
      </c>
      <c r="F19" s="18"/>
      <c r="G19" s="18" t="s">
        <v>80</v>
      </c>
      <c r="H19" s="2" t="s">
        <v>79</v>
      </c>
      <c r="I19" s="122"/>
    </row>
    <row r="20" spans="1:9" s="20" customFormat="1" ht="31.5" customHeight="1">
      <c r="A20" s="27">
        <v>46146.578935185185</v>
      </c>
      <c r="B20" s="33" t="s">
        <v>0</v>
      </c>
      <c r="C20" s="19">
        <v>3</v>
      </c>
      <c r="D20" s="19">
        <v>1995</v>
      </c>
      <c r="E20" s="18" t="s">
        <v>87</v>
      </c>
      <c r="F20" s="18"/>
      <c r="G20" s="18" t="s">
        <v>78</v>
      </c>
      <c r="H20" s="2" t="s">
        <v>79</v>
      </c>
      <c r="I20" s="122"/>
    </row>
    <row r="21" spans="1:9" s="20" customFormat="1" ht="31.5" customHeight="1">
      <c r="A21" s="27">
        <v>46146.581782407404</v>
      </c>
      <c r="B21" s="33" t="s">
        <v>0</v>
      </c>
      <c r="C21" s="19">
        <v>2</v>
      </c>
      <c r="D21" s="19">
        <v>4151</v>
      </c>
      <c r="E21" s="18" t="s">
        <v>30</v>
      </c>
      <c r="F21" s="18" t="s">
        <v>29</v>
      </c>
      <c r="G21" s="18" t="s">
        <v>2</v>
      </c>
      <c r="H21" s="2" t="s">
        <v>18</v>
      </c>
      <c r="I21" s="122"/>
    </row>
    <row r="22" spans="1:9" s="20" customFormat="1" ht="31.5" customHeight="1">
      <c r="A22" s="27">
        <v>46146.583078703705</v>
      </c>
      <c r="B22" s="33" t="s">
        <v>0</v>
      </c>
      <c r="C22" s="19">
        <v>5</v>
      </c>
      <c r="D22" s="19">
        <v>30928</v>
      </c>
      <c r="E22" s="18" t="s">
        <v>52</v>
      </c>
      <c r="F22" s="18" t="s">
        <v>29</v>
      </c>
      <c r="G22" s="18" t="s">
        <v>4</v>
      </c>
      <c r="H22" s="2" t="s">
        <v>18</v>
      </c>
      <c r="I22" s="122"/>
    </row>
    <row r="23" spans="1:9" s="20" customFormat="1" ht="31.5" customHeight="1">
      <c r="A23" s="27">
        <v>46146.584988425922</v>
      </c>
      <c r="B23" s="33" t="s">
        <v>0</v>
      </c>
      <c r="C23" s="19">
        <v>1210</v>
      </c>
      <c r="D23" s="19">
        <v>10009</v>
      </c>
      <c r="E23" s="18" t="s">
        <v>49</v>
      </c>
      <c r="F23" s="18" t="s">
        <v>29</v>
      </c>
      <c r="G23" s="18" t="s">
        <v>4</v>
      </c>
      <c r="H23" s="28" t="s">
        <v>18</v>
      </c>
      <c r="I23" s="122"/>
    </row>
    <row r="24" spans="1:9" s="20" customFormat="1" ht="31.5" customHeight="1">
      <c r="A24" s="27">
        <v>46146.701238425929</v>
      </c>
      <c r="B24" s="33" t="s">
        <v>0</v>
      </c>
      <c r="C24" s="19">
        <v>74</v>
      </c>
      <c r="D24" s="19">
        <v>30854</v>
      </c>
      <c r="E24" s="18" t="s">
        <v>52</v>
      </c>
      <c r="F24" s="18" t="s">
        <v>29</v>
      </c>
      <c r="G24" s="18" t="s">
        <v>4</v>
      </c>
      <c r="H24" s="28" t="s">
        <v>18</v>
      </c>
      <c r="I24" s="122"/>
    </row>
    <row r="25" spans="1:9" s="20" customFormat="1" ht="31.5" customHeight="1">
      <c r="A25" s="27">
        <v>46146.762719907405</v>
      </c>
      <c r="B25" s="33" t="s">
        <v>0</v>
      </c>
      <c r="C25" s="19">
        <v>25</v>
      </c>
      <c r="D25" s="19">
        <v>30829</v>
      </c>
      <c r="E25" s="18" t="s">
        <v>52</v>
      </c>
      <c r="F25" s="18" t="s">
        <v>29</v>
      </c>
      <c r="G25" s="18" t="s">
        <v>4</v>
      </c>
      <c r="H25" s="28" t="s">
        <v>18</v>
      </c>
      <c r="I25" s="122"/>
    </row>
    <row r="26" spans="1:9" s="20" customFormat="1" ht="31.5" customHeight="1">
      <c r="A26" s="27">
        <v>46148.340208333335</v>
      </c>
      <c r="B26" s="33" t="s">
        <v>0</v>
      </c>
      <c r="C26" s="19">
        <v>205</v>
      </c>
      <c r="D26" s="19">
        <v>28035</v>
      </c>
      <c r="E26" s="18" t="s">
        <v>46</v>
      </c>
      <c r="F26" s="18" t="s">
        <v>29</v>
      </c>
      <c r="G26" s="18" t="s">
        <v>4</v>
      </c>
      <c r="H26" s="28" t="s">
        <v>18</v>
      </c>
      <c r="I26" s="122"/>
    </row>
    <row r="27" spans="1:9" s="20" customFormat="1" ht="31.5" customHeight="1">
      <c r="A27" s="27">
        <v>46148.340729166666</v>
      </c>
      <c r="B27" s="33" t="s">
        <v>0</v>
      </c>
      <c r="C27" s="19">
        <v>3605</v>
      </c>
      <c r="D27" s="19">
        <v>27224</v>
      </c>
      <c r="E27" s="18" t="s">
        <v>52</v>
      </c>
      <c r="F27" s="18" t="s">
        <v>29</v>
      </c>
      <c r="G27" s="18" t="s">
        <v>4</v>
      </c>
      <c r="H27" s="28" t="s">
        <v>18</v>
      </c>
      <c r="I27" s="122"/>
    </row>
    <row r="28" spans="1:9" s="20" customFormat="1" ht="31.5" customHeight="1">
      <c r="A28" s="27">
        <v>46148.341064814813</v>
      </c>
      <c r="B28" s="33" t="s">
        <v>0</v>
      </c>
      <c r="C28" s="19">
        <v>805</v>
      </c>
      <c r="D28" s="19">
        <v>25695</v>
      </c>
      <c r="E28" s="18" t="s">
        <v>47</v>
      </c>
      <c r="F28" s="18" t="s">
        <v>29</v>
      </c>
      <c r="G28" s="18" t="s">
        <v>4</v>
      </c>
      <c r="H28" s="28" t="s">
        <v>18</v>
      </c>
      <c r="I28" s="122"/>
    </row>
    <row r="29" spans="1:9" s="20" customFormat="1" ht="31.5" customHeight="1">
      <c r="A29" s="27">
        <v>46148.341423611113</v>
      </c>
      <c r="B29" s="33" t="s">
        <v>0</v>
      </c>
      <c r="C29" s="19">
        <v>2205</v>
      </c>
      <c r="D29" s="19">
        <v>7890</v>
      </c>
      <c r="E29" s="18" t="s">
        <v>54</v>
      </c>
      <c r="F29" s="18" t="s">
        <v>29</v>
      </c>
      <c r="G29" s="18" t="s">
        <v>4</v>
      </c>
      <c r="H29" s="28" t="s">
        <v>18</v>
      </c>
      <c r="I29" s="122"/>
    </row>
    <row r="30" spans="1:9" s="20" customFormat="1" ht="31.5" customHeight="1">
      <c r="A30" s="27">
        <v>46148.341736111113</v>
      </c>
      <c r="B30" s="33" t="s">
        <v>0</v>
      </c>
      <c r="C30" s="19">
        <v>7</v>
      </c>
      <c r="D30" s="19">
        <v>27217</v>
      </c>
      <c r="E30" s="18" t="s">
        <v>52</v>
      </c>
      <c r="F30" s="18" t="s">
        <v>29</v>
      </c>
      <c r="G30" s="18" t="s">
        <v>4</v>
      </c>
      <c r="H30" s="28" t="s">
        <v>18</v>
      </c>
      <c r="I30" s="122"/>
    </row>
    <row r="31" spans="1:9" s="20" customFormat="1" ht="31.5" customHeight="1">
      <c r="A31" s="27">
        <v>46148.342569444445</v>
      </c>
      <c r="B31" s="33" t="s">
        <v>0</v>
      </c>
      <c r="C31" s="19">
        <v>6005</v>
      </c>
      <c r="D31" s="19">
        <v>21212</v>
      </c>
      <c r="E31" s="18" t="s">
        <v>52</v>
      </c>
      <c r="F31" s="18" t="s">
        <v>29</v>
      </c>
      <c r="G31" s="18" t="s">
        <v>4</v>
      </c>
      <c r="H31" s="28" t="s">
        <v>18</v>
      </c>
      <c r="I31" s="122"/>
    </row>
    <row r="32" spans="1:9" s="20" customFormat="1" ht="31.5" customHeight="1">
      <c r="A32" s="27">
        <v>46148.342870370368</v>
      </c>
      <c r="B32" s="33" t="s">
        <v>0</v>
      </c>
      <c r="C32" s="19">
        <v>2005</v>
      </c>
      <c r="D32" s="19">
        <v>8004</v>
      </c>
      <c r="E32" s="18" t="s">
        <v>49</v>
      </c>
      <c r="F32" s="18" t="s">
        <v>29</v>
      </c>
      <c r="G32" s="18" t="s">
        <v>4</v>
      </c>
      <c r="H32" s="28" t="s">
        <v>18</v>
      </c>
      <c r="I32" s="122"/>
    </row>
    <row r="33" spans="1:9" s="20" customFormat="1" ht="31.5" customHeight="1">
      <c r="A33" s="27">
        <v>46148.345127314817</v>
      </c>
      <c r="B33" s="33" t="s">
        <v>0</v>
      </c>
      <c r="C33" s="19">
        <v>7</v>
      </c>
      <c r="D33" s="19">
        <v>1988</v>
      </c>
      <c r="E33" s="18" t="s">
        <v>87</v>
      </c>
      <c r="F33" s="18"/>
      <c r="G33" s="18" t="s">
        <v>78</v>
      </c>
      <c r="H33" s="28" t="s">
        <v>79</v>
      </c>
      <c r="I33" s="122"/>
    </row>
    <row r="34" spans="1:9" s="20" customFormat="1" ht="31.5" customHeight="1">
      <c r="A34" s="27">
        <v>46148.345335648148</v>
      </c>
      <c r="B34" s="33" t="s">
        <v>0</v>
      </c>
      <c r="C34" s="19">
        <v>16</v>
      </c>
      <c r="D34" s="19">
        <v>374</v>
      </c>
      <c r="E34" s="18" t="s">
        <v>37</v>
      </c>
      <c r="F34" s="18"/>
      <c r="G34" s="18" t="s">
        <v>80</v>
      </c>
      <c r="H34" s="28" t="s">
        <v>79</v>
      </c>
      <c r="I34" s="122"/>
    </row>
    <row r="35" spans="1:9" s="20" customFormat="1" ht="31.5" customHeight="1">
      <c r="A35" s="27">
        <v>46148.345891203702</v>
      </c>
      <c r="B35" s="33" t="s">
        <v>0</v>
      </c>
      <c r="C35" s="19">
        <v>5</v>
      </c>
      <c r="D35" s="19">
        <v>1983</v>
      </c>
      <c r="E35" s="18" t="s">
        <v>87</v>
      </c>
      <c r="F35" s="18"/>
      <c r="G35" s="18" t="s">
        <v>78</v>
      </c>
      <c r="H35" s="28" t="s">
        <v>79</v>
      </c>
      <c r="I35" s="122"/>
    </row>
    <row r="36" spans="1:9" s="20" customFormat="1" ht="31.5" customHeight="1">
      <c r="A36" s="27">
        <v>46148.346180555556</v>
      </c>
      <c r="B36" s="33" t="s">
        <v>0</v>
      </c>
      <c r="C36" s="19">
        <v>4</v>
      </c>
      <c r="D36" s="19">
        <v>370</v>
      </c>
      <c r="E36" s="18" t="s">
        <v>37</v>
      </c>
      <c r="F36" s="18"/>
      <c r="G36" s="18" t="s">
        <v>80</v>
      </c>
      <c r="H36" s="28" t="s">
        <v>79</v>
      </c>
      <c r="I36" s="122"/>
    </row>
    <row r="37" spans="1:9" s="20" customFormat="1" ht="31.5" customHeight="1">
      <c r="A37" s="27">
        <v>46148.34642361111</v>
      </c>
      <c r="B37" s="33" t="s">
        <v>0</v>
      </c>
      <c r="C37" s="19">
        <v>5</v>
      </c>
      <c r="D37" s="19">
        <v>395</v>
      </c>
      <c r="E37" s="18" t="s">
        <v>24</v>
      </c>
      <c r="F37" s="18"/>
      <c r="G37" s="18" t="s">
        <v>80</v>
      </c>
      <c r="H37" s="28" t="s">
        <v>79</v>
      </c>
      <c r="I37" s="122"/>
    </row>
    <row r="38" spans="1:9" s="20" customFormat="1" ht="31.5" customHeight="1">
      <c r="A38" s="27">
        <v>46148.389965277776</v>
      </c>
      <c r="B38" s="91" t="s">
        <v>0</v>
      </c>
      <c r="C38" s="19">
        <v>25</v>
      </c>
      <c r="D38" s="19">
        <v>21187</v>
      </c>
      <c r="E38" s="18" t="s">
        <v>52</v>
      </c>
      <c r="F38" s="18" t="s">
        <v>29</v>
      </c>
      <c r="G38" s="18" t="s">
        <v>4</v>
      </c>
      <c r="H38" s="2" t="s">
        <v>18</v>
      </c>
      <c r="I38" s="122"/>
    </row>
    <row r="39" spans="1:9" s="20" customFormat="1" ht="31.5" customHeight="1">
      <c r="A39" s="27">
        <v>46148.392071759263</v>
      </c>
      <c r="B39" s="91" t="s">
        <v>0</v>
      </c>
      <c r="C39" s="19">
        <v>20</v>
      </c>
      <c r="D39" s="19">
        <v>385</v>
      </c>
      <c r="E39" s="18" t="s">
        <v>68</v>
      </c>
      <c r="F39" s="18"/>
      <c r="G39" s="18" t="s">
        <v>60</v>
      </c>
      <c r="H39" s="2" t="s">
        <v>18</v>
      </c>
      <c r="I39" s="122"/>
    </row>
    <row r="40" spans="1:9" s="20" customFormat="1" ht="31.5" customHeight="1">
      <c r="A40" s="27">
        <v>46148.41511574074</v>
      </c>
      <c r="B40" s="91" t="s">
        <v>0</v>
      </c>
      <c r="C40" s="19">
        <v>10</v>
      </c>
      <c r="D40" s="19">
        <v>7880</v>
      </c>
      <c r="E40" s="18" t="s">
        <v>54</v>
      </c>
      <c r="F40" s="18" t="s">
        <v>29</v>
      </c>
      <c r="G40" s="18" t="s">
        <v>4</v>
      </c>
      <c r="H40" s="2" t="s">
        <v>18</v>
      </c>
      <c r="I40" s="122"/>
    </row>
    <row r="41" spans="1:9" s="20" customFormat="1" ht="31.5" customHeight="1">
      <c r="A41" s="27">
        <v>46148.651388888888</v>
      </c>
      <c r="B41" s="91" t="s">
        <v>0</v>
      </c>
      <c r="C41" s="19">
        <v>10</v>
      </c>
      <c r="D41" s="19">
        <v>375</v>
      </c>
      <c r="E41" s="18" t="s">
        <v>68</v>
      </c>
      <c r="F41" s="18"/>
      <c r="G41" s="18" t="s">
        <v>60</v>
      </c>
      <c r="H41" s="2" t="s">
        <v>18</v>
      </c>
      <c r="I41" s="122"/>
    </row>
    <row r="42" spans="1:9" s="20" customFormat="1" ht="31.5" customHeight="1">
      <c r="A42" s="27">
        <v>46151.367962962962</v>
      </c>
      <c r="B42" s="91" t="s">
        <v>0</v>
      </c>
      <c r="C42" s="19">
        <v>81</v>
      </c>
      <c r="D42" s="19">
        <v>7799</v>
      </c>
      <c r="E42" s="18" t="s">
        <v>54</v>
      </c>
      <c r="F42" s="18" t="s">
        <v>29</v>
      </c>
      <c r="G42" s="18" t="s">
        <v>4</v>
      </c>
      <c r="H42" s="2" t="s">
        <v>18</v>
      </c>
      <c r="I42" s="122"/>
    </row>
    <row r="43" spans="1:9" s="20" customFormat="1" ht="31.5" customHeight="1">
      <c r="A43" s="27">
        <v>46151.370312500003</v>
      </c>
      <c r="B43" s="91" t="s">
        <v>0</v>
      </c>
      <c r="C43" s="19">
        <v>7</v>
      </c>
      <c r="D43" s="19">
        <v>28028</v>
      </c>
      <c r="E43" s="18" t="s">
        <v>46</v>
      </c>
      <c r="F43" s="18" t="s">
        <v>29</v>
      </c>
      <c r="G43" s="18" t="s">
        <v>4</v>
      </c>
      <c r="H43" s="2" t="s">
        <v>18</v>
      </c>
      <c r="I43" s="122"/>
    </row>
    <row r="44" spans="1:9" s="20" customFormat="1" ht="31.5" customHeight="1">
      <c r="A44" s="27">
        <v>46151.371678240743</v>
      </c>
      <c r="B44" s="91" t="s">
        <v>0</v>
      </c>
      <c r="C44" s="19">
        <v>60</v>
      </c>
      <c r="D44" s="19">
        <v>5828</v>
      </c>
      <c r="E44" s="18" t="s">
        <v>59</v>
      </c>
      <c r="F44" s="18"/>
      <c r="G44" s="18" t="s">
        <v>5</v>
      </c>
      <c r="H44" s="2" t="s">
        <v>18</v>
      </c>
      <c r="I44" s="122"/>
    </row>
    <row r="45" spans="1:9" s="20" customFormat="1" ht="31.5" customHeight="1">
      <c r="A45" s="27">
        <v>46151.372164351851</v>
      </c>
      <c r="B45" s="91" t="s">
        <v>0</v>
      </c>
      <c r="C45" s="19">
        <v>30</v>
      </c>
      <c r="D45" s="19">
        <v>8017</v>
      </c>
      <c r="E45" s="18" t="s">
        <v>41</v>
      </c>
      <c r="F45" s="18" t="s">
        <v>29</v>
      </c>
      <c r="G45" s="18" t="s">
        <v>3</v>
      </c>
      <c r="H45" s="2" t="s">
        <v>18</v>
      </c>
      <c r="I45" s="122"/>
    </row>
    <row r="46" spans="1:9" s="20" customFormat="1" ht="31.5" customHeight="1">
      <c r="A46" s="27">
        <v>46151.372685185182</v>
      </c>
      <c r="B46" s="91" t="s">
        <v>0</v>
      </c>
      <c r="C46" s="19">
        <v>20</v>
      </c>
      <c r="D46" s="19">
        <v>355</v>
      </c>
      <c r="E46" s="18" t="s">
        <v>68</v>
      </c>
      <c r="F46" s="18"/>
      <c r="G46" s="18" t="s">
        <v>60</v>
      </c>
      <c r="H46" s="2" t="s">
        <v>18</v>
      </c>
      <c r="I46" s="122"/>
    </row>
    <row r="47" spans="1:9" s="20" customFormat="1" ht="31.5" customHeight="1">
      <c r="A47" s="27">
        <v>46151.375231481485</v>
      </c>
      <c r="B47" s="91" t="s">
        <v>0</v>
      </c>
      <c r="C47" s="19">
        <v>2</v>
      </c>
      <c r="D47" s="19">
        <v>393</v>
      </c>
      <c r="E47" s="18" t="s">
        <v>24</v>
      </c>
      <c r="F47" s="18"/>
      <c r="G47" s="18" t="s">
        <v>80</v>
      </c>
      <c r="H47" s="2" t="s">
        <v>79</v>
      </c>
      <c r="I47" s="122"/>
    </row>
    <row r="48" spans="1:9" s="20" customFormat="1" ht="31.5" customHeight="1">
      <c r="A48" s="27">
        <v>46151.375555555554</v>
      </c>
      <c r="B48" s="91" t="s">
        <v>0</v>
      </c>
      <c r="C48" s="19">
        <v>5</v>
      </c>
      <c r="D48" s="19">
        <v>1978</v>
      </c>
      <c r="E48" s="18" t="s">
        <v>87</v>
      </c>
      <c r="F48" s="18"/>
      <c r="G48" s="18" t="s">
        <v>78</v>
      </c>
      <c r="H48" s="2" t="s">
        <v>79</v>
      </c>
      <c r="I48" s="122"/>
    </row>
    <row r="49" spans="1:9" s="20" customFormat="1" ht="31.5" customHeight="1">
      <c r="A49" s="27">
        <v>46151.37945601852</v>
      </c>
      <c r="B49" s="91" t="s">
        <v>0</v>
      </c>
      <c r="C49" s="19">
        <v>8</v>
      </c>
      <c r="D49" s="19">
        <v>1456</v>
      </c>
      <c r="E49" s="18" t="s">
        <v>86</v>
      </c>
      <c r="F49" s="18"/>
      <c r="G49" s="18" t="s">
        <v>72</v>
      </c>
      <c r="H49" s="2" t="s">
        <v>79</v>
      </c>
      <c r="I49" s="122"/>
    </row>
    <row r="50" spans="1:9" s="20" customFormat="1" ht="31.5" customHeight="1">
      <c r="A50" s="27">
        <v>46151.379756944443</v>
      </c>
      <c r="B50" s="91" t="s">
        <v>0</v>
      </c>
      <c r="C50" s="19">
        <v>2</v>
      </c>
      <c r="D50" s="19">
        <v>1454</v>
      </c>
      <c r="E50" s="18" t="s">
        <v>86</v>
      </c>
      <c r="F50" s="18"/>
      <c r="G50" s="18" t="s">
        <v>72</v>
      </c>
      <c r="H50" s="2" t="s">
        <v>79</v>
      </c>
      <c r="I50" s="122"/>
    </row>
    <row r="51" spans="1:9" s="20" customFormat="1" ht="31.5" customHeight="1">
      <c r="A51" s="27">
        <v>46151.381608796299</v>
      </c>
      <c r="B51" s="91" t="s">
        <v>0</v>
      </c>
      <c r="C51" s="19">
        <v>100</v>
      </c>
      <c r="D51" s="19">
        <v>5728</v>
      </c>
      <c r="E51" s="18" t="s">
        <v>59</v>
      </c>
      <c r="F51" s="18"/>
      <c r="G51" s="18" t="s">
        <v>5</v>
      </c>
      <c r="H51" s="2" t="s">
        <v>18</v>
      </c>
      <c r="I51" s="122"/>
    </row>
    <row r="52" spans="1:9" s="20" customFormat="1" ht="31.5" customHeight="1">
      <c r="A52" s="27">
        <v>46151.383136574077</v>
      </c>
      <c r="B52" s="91" t="s">
        <v>0</v>
      </c>
      <c r="C52" s="19">
        <v>6</v>
      </c>
      <c r="D52" s="19">
        <v>5722</v>
      </c>
      <c r="E52" s="18" t="s">
        <v>59</v>
      </c>
      <c r="F52" s="18"/>
      <c r="G52" s="18" t="s">
        <v>5</v>
      </c>
      <c r="H52" s="28" t="s">
        <v>18</v>
      </c>
      <c r="I52" s="122"/>
    </row>
    <row r="53" spans="1:9" s="20" customFormat="1" ht="31.5" customHeight="1">
      <c r="A53" s="27">
        <v>46151.383634259262</v>
      </c>
      <c r="B53" s="91" t="s">
        <v>0</v>
      </c>
      <c r="C53" s="19">
        <v>205</v>
      </c>
      <c r="D53" s="19">
        <v>64327</v>
      </c>
      <c r="E53" s="18" t="s">
        <v>40</v>
      </c>
      <c r="F53" s="18" t="s">
        <v>29</v>
      </c>
      <c r="G53" s="18" t="s">
        <v>3</v>
      </c>
      <c r="H53" s="28" t="s">
        <v>18</v>
      </c>
      <c r="I53" s="122"/>
    </row>
    <row r="54" spans="1:9" s="20" customFormat="1" ht="31.5" customHeight="1">
      <c r="A54" s="27">
        <v>46151.392280092594</v>
      </c>
      <c r="B54" s="91" t="s">
        <v>0</v>
      </c>
      <c r="C54" s="19">
        <v>1605</v>
      </c>
      <c r="D54" s="19">
        <v>9181</v>
      </c>
      <c r="E54" s="18" t="s">
        <v>50</v>
      </c>
      <c r="F54" s="18" t="s">
        <v>29</v>
      </c>
      <c r="G54" s="18" t="s">
        <v>92</v>
      </c>
      <c r="H54" s="28" t="s">
        <v>18</v>
      </c>
      <c r="I54" s="122"/>
    </row>
    <row r="55" spans="1:9" s="20" customFormat="1" ht="31.5" customHeight="1">
      <c r="A55" s="27">
        <v>46151.392650462964</v>
      </c>
      <c r="B55" s="91" t="s">
        <v>0</v>
      </c>
      <c r="C55" s="19">
        <v>1005</v>
      </c>
      <c r="D55" s="19">
        <v>27023</v>
      </c>
      <c r="E55" s="18" t="s">
        <v>46</v>
      </c>
      <c r="F55" s="18" t="s">
        <v>29</v>
      </c>
      <c r="G55" s="18" t="s">
        <v>4</v>
      </c>
      <c r="H55" s="28" t="s">
        <v>18</v>
      </c>
      <c r="I55" s="122"/>
    </row>
    <row r="56" spans="1:9" s="20" customFormat="1" ht="31.5" customHeight="1">
      <c r="A56" s="27">
        <v>46151.392905092594</v>
      </c>
      <c r="B56" s="91" t="s">
        <v>0</v>
      </c>
      <c r="C56" s="19">
        <v>605</v>
      </c>
      <c r="D56" s="19">
        <v>7194</v>
      </c>
      <c r="E56" s="18" t="s">
        <v>54</v>
      </c>
      <c r="F56" s="18" t="s">
        <v>29</v>
      </c>
      <c r="G56" s="18" t="s">
        <v>4</v>
      </c>
      <c r="H56" s="28" t="s">
        <v>18</v>
      </c>
      <c r="I56" s="122"/>
    </row>
    <row r="57" spans="1:9" s="20" customFormat="1" ht="31.5" customHeight="1">
      <c r="A57" s="27">
        <v>46151.393240740741</v>
      </c>
      <c r="B57" s="91" t="s">
        <v>0</v>
      </c>
      <c r="C57" s="19">
        <v>165</v>
      </c>
      <c r="D57" s="19">
        <v>5557</v>
      </c>
      <c r="E57" s="18" t="s">
        <v>59</v>
      </c>
      <c r="F57" s="18"/>
      <c r="G57" s="18" t="s">
        <v>5</v>
      </c>
      <c r="H57" s="28" t="s">
        <v>18</v>
      </c>
      <c r="I57" s="122"/>
    </row>
    <row r="58" spans="1:9" s="20" customFormat="1" ht="31.5" customHeight="1">
      <c r="A58" s="27">
        <v>46151.394571759258</v>
      </c>
      <c r="B58" s="91" t="s">
        <v>0</v>
      </c>
      <c r="C58" s="19">
        <v>205</v>
      </c>
      <c r="D58" s="19">
        <v>47393</v>
      </c>
      <c r="E58" s="18" t="s">
        <v>28</v>
      </c>
      <c r="F58" s="18" t="s">
        <v>29</v>
      </c>
      <c r="G58" s="18" t="s">
        <v>3</v>
      </c>
      <c r="H58" s="28" t="s">
        <v>18</v>
      </c>
      <c r="I58" s="122"/>
    </row>
    <row r="59" spans="1:9" s="20" customFormat="1" ht="31.5" customHeight="1">
      <c r="A59" s="27">
        <v>46151.394942129627</v>
      </c>
      <c r="B59" s="91" t="s">
        <v>0</v>
      </c>
      <c r="C59" s="19">
        <v>3005</v>
      </c>
      <c r="D59" s="19">
        <v>66373</v>
      </c>
      <c r="E59" s="18" t="s">
        <v>37</v>
      </c>
      <c r="F59" s="18" t="s">
        <v>29</v>
      </c>
      <c r="G59" s="18" t="s">
        <v>3</v>
      </c>
      <c r="H59" s="28" t="s">
        <v>18</v>
      </c>
      <c r="I59" s="122"/>
    </row>
    <row r="60" spans="1:9" s="20" customFormat="1" ht="31.5" customHeight="1">
      <c r="A60" s="27">
        <v>46151.395254629628</v>
      </c>
      <c r="B60" s="91" t="s">
        <v>0</v>
      </c>
      <c r="C60" s="19">
        <v>165</v>
      </c>
      <c r="D60" s="19">
        <v>2581</v>
      </c>
      <c r="E60" s="18" t="s">
        <v>24</v>
      </c>
      <c r="F60" s="18" t="s">
        <v>29</v>
      </c>
      <c r="G60" s="18" t="s">
        <v>3</v>
      </c>
      <c r="H60" s="28" t="s">
        <v>18</v>
      </c>
      <c r="I60" s="122"/>
    </row>
    <row r="61" spans="1:9" s="20" customFormat="1" ht="31.5" customHeight="1">
      <c r="A61" s="27">
        <v>46151.395868055559</v>
      </c>
      <c r="B61" s="91" t="s">
        <v>0</v>
      </c>
      <c r="C61" s="19">
        <v>165</v>
      </c>
      <c r="D61" s="19">
        <v>7739</v>
      </c>
      <c r="E61" s="18" t="s">
        <v>31</v>
      </c>
      <c r="F61" s="18" t="s">
        <v>29</v>
      </c>
      <c r="G61" s="18" t="s">
        <v>3</v>
      </c>
      <c r="H61" s="28" t="s">
        <v>18</v>
      </c>
      <c r="I61" s="122"/>
    </row>
    <row r="62" spans="1:9" s="20" customFormat="1" ht="31.5" customHeight="1">
      <c r="A62" s="27">
        <v>46151.396215277775</v>
      </c>
      <c r="B62" s="91" t="s">
        <v>0</v>
      </c>
      <c r="C62" s="19">
        <v>45</v>
      </c>
      <c r="D62" s="19">
        <v>64282</v>
      </c>
      <c r="E62" s="18" t="s">
        <v>40</v>
      </c>
      <c r="F62" s="18" t="s">
        <v>29</v>
      </c>
      <c r="G62" s="18" t="s">
        <v>3</v>
      </c>
      <c r="H62" s="28" t="s">
        <v>18</v>
      </c>
      <c r="I62" s="122"/>
    </row>
    <row r="63" spans="1:9" s="20" customFormat="1" ht="31.5" customHeight="1">
      <c r="A63" s="27">
        <v>46151.396458333336</v>
      </c>
      <c r="B63" s="91" t="s">
        <v>0</v>
      </c>
      <c r="C63" s="19">
        <v>40</v>
      </c>
      <c r="D63" s="19">
        <v>5517</v>
      </c>
      <c r="E63" s="18" t="s">
        <v>59</v>
      </c>
      <c r="F63" s="18"/>
      <c r="G63" s="18" t="s">
        <v>5</v>
      </c>
      <c r="H63" s="28" t="s">
        <v>18</v>
      </c>
      <c r="I63" s="122"/>
    </row>
    <row r="64" spans="1:9" s="20" customFormat="1" ht="31.5" customHeight="1">
      <c r="A64" s="27">
        <v>46151.397222222222</v>
      </c>
      <c r="B64" s="91" t="s">
        <v>0</v>
      </c>
      <c r="C64" s="19">
        <v>8</v>
      </c>
      <c r="D64" s="19">
        <v>7731</v>
      </c>
      <c r="E64" s="18" t="s">
        <v>31</v>
      </c>
      <c r="F64" s="18" t="s">
        <v>29</v>
      </c>
      <c r="G64" s="18" t="s">
        <v>3</v>
      </c>
      <c r="H64" s="28" t="s">
        <v>18</v>
      </c>
      <c r="I64" s="122"/>
    </row>
    <row r="65" spans="1:9" s="20" customFormat="1" ht="31.5" customHeight="1">
      <c r="A65" s="27">
        <v>46151.398229166669</v>
      </c>
      <c r="B65" s="91" t="s">
        <v>0</v>
      </c>
      <c r="C65" s="19">
        <v>30</v>
      </c>
      <c r="D65" s="19">
        <v>66343</v>
      </c>
      <c r="E65" s="18" t="s">
        <v>37</v>
      </c>
      <c r="F65" s="18" t="s">
        <v>29</v>
      </c>
      <c r="G65" s="18" t="s">
        <v>3</v>
      </c>
      <c r="H65" s="28" t="s">
        <v>18</v>
      </c>
      <c r="I65" s="122"/>
    </row>
    <row r="66" spans="1:9" s="20" customFormat="1" ht="31.5" customHeight="1">
      <c r="A66" s="27">
        <v>46151.3987037037</v>
      </c>
      <c r="B66" s="91" t="s">
        <v>0</v>
      </c>
      <c r="C66" s="19">
        <v>5</v>
      </c>
      <c r="D66" s="19">
        <v>9176</v>
      </c>
      <c r="E66" s="18" t="s">
        <v>50</v>
      </c>
      <c r="F66" s="18" t="s">
        <v>29</v>
      </c>
      <c r="G66" s="18" t="s">
        <v>4</v>
      </c>
      <c r="H66" s="28" t="s">
        <v>18</v>
      </c>
      <c r="I66" s="122"/>
    </row>
    <row r="67" spans="1:9" s="20" customFormat="1" ht="31.5" customHeight="1">
      <c r="A67" s="27">
        <v>46151.402824074074</v>
      </c>
      <c r="B67" s="91" t="s">
        <v>0</v>
      </c>
      <c r="C67" s="19">
        <v>410</v>
      </c>
      <c r="D67" s="19">
        <v>46983</v>
      </c>
      <c r="E67" s="18" t="s">
        <v>28</v>
      </c>
      <c r="F67" s="18" t="s">
        <v>29</v>
      </c>
      <c r="G67" s="18" t="s">
        <v>3</v>
      </c>
      <c r="H67" s="28" t="s">
        <v>18</v>
      </c>
      <c r="I67" s="122"/>
    </row>
    <row r="68" spans="1:9" s="20" customFormat="1" ht="31.5" customHeight="1">
      <c r="A68" s="27">
        <v>46151.403090277781</v>
      </c>
      <c r="B68" s="91" t="s">
        <v>0</v>
      </c>
      <c r="C68" s="19">
        <v>85</v>
      </c>
      <c r="D68" s="19">
        <v>2496</v>
      </c>
      <c r="E68" s="18" t="s">
        <v>24</v>
      </c>
      <c r="F68" s="18" t="s">
        <v>29</v>
      </c>
      <c r="G68" s="18" t="s">
        <v>3</v>
      </c>
      <c r="H68" s="28" t="s">
        <v>18</v>
      </c>
      <c r="I68" s="122"/>
    </row>
    <row r="69" spans="1:9" s="20" customFormat="1" ht="31.5" customHeight="1">
      <c r="A69" s="27">
        <v>46151.406678240739</v>
      </c>
      <c r="B69" s="91" t="s">
        <v>0</v>
      </c>
      <c r="C69" s="19">
        <v>85</v>
      </c>
      <c r="D69" s="19">
        <v>6191</v>
      </c>
      <c r="E69" s="18" t="s">
        <v>38</v>
      </c>
      <c r="F69" s="18" t="s">
        <v>29</v>
      </c>
      <c r="G69" s="18" t="s">
        <v>3</v>
      </c>
      <c r="H69" s="28" t="s">
        <v>18</v>
      </c>
      <c r="I69" s="122"/>
    </row>
    <row r="70" spans="1:9" s="20" customFormat="1" ht="31.5" customHeight="1">
      <c r="A70" s="27">
        <v>46151.409571759257</v>
      </c>
      <c r="B70" s="91" t="s">
        <v>1</v>
      </c>
      <c r="C70" s="19">
        <v>34</v>
      </c>
      <c r="D70" s="19">
        <v>75</v>
      </c>
      <c r="E70" s="18" t="s">
        <v>42</v>
      </c>
      <c r="F70" s="18" t="s">
        <v>29</v>
      </c>
      <c r="G70" s="18" t="s">
        <v>3</v>
      </c>
      <c r="H70" s="28" t="s">
        <v>18</v>
      </c>
      <c r="I70" s="122"/>
    </row>
    <row r="71" spans="1:9" s="20" customFormat="1" ht="31.5" customHeight="1">
      <c r="A71" s="27">
        <v>46151.409733796296</v>
      </c>
      <c r="B71" s="91" t="s">
        <v>0</v>
      </c>
      <c r="C71" s="19">
        <v>45</v>
      </c>
      <c r="D71" s="19">
        <v>30</v>
      </c>
      <c r="E71" s="18" t="s">
        <v>42</v>
      </c>
      <c r="F71" s="18" t="s">
        <v>29</v>
      </c>
      <c r="G71" s="18" t="s">
        <v>3</v>
      </c>
      <c r="H71" s="28" t="s">
        <v>18</v>
      </c>
      <c r="I71" s="122"/>
    </row>
    <row r="72" spans="1:9" s="20" customFormat="1" ht="31.5" customHeight="1">
      <c r="A72" s="27">
        <v>46151.436111111114</v>
      </c>
      <c r="B72" s="91" t="s">
        <v>0</v>
      </c>
      <c r="C72" s="19">
        <v>125</v>
      </c>
      <c r="D72" s="19">
        <v>64157</v>
      </c>
      <c r="E72" s="18" t="s">
        <v>40</v>
      </c>
      <c r="F72" s="18" t="s">
        <v>29</v>
      </c>
      <c r="G72" s="18" t="s">
        <v>3</v>
      </c>
      <c r="H72" s="28" t="s">
        <v>18</v>
      </c>
      <c r="I72" s="122"/>
    </row>
    <row r="73" spans="1:9" s="20" customFormat="1" ht="31.5" customHeight="1">
      <c r="A73" s="27">
        <v>46151.436747685184</v>
      </c>
      <c r="B73" s="91" t="s">
        <v>0</v>
      </c>
      <c r="C73" s="19">
        <v>205</v>
      </c>
      <c r="D73" s="19">
        <v>66138</v>
      </c>
      <c r="E73" s="18" t="s">
        <v>37</v>
      </c>
      <c r="F73" s="18" t="s">
        <v>29</v>
      </c>
      <c r="G73" s="18" t="s">
        <v>3</v>
      </c>
      <c r="H73" s="28" t="s">
        <v>18</v>
      </c>
      <c r="I73" s="122"/>
    </row>
    <row r="74" spans="1:9" s="20" customFormat="1" ht="31.5" customHeight="1">
      <c r="A74" s="27">
        <v>46151.437638888892</v>
      </c>
      <c r="B74" s="91" t="s">
        <v>0</v>
      </c>
      <c r="C74" s="19">
        <v>125</v>
      </c>
      <c r="D74" s="19">
        <v>20604</v>
      </c>
      <c r="E74" s="18" t="s">
        <v>37</v>
      </c>
      <c r="F74" s="18"/>
      <c r="G74" s="18" t="s">
        <v>5</v>
      </c>
      <c r="H74" s="28" t="s">
        <v>18</v>
      </c>
      <c r="I74" s="122"/>
    </row>
    <row r="75" spans="1:9" s="20" customFormat="1" ht="31.5" customHeight="1">
      <c r="A75" s="27">
        <v>46151.439444444448</v>
      </c>
      <c r="B75" s="91" t="s">
        <v>0</v>
      </c>
      <c r="C75" s="19">
        <v>21</v>
      </c>
      <c r="D75" s="19">
        <v>47403</v>
      </c>
      <c r="E75" s="18" t="s">
        <v>24</v>
      </c>
      <c r="F75" s="18" t="s">
        <v>29</v>
      </c>
      <c r="G75" s="18" t="s">
        <v>2</v>
      </c>
      <c r="H75" s="28" t="s">
        <v>18</v>
      </c>
      <c r="I75" s="122"/>
    </row>
    <row r="76" spans="1:9" s="20" customFormat="1" ht="31.5" customHeight="1">
      <c r="A76" s="27">
        <v>46151.439699074072</v>
      </c>
      <c r="B76" s="91" t="s">
        <v>0</v>
      </c>
      <c r="C76" s="19">
        <v>21</v>
      </c>
      <c r="D76" s="19">
        <v>4130</v>
      </c>
      <c r="E76" s="18" t="s">
        <v>30</v>
      </c>
      <c r="F76" s="18" t="s">
        <v>29</v>
      </c>
      <c r="G76" s="18" t="s">
        <v>2</v>
      </c>
      <c r="H76" s="28" t="s">
        <v>18</v>
      </c>
      <c r="I76" s="122"/>
    </row>
    <row r="77" spans="1:9" s="20" customFormat="1" ht="31.5" customHeight="1">
      <c r="A77" s="27">
        <v>46151.440636574072</v>
      </c>
      <c r="B77" s="91" t="s">
        <v>0</v>
      </c>
      <c r="C77" s="19">
        <v>205</v>
      </c>
      <c r="D77" s="19">
        <v>63952</v>
      </c>
      <c r="E77" s="18" t="s">
        <v>40</v>
      </c>
      <c r="F77" s="18" t="s">
        <v>29</v>
      </c>
      <c r="G77" s="18" t="s">
        <v>3</v>
      </c>
      <c r="H77" s="28" t="s">
        <v>18</v>
      </c>
      <c r="I77" s="122"/>
    </row>
    <row r="78" spans="1:9" s="20" customFormat="1" ht="31.5" customHeight="1">
      <c r="A78" s="27">
        <v>46151.44090277778</v>
      </c>
      <c r="B78" s="91" t="s">
        <v>0</v>
      </c>
      <c r="C78" s="19">
        <v>605</v>
      </c>
      <c r="D78" s="19">
        <v>1802</v>
      </c>
      <c r="E78" s="18" t="s">
        <v>45</v>
      </c>
      <c r="F78" s="18" t="s">
        <v>32</v>
      </c>
      <c r="G78" s="18" t="s">
        <v>2</v>
      </c>
      <c r="H78" s="28" t="s">
        <v>18</v>
      </c>
      <c r="I78" s="122"/>
    </row>
    <row r="79" spans="1:9" s="20" customFormat="1" ht="31.5" customHeight="1">
      <c r="A79" s="27">
        <v>46151.441284722219</v>
      </c>
      <c r="B79" s="91" t="s">
        <v>0</v>
      </c>
      <c r="C79" s="19">
        <v>7</v>
      </c>
      <c r="D79" s="19">
        <v>27016</v>
      </c>
      <c r="E79" s="18" t="s">
        <v>46</v>
      </c>
      <c r="F79" s="18" t="s">
        <v>29</v>
      </c>
      <c r="G79" s="18" t="s">
        <v>4</v>
      </c>
      <c r="H79" s="28" t="s">
        <v>18</v>
      </c>
      <c r="I79" s="122"/>
    </row>
    <row r="80" spans="1:9" s="20" customFormat="1" ht="31.5" customHeight="1">
      <c r="A80" s="27">
        <v>46151.44158564815</v>
      </c>
      <c r="B80" s="91" t="s">
        <v>0</v>
      </c>
      <c r="C80" s="19">
        <v>10</v>
      </c>
      <c r="D80" s="19">
        <v>345</v>
      </c>
      <c r="E80" s="18" t="s">
        <v>68</v>
      </c>
      <c r="F80" s="18"/>
      <c r="G80" s="18" t="s">
        <v>60</v>
      </c>
      <c r="H80" s="28" t="s">
        <v>18</v>
      </c>
      <c r="I80" s="122"/>
    </row>
    <row r="81" spans="1:9" s="20" customFormat="1" ht="31.5" customHeight="1">
      <c r="A81" s="27">
        <v>46151.44189814815</v>
      </c>
      <c r="B81" s="91" t="s">
        <v>0</v>
      </c>
      <c r="C81" s="19">
        <v>8</v>
      </c>
      <c r="D81" s="19">
        <v>337</v>
      </c>
      <c r="E81" s="18" t="s">
        <v>68</v>
      </c>
      <c r="F81" s="18"/>
      <c r="G81" s="18" t="s">
        <v>60</v>
      </c>
      <c r="H81" s="28" t="s">
        <v>18</v>
      </c>
      <c r="I81" s="122"/>
    </row>
    <row r="82" spans="1:9" s="20" customFormat="1" ht="31.5" customHeight="1">
      <c r="A82" s="27">
        <v>46151.460949074077</v>
      </c>
      <c r="B82" s="91" t="s">
        <v>0</v>
      </c>
      <c r="C82" s="19">
        <v>8</v>
      </c>
      <c r="D82" s="19">
        <v>7723</v>
      </c>
      <c r="E82" s="18" t="s">
        <v>31</v>
      </c>
      <c r="F82" s="18" t="s">
        <v>29</v>
      </c>
      <c r="G82" s="18" t="s">
        <v>3</v>
      </c>
      <c r="H82" s="28" t="s">
        <v>18</v>
      </c>
      <c r="I82" s="122"/>
    </row>
    <row r="83" spans="1:9" s="20" customFormat="1" ht="31.5" customHeight="1">
      <c r="A83" s="27">
        <v>46151.4612037037</v>
      </c>
      <c r="B83" s="91" t="s">
        <v>0</v>
      </c>
      <c r="C83" s="19">
        <v>2</v>
      </c>
      <c r="D83" s="19">
        <v>2494</v>
      </c>
      <c r="E83" s="18" t="s">
        <v>24</v>
      </c>
      <c r="F83" s="18" t="s">
        <v>29</v>
      </c>
      <c r="G83" s="18" t="s">
        <v>3</v>
      </c>
      <c r="H83" s="28" t="s">
        <v>18</v>
      </c>
      <c r="I83" s="122"/>
    </row>
    <row r="84" spans="1:9" s="20" customFormat="1" ht="31.5" customHeight="1">
      <c r="A84" s="27">
        <v>46151.461550925924</v>
      </c>
      <c r="B84" s="91" t="s">
        <v>0</v>
      </c>
      <c r="C84" s="19">
        <v>13</v>
      </c>
      <c r="D84" s="19">
        <v>20591</v>
      </c>
      <c r="E84" s="18" t="s">
        <v>37</v>
      </c>
      <c r="F84" s="18"/>
      <c r="G84" s="18" t="s">
        <v>5</v>
      </c>
      <c r="H84" s="28" t="s">
        <v>18</v>
      </c>
      <c r="I84" s="122"/>
    </row>
    <row r="85" spans="1:9" s="20" customFormat="1" ht="31.5" customHeight="1">
      <c r="A85" s="27">
        <v>46151.461701388886</v>
      </c>
      <c r="B85" s="91" t="s">
        <v>0</v>
      </c>
      <c r="C85" s="19">
        <v>60</v>
      </c>
      <c r="D85" s="19">
        <v>5457</v>
      </c>
      <c r="E85" s="18" t="s">
        <v>59</v>
      </c>
      <c r="F85" s="18"/>
      <c r="G85" s="18" t="s">
        <v>5</v>
      </c>
      <c r="H85" s="28" t="s">
        <v>18</v>
      </c>
      <c r="I85" s="122"/>
    </row>
    <row r="86" spans="1:9" s="20" customFormat="1" ht="31.5" customHeight="1">
      <c r="A86" s="27">
        <v>46152.421284722222</v>
      </c>
      <c r="B86" s="91" t="s">
        <v>0</v>
      </c>
      <c r="C86" s="19">
        <v>9</v>
      </c>
      <c r="D86" s="19">
        <v>1445</v>
      </c>
      <c r="E86" s="18" t="s">
        <v>86</v>
      </c>
      <c r="F86" s="18"/>
      <c r="G86" s="18" t="s">
        <v>72</v>
      </c>
      <c r="H86" s="28" t="s">
        <v>79</v>
      </c>
      <c r="I86" s="80"/>
    </row>
    <row r="87" spans="1:9" s="20" customFormat="1" ht="31.5" customHeight="1">
      <c r="A87" s="27">
        <v>46152.421597222223</v>
      </c>
      <c r="B87" s="91" t="s">
        <v>0</v>
      </c>
      <c r="C87" s="19">
        <v>4</v>
      </c>
      <c r="D87" s="19">
        <v>1974</v>
      </c>
      <c r="E87" s="18" t="s">
        <v>87</v>
      </c>
      <c r="F87" s="18"/>
      <c r="G87" s="18" t="s">
        <v>78</v>
      </c>
      <c r="H87" s="28" t="s">
        <v>79</v>
      </c>
      <c r="I87" s="80"/>
    </row>
    <row r="88" spans="1:9" s="20" customFormat="1" ht="31.5" customHeight="1">
      <c r="A88" s="27">
        <v>46152.437858796293</v>
      </c>
      <c r="B88" s="91" t="s">
        <v>0</v>
      </c>
      <c r="C88" s="19">
        <v>2825</v>
      </c>
      <c r="D88" s="19">
        <v>44158</v>
      </c>
      <c r="E88" s="18" t="s">
        <v>28</v>
      </c>
      <c r="F88" s="18" t="s">
        <v>29</v>
      </c>
      <c r="G88" s="18" t="s">
        <v>3</v>
      </c>
      <c r="H88" s="28" t="s">
        <v>18</v>
      </c>
      <c r="I88" s="80"/>
    </row>
    <row r="89" spans="1:9" s="20" customFormat="1" ht="31.5" customHeight="1">
      <c r="A89" s="27">
        <v>46152.438206018516</v>
      </c>
      <c r="B89" s="91" t="s">
        <v>0</v>
      </c>
      <c r="C89" s="19">
        <v>285</v>
      </c>
      <c r="D89" s="19">
        <v>8095</v>
      </c>
      <c r="E89" s="18" t="s">
        <v>36</v>
      </c>
      <c r="F89" s="18" t="s">
        <v>29</v>
      </c>
      <c r="G89" s="18" t="s">
        <v>3</v>
      </c>
      <c r="H89" s="28" t="s">
        <v>18</v>
      </c>
      <c r="I89" s="80"/>
    </row>
    <row r="90" spans="1:9" s="20" customFormat="1" ht="31.5" customHeight="1">
      <c r="A90" s="27">
        <v>46152.438622685186</v>
      </c>
      <c r="B90" s="91" t="s">
        <v>0</v>
      </c>
      <c r="C90" s="19">
        <v>855</v>
      </c>
      <c r="D90" s="19">
        <v>65283</v>
      </c>
      <c r="E90" s="18" t="s">
        <v>37</v>
      </c>
      <c r="F90" s="18" t="s">
        <v>29</v>
      </c>
      <c r="G90" s="18" t="s">
        <v>3</v>
      </c>
      <c r="H90" s="28" t="s">
        <v>18</v>
      </c>
      <c r="I90" s="80"/>
    </row>
    <row r="91" spans="1:9" s="20" customFormat="1" ht="31.5" customHeight="1">
      <c r="A91" s="27">
        <v>46152.439016203702</v>
      </c>
      <c r="B91" s="91" t="s">
        <v>0</v>
      </c>
      <c r="C91" s="19">
        <v>105</v>
      </c>
      <c r="D91" s="19">
        <v>384</v>
      </c>
      <c r="E91" s="18" t="s">
        <v>39</v>
      </c>
      <c r="F91" s="18" t="s">
        <v>29</v>
      </c>
      <c r="G91" s="18" t="s">
        <v>3</v>
      </c>
      <c r="H91" s="28" t="s">
        <v>18</v>
      </c>
      <c r="I91" s="80"/>
    </row>
    <row r="92" spans="1:9" s="20" customFormat="1" ht="31.5" customHeight="1">
      <c r="A92" s="27">
        <v>46152.439247685186</v>
      </c>
      <c r="B92" s="91" t="s">
        <v>0</v>
      </c>
      <c r="C92" s="19">
        <v>45</v>
      </c>
      <c r="D92" s="19">
        <v>6146</v>
      </c>
      <c r="E92" s="18" t="s">
        <v>38</v>
      </c>
      <c r="F92" s="18" t="s">
        <v>29</v>
      </c>
      <c r="G92" s="18" t="s">
        <v>3</v>
      </c>
      <c r="H92" s="28" t="s">
        <v>18</v>
      </c>
      <c r="I92" s="80"/>
    </row>
    <row r="93" spans="1:9" s="20" customFormat="1" ht="31.5" customHeight="1">
      <c r="A93" s="27">
        <v>46152.441747685189</v>
      </c>
      <c r="B93" s="91" t="s">
        <v>0</v>
      </c>
      <c r="C93" s="19">
        <v>245</v>
      </c>
      <c r="D93" s="19">
        <v>32111</v>
      </c>
      <c r="E93" s="18" t="s">
        <v>28</v>
      </c>
      <c r="F93" s="18" t="s">
        <v>29</v>
      </c>
      <c r="G93" s="18" t="s">
        <v>2</v>
      </c>
      <c r="H93" s="28" t="s">
        <v>18</v>
      </c>
      <c r="I93" s="80"/>
    </row>
    <row r="94" spans="1:9" s="20" customFormat="1" ht="31.5" customHeight="1">
      <c r="A94" s="258">
        <v>46152.63521990741</v>
      </c>
      <c r="B94" s="34" t="s">
        <v>0</v>
      </c>
      <c r="C94" s="78">
        <v>15</v>
      </c>
      <c r="D94" s="78">
        <v>322</v>
      </c>
      <c r="E94" s="20" t="s">
        <v>68</v>
      </c>
      <c r="G94" s="20" t="s">
        <v>60</v>
      </c>
      <c r="H94" s="29" t="s">
        <v>18</v>
      </c>
      <c r="I94" s="80"/>
    </row>
    <row r="95" spans="1:9" s="20" customFormat="1" ht="31.5" customHeight="1">
      <c r="A95" s="30"/>
      <c r="B95" s="34"/>
      <c r="C95" s="78"/>
      <c r="D95" s="78"/>
      <c r="H95" s="29"/>
      <c r="I95" s="80"/>
    </row>
    <row r="96" spans="1:9" s="20" customFormat="1" ht="31.5" customHeight="1">
      <c r="A96" s="30"/>
      <c r="B96" s="34"/>
      <c r="C96" s="78"/>
      <c r="D96" s="78"/>
      <c r="H96" s="29"/>
      <c r="I96" s="80"/>
    </row>
    <row r="97" spans="1:9" s="20" customFormat="1" ht="31.5" customHeight="1">
      <c r="A97" s="30"/>
      <c r="B97" s="34"/>
      <c r="C97" s="78"/>
      <c r="D97" s="78"/>
      <c r="H97" s="29"/>
      <c r="I97" s="80"/>
    </row>
    <row r="98" spans="1:9" s="20" customFormat="1" ht="31.5" customHeight="1">
      <c r="A98" s="30"/>
      <c r="B98" s="34"/>
      <c r="C98" s="78"/>
      <c r="D98" s="78"/>
      <c r="H98" s="29"/>
      <c r="I98" s="80"/>
    </row>
    <row r="99" spans="1:9" s="20" customFormat="1" ht="31.5" customHeight="1">
      <c r="A99" s="30"/>
      <c r="B99" s="34"/>
      <c r="C99" s="78"/>
      <c r="D99" s="78"/>
      <c r="H99" s="29"/>
      <c r="I99" s="80"/>
    </row>
    <row r="100" spans="1:9" s="20" customFormat="1" ht="31.5" customHeight="1">
      <c r="A100" s="30"/>
      <c r="B100" s="34"/>
      <c r="C100" s="78"/>
      <c r="D100" s="78"/>
      <c r="H100" s="29"/>
      <c r="I100" s="80"/>
    </row>
    <row r="101" spans="1:9" ht="40.5" customHeight="1"/>
    <row r="102" spans="1:9" ht="40.5" customHeight="1"/>
    <row r="103" spans="1:9" ht="40.5" customHeight="1"/>
    <row r="104" spans="1:9" ht="40.5" customHeight="1"/>
    <row r="105" spans="1:9" ht="40.5" customHeight="1"/>
    <row r="106" spans="1:9" ht="40.5" customHeight="1"/>
    <row r="107" spans="1:9" ht="40.5" customHeight="1"/>
    <row r="108" spans="1:9" ht="40.5" customHeight="1"/>
    <row r="109" spans="1:9" ht="40.5" customHeight="1"/>
    <row r="110" spans="1:9" ht="40.5" customHeight="1"/>
    <row r="111" spans="1:9" ht="40.5" customHeight="1"/>
    <row r="112" spans="1:9" ht="40.5" customHeight="1"/>
    <row r="113" ht="40.5" customHeight="1"/>
    <row r="114" ht="40.5" customHeight="1"/>
    <row r="115" ht="40.5" customHeight="1"/>
    <row r="116" ht="40.5" customHeight="1"/>
    <row r="117" ht="40.5" customHeight="1"/>
    <row r="118" ht="40.5" customHeight="1"/>
    <row r="119" ht="40.5" customHeight="1"/>
    <row r="120" ht="40.5" customHeight="1"/>
    <row r="121" ht="40.5" customHeight="1"/>
    <row r="122" ht="40.5" customHeight="1"/>
    <row r="123" ht="40.5" customHeight="1"/>
    <row r="124" ht="40.5" customHeight="1"/>
    <row r="125" ht="40.5" customHeight="1"/>
    <row r="126" ht="40.5" customHeight="1"/>
    <row r="127" ht="40.5" customHeight="1"/>
    <row r="128" ht="40.5" customHeight="1"/>
    <row r="129" ht="40.5" customHeight="1"/>
    <row r="130" ht="40.5" customHeight="1"/>
    <row r="131" ht="40.5" customHeight="1"/>
    <row r="132" ht="40.5" customHeight="1"/>
    <row r="133" ht="40.5" customHeight="1"/>
    <row r="134" ht="40.5" customHeight="1"/>
    <row r="135" ht="40.5" customHeight="1"/>
    <row r="136" ht="40.5" customHeight="1"/>
    <row r="137" ht="40.5" customHeight="1"/>
    <row r="138" ht="40.5" customHeight="1"/>
    <row r="139" ht="40.5" customHeight="1"/>
    <row r="140" ht="40.5" customHeight="1"/>
    <row r="141" ht="40.5" customHeight="1"/>
    <row r="142" ht="40.5" customHeight="1"/>
    <row r="143" ht="40.5" customHeight="1"/>
    <row r="144" ht="40.5" customHeight="1"/>
    <row r="145" ht="40.5" customHeight="1"/>
    <row r="146" ht="40.5" customHeight="1"/>
    <row r="147" ht="40.5" customHeight="1"/>
    <row r="148" ht="40.5" customHeight="1"/>
    <row r="149" ht="40.5" customHeight="1"/>
    <row r="150" ht="40.5" customHeight="1"/>
    <row r="151" ht="40.5" customHeight="1"/>
    <row r="152" ht="40.5" customHeight="1"/>
    <row r="153" ht="40.5" customHeight="1"/>
    <row r="154" ht="40.5" customHeight="1"/>
    <row r="155" ht="40.5" customHeight="1"/>
    <row r="156" ht="40.5" customHeight="1"/>
    <row r="157" ht="40.5" customHeight="1"/>
    <row r="158" ht="40.5" customHeight="1"/>
    <row r="159" ht="40.5" customHeight="1"/>
    <row r="160" ht="40.5" customHeight="1"/>
    <row r="161" ht="40.5" customHeight="1"/>
    <row r="162" ht="40.5" customHeight="1"/>
    <row r="163" ht="40.5" customHeight="1"/>
    <row r="164" ht="40.5" customHeight="1"/>
    <row r="165" ht="40.5" customHeight="1"/>
    <row r="166" ht="40.5" customHeight="1"/>
    <row r="167" ht="40.5" customHeight="1"/>
    <row r="168" ht="40.5" customHeight="1"/>
    <row r="169" ht="40.5" customHeight="1"/>
    <row r="170" ht="40.5" customHeight="1"/>
    <row r="171" ht="40.5" customHeight="1"/>
    <row r="172" ht="40.5" customHeight="1"/>
    <row r="173" ht="40.5" customHeight="1"/>
    <row r="174" ht="40.5" customHeight="1"/>
    <row r="175" ht="40.5" customHeight="1"/>
    <row r="176" ht="40.5" customHeight="1"/>
    <row r="177" ht="40.5" customHeight="1"/>
    <row r="178" ht="40.5" customHeight="1"/>
    <row r="179" ht="40.5" customHeight="1"/>
    <row r="180" ht="40.5" customHeight="1"/>
    <row r="181" ht="40.5" customHeight="1"/>
    <row r="182" ht="40.5" customHeight="1"/>
    <row r="183" ht="40.5" customHeight="1"/>
    <row r="184" ht="40.5" customHeight="1"/>
    <row r="185" ht="40.5" customHeight="1"/>
    <row r="186" ht="40.5" customHeight="1"/>
    <row r="187" ht="40.5" customHeight="1"/>
    <row r="188" ht="40.5" customHeight="1"/>
    <row r="189" ht="40.5" customHeight="1"/>
    <row r="190" ht="40.5" customHeight="1"/>
    <row r="191" ht="40.5" customHeight="1"/>
    <row r="192" ht="40.5" customHeight="1"/>
    <row r="193" ht="40.5" customHeight="1"/>
    <row r="194" ht="40.5" customHeight="1"/>
    <row r="195" ht="40.5" customHeight="1"/>
    <row r="196" ht="40.5" customHeight="1"/>
    <row r="197" ht="40.5" customHeight="1"/>
    <row r="198" ht="40.5" customHeight="1"/>
    <row r="199" ht="40.5" customHeight="1"/>
    <row r="200" ht="40.5" customHeight="1"/>
    <row r="201" ht="40.5" customHeight="1"/>
    <row r="202" ht="40.5" customHeight="1"/>
    <row r="203" ht="40.5" customHeight="1"/>
    <row r="204" ht="40.5" customHeight="1"/>
    <row r="205" ht="40.5" customHeight="1"/>
    <row r="206" ht="40.5" customHeight="1"/>
    <row r="207" ht="40.5" customHeight="1"/>
    <row r="208" ht="40.5" customHeight="1"/>
    <row r="209" ht="40.5" customHeight="1"/>
    <row r="210" ht="40.5" customHeight="1"/>
    <row r="211" ht="40.5" customHeight="1"/>
    <row r="212" ht="40.5" customHeight="1"/>
    <row r="213" ht="40.5" customHeight="1"/>
    <row r="214" ht="40.5" customHeight="1"/>
    <row r="215" ht="40.5" customHeight="1"/>
    <row r="216" ht="40.5" customHeight="1"/>
    <row r="217" ht="40.5" customHeight="1"/>
  </sheetData>
  <autoFilter ref="A1:H217" xr:uid="{00000000-0009-0000-0000-000009000000}"/>
  <conditionalFormatting sqref="H1:H1048576">
    <cfRule type="containsText" dxfId="4" priority="1" operator="containsText" text="Roll">
      <formula>NOT(ISERROR(SEARCH("Roll",H1)))</formula>
    </cfRule>
    <cfRule type="containsText" dxfId="3" priority="6" operator="containsText" text="Lable">
      <formula>NOT(ISERROR(SEARCH("Lable",H1)))</formula>
    </cfRule>
    <cfRule type="containsText" dxfId="2" priority="7" stopIfTrue="1" operator="containsText" text="Sacks">
      <formula>NOT(ISERROR(SEARCH("Sacks",H1)))</formula>
    </cfRule>
  </conditionalFormatting>
  <conditionalFormatting sqref="B1:B1048576">
    <cfRule type="containsText" dxfId="1" priority="2" operator="containsText" text="OUT">
      <formula>NOT(ISERROR(SEARCH("OUT",B1)))</formula>
    </cfRule>
    <cfRule type="containsText" dxfId="0" priority="5" operator="containsText" text="IN">
      <formula>NOT(ISERROR(SEARCH("IN",B1)))</formula>
    </cfRule>
  </conditionalFormatting>
  <pageMargins left="0.7" right="0.7" top="0.75" bottom="0.75" header="0.3" footer="0.3"/>
  <pageSetup paperSize="9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Chicken</vt:lpstr>
      <vt:lpstr>COW</vt:lpstr>
      <vt:lpstr>WithOut</vt:lpstr>
      <vt:lpstr>Koptimix</vt:lpstr>
      <vt:lpstr>Plastic</vt:lpstr>
      <vt:lpstr>Koptimix Lable</vt:lpstr>
      <vt:lpstr>EST Lable</vt:lpstr>
      <vt:lpstr>Roll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 Ghareb</cp:lastModifiedBy>
  <cp:lastPrinted>2026-05-01T18:39:31Z</cp:lastPrinted>
  <dcterms:created xsi:type="dcterms:W3CDTF">2026-04-22T15:27:50Z</dcterms:created>
  <dcterms:modified xsi:type="dcterms:W3CDTF">2026-05-10T12:14:45Z</dcterms:modified>
</cp:coreProperties>
</file>