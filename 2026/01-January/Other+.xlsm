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2026\01-January\"/>
    </mc:Choice>
  </mc:AlternateContent>
  <xr:revisionPtr revIDLastSave="0" documentId="13_ncr:1_{E0734172-51DC-4FA7-863B-63C1FB1B9354}" xr6:coauthVersionLast="47" xr6:coauthVersionMax="47" xr10:uidLastSave="{00000000-0000-0000-0000-000000000000}"/>
  <bookViews>
    <workbookView xWindow="2892" yWindow="2892" windowWidth="17280" windowHeight="8880" activeTab="3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5" l="1" a="1"/>
  <c r="K7" i="5" s="1"/>
  <c r="P26" i="5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<sst xmlns="http://schemas.openxmlformats.org/spreadsheetml/2006/main" count="1018" uniqueCount="38">
  <si>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</si>
  <si>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</si>
  <si>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</si>
  <si>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</si>
  <si>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</si>
  <si>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</si>
  <si>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</si>
  <si>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</si>
  <si>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</si>
  <si>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</si>
  <si>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</si>
  <si>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</si>
  <si>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Cartoon</t>
  </si>
  <si>
    <t>null</t>
  </si>
  <si>
    <t>Card</t>
  </si>
  <si>
    <t>Shrink</t>
  </si>
  <si>
    <t>String</t>
  </si>
  <si>
    <t>Machine S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</si>
  <si>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</si>
  <si>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</si>
  <si>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</si>
  <si>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</si>
  <si>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</si>
  <si>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</si>
  <si>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</si>
  <si>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</si>
  <si>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</si>
  <si>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</si>
  <si>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</si>
  <si>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</si>
  <si>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</si>
  <si>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</si>
  <si>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</si>
  <si>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</si>
  <si>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</si>
  <si>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</si>
  <si>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</si>
  <si>
    <t>hamza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</si>
</sst>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3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14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4" xfId="0" applyFont="1" applyFill="1" applyBorder="1" applyAlignment="1">
      <alignment horizontal="center" vertical="center"/>
    </xf>
    <xf numFmtId="0" fontId="0" fillId="0" borderId="36" xfId="0" applyBorder="1"/>
    <xf numFmtId="0" fontId="13" fillId="12" borderId="5" xfId="5" applyFont="1" applyFill="1" applyBorder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4" fillId="10" borderId="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13" fillId="10" borderId="0" xfId="5" applyFont="1" applyFill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13" fillId="5" borderId="17" xfId="5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</dxfs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74"/>
      <c r="F3" s="75"/>
      <c r="G3" s="76"/>
      <c r="H3" s="74"/>
      <c r="I3" s="74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0</v>
      </c>
      <c r="E7" s="38"/>
      <c r="F7" s="59"/>
      <c r="G7" s="41" t="s">
        <v>13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13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13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13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13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13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13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13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13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13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13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13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13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13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13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13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13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13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13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13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13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13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13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13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13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18" priority="4" operator="containsText" text="Cartoon">
      <formula>NOT(ISERROR(SEARCH("Cartoon",F1)))</formula>
    </cfRule>
    <cfRule type="containsText" dxfId="17" priority="5" operator="containsText" text="Wood">
      <formula>NOT(ISERROR(SEARCH("Wood",F1)))</formula>
    </cfRule>
  </conditionalFormatting>
  <conditionalFormatting sqref="F10">
    <cfRule type="containsText" dxfId="16" priority="2" operator="containsText" text="Cartoon">
      <formula>NOT(ISERROR(SEARCH("Cartoon",F10)))</formula>
    </cfRule>
    <cfRule type="containsText" dxfId="15" priority="3" operator="containsText" text="Wood">
      <formula>NOT(ISERROR(SEARCH("Wood",F10)))</formula>
    </cfRule>
  </conditionalFormatting>
  <conditionalFormatting sqref="F1:F1048576">
    <cfRule type="containsText" dxfId="14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7:F1048576 F2:F5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14</v>
      </c>
      <c r="E7" s="38"/>
      <c r="F7" s="60"/>
      <c r="G7" s="41" t="s">
        <v>13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14</v>
      </c>
      <c r="E8" s="38"/>
      <c r="F8" s="38"/>
      <c r="G8" s="41" t="s">
        <v>13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14</v>
      </c>
      <c r="E9" s="38"/>
      <c r="F9" s="38"/>
      <c r="G9" s="41" t="s">
        <v>13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14</v>
      </c>
      <c r="E10" s="38"/>
      <c r="F10" s="38"/>
      <c r="G10" s="41" t="s">
        <v>13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14</v>
      </c>
      <c r="E11" s="38"/>
      <c r="F11" s="38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14</v>
      </c>
      <c r="E12" s="38"/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14</v>
      </c>
      <c r="E13" s="38"/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14</v>
      </c>
      <c r="E14" s="38"/>
      <c r="F14" s="38"/>
      <c r="G14" s="41" t="s">
        <v>13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14</v>
      </c>
      <c r="E15" s="38"/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14</v>
      </c>
      <c r="E16" s="38"/>
      <c r="F16" s="38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14</v>
      </c>
      <c r="E17" s="38"/>
      <c r="F17" s="38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14</v>
      </c>
      <c r="E18" s="38"/>
      <c r="F18" s="38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14</v>
      </c>
      <c r="E19" s="37"/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14</v>
      </c>
      <c r="E20" s="37"/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14</v>
      </c>
      <c r="E21" s="37"/>
      <c r="F21" s="38"/>
      <c r="G21" s="41" t="s">
        <v>13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14</v>
      </c>
      <c r="E22" s="37"/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14</v>
      </c>
      <c r="E23" s="37"/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14</v>
      </c>
      <c r="E24" s="37"/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14</v>
      </c>
      <c r="E25" s="37"/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14</v>
      </c>
      <c r="E26" s="37"/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14</v>
      </c>
      <c r="E27" s="37"/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14</v>
      </c>
      <c r="E28" s="37"/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14</v>
      </c>
      <c r="E29" s="37"/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14</v>
      </c>
      <c r="E30" s="37"/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14</v>
      </c>
      <c r="E31" s="37"/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14</v>
      </c>
      <c r="E32" s="37"/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14</v>
      </c>
      <c r="E33" s="37"/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14</v>
      </c>
      <c r="E34" s="37"/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14</v>
      </c>
      <c r="E35" s="37"/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14</v>
      </c>
      <c r="E36" s="37"/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14</v>
      </c>
      <c r="E37" s="37"/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14</v>
      </c>
      <c r="E38" s="37"/>
      <c r="F38" s="38"/>
      <c r="G38" s="41" t="s">
        <v>13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14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14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14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14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14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14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14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14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14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14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14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14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14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14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14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14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14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14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14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14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14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14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14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14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14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14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14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14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14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14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14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14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14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14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14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14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14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14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14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14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14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14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14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14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14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14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14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14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14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14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14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14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14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14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14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14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14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14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14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14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14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14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13" priority="2" operator="containsText" text="white">
      <formula>NOT(ISERROR(SEARCH("white",F1)))</formula>
    </cfRule>
    <cfRule type="containsText" dxfId="12" priority="3" operator="containsText" text="YELLOW">
      <formula>NOT(ISERROR(SEARCH("YELLOW",F1)))</formula>
    </cfRule>
    <cfRule type="containsText" dxfId="11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7:E1048576 E2:E5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15</v>
      </c>
      <c r="E7" s="54" t="s">
        <v>15</v>
      </c>
      <c r="F7" s="59"/>
      <c r="G7" s="41" t="s">
        <v>13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15</v>
      </c>
      <c r="E8" s="54" t="s">
        <v>15</v>
      </c>
      <c r="F8" s="41"/>
      <c r="G8" s="41" t="s">
        <v>13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15</v>
      </c>
      <c r="E9" s="54" t="s">
        <v>15</v>
      </c>
      <c r="F9" s="41"/>
      <c r="G9" s="41" t="s">
        <v>13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15</v>
      </c>
      <c r="E10" s="54" t="s">
        <v>15</v>
      </c>
      <c r="F10" s="38"/>
      <c r="G10" s="41" t="s">
        <v>13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15</v>
      </c>
      <c r="E11" s="54" t="s">
        <v>15</v>
      </c>
      <c r="F11" s="38"/>
      <c r="G11" s="41" t="s">
        <v>13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15</v>
      </c>
      <c r="E12" s="54" t="s">
        <v>15</v>
      </c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15</v>
      </c>
      <c r="E13" s="54" t="s">
        <v>15</v>
      </c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15</v>
      </c>
      <c r="E14" s="54" t="s">
        <v>15</v>
      </c>
      <c r="F14" s="38"/>
      <c r="G14" s="41" t="s">
        <v>13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15</v>
      </c>
      <c r="E15" s="54" t="s">
        <v>15</v>
      </c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15</v>
      </c>
      <c r="E16" s="54" t="s">
        <v>15</v>
      </c>
      <c r="F16" s="38"/>
      <c r="G16" s="41" t="s">
        <v>13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15</v>
      </c>
      <c r="E17" s="54" t="s">
        <v>15</v>
      </c>
      <c r="F17" s="38"/>
      <c r="G17" s="41" t="s">
        <v>13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15</v>
      </c>
      <c r="E18" s="54" t="s">
        <v>15</v>
      </c>
      <c r="F18" s="38"/>
      <c r="G18" s="41" t="s">
        <v>13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15</v>
      </c>
      <c r="E19" s="54" t="s">
        <v>15</v>
      </c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15</v>
      </c>
      <c r="E20" s="54" t="s">
        <v>15</v>
      </c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15</v>
      </c>
      <c r="E21" s="54" t="s">
        <v>15</v>
      </c>
      <c r="F21" s="38"/>
      <c r="G21" s="41" t="s">
        <v>13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15</v>
      </c>
      <c r="E22" s="54" t="s">
        <v>15</v>
      </c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15</v>
      </c>
      <c r="E23" s="54" t="s">
        <v>15</v>
      </c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15</v>
      </c>
      <c r="E24" s="54" t="s">
        <v>15</v>
      </c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15</v>
      </c>
      <c r="E25" s="54" t="s">
        <v>15</v>
      </c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15</v>
      </c>
      <c r="E26" s="54" t="s">
        <v>15</v>
      </c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15</v>
      </c>
      <c r="E27" s="54" t="s">
        <v>15</v>
      </c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15</v>
      </c>
      <c r="E28" s="54" t="s">
        <v>15</v>
      </c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15</v>
      </c>
      <c r="E29" s="54" t="s">
        <v>15</v>
      </c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15</v>
      </c>
      <c r="E30" s="54" t="s">
        <v>15</v>
      </c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15</v>
      </c>
      <c r="E31" s="54" t="s">
        <v>15</v>
      </c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15</v>
      </c>
      <c r="E32" s="54" t="s">
        <v>15</v>
      </c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15</v>
      </c>
      <c r="E33" s="54" t="s">
        <v>15</v>
      </c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15</v>
      </c>
      <c r="E34" s="54" t="s">
        <v>15</v>
      </c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15</v>
      </c>
      <c r="E35" s="54" t="s">
        <v>15</v>
      </c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15</v>
      </c>
      <c r="E36" s="54" t="s">
        <v>15</v>
      </c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15</v>
      </c>
      <c r="E37" s="54" t="s">
        <v>15</v>
      </c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15</v>
      </c>
      <c r="E38" s="54" t="s">
        <v>15</v>
      </c>
      <c r="F38" s="5"/>
      <c r="G38" s="41" t="s">
        <v>13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15</v>
      </c>
      <c r="E39" s="54" t="s">
        <v>15</v>
      </c>
      <c r="F39" s="5"/>
      <c r="G39" s="41" t="s">
        <v>13</v>
      </c>
      <c r="H39" s="5"/>
      <c r="I39" s="5"/>
      <c r="J39" s="5"/>
      <c r="L39" s="5"/>
      <c r="M39" s="5"/>
    </row>
    <row r="40" spans="3:13" ht="26.25" customHeight="1">
      <c r="C40" s="5"/>
      <c r="D40" s="54" t="s">
        <v>15</v>
      </c>
      <c r="E40" s="54" t="s">
        <v>15</v>
      </c>
      <c r="F40" s="5"/>
      <c r="G40" s="41" t="s">
        <v>13</v>
      </c>
      <c r="H40" s="5"/>
      <c r="I40" s="5"/>
      <c r="J40" s="5"/>
      <c r="L40" s="5"/>
      <c r="M40" s="5"/>
    </row>
    <row r="41" spans="3:13" ht="26.25" customHeight="1">
      <c r="C41" s="5"/>
      <c r="D41" s="54" t="s">
        <v>15</v>
      </c>
      <c r="E41" s="54" t="s">
        <v>15</v>
      </c>
      <c r="F41" s="5"/>
      <c r="G41" s="41" t="s">
        <v>13</v>
      </c>
      <c r="H41" s="5"/>
      <c r="I41" s="5"/>
      <c r="J41" s="5"/>
      <c r="L41" s="5"/>
      <c r="M41" s="5"/>
    </row>
    <row r="42" spans="3:13" ht="26.25" customHeight="1">
      <c r="C42" s="5"/>
      <c r="D42" s="54" t="s">
        <v>15</v>
      </c>
      <c r="E42" s="54" t="s">
        <v>15</v>
      </c>
      <c r="F42" s="5"/>
      <c r="G42" s="41" t="s">
        <v>13</v>
      </c>
      <c r="H42" s="5"/>
      <c r="I42" s="5"/>
      <c r="J42" s="5"/>
      <c r="L42" s="5"/>
      <c r="M42" s="5"/>
    </row>
    <row r="43" spans="3:13" ht="26.25" customHeight="1">
      <c r="C43" s="5"/>
      <c r="D43" s="54" t="s">
        <v>15</v>
      </c>
      <c r="E43" s="54" t="s">
        <v>15</v>
      </c>
      <c r="F43" s="5"/>
      <c r="G43" s="41" t="s">
        <v>13</v>
      </c>
      <c r="H43" s="5"/>
      <c r="I43" s="5"/>
      <c r="J43" s="5"/>
      <c r="L43" s="5"/>
      <c r="M43" s="5"/>
    </row>
    <row r="44" spans="3:13" ht="26.25" customHeight="1">
      <c r="C44" s="5"/>
      <c r="D44" s="54" t="s">
        <v>15</v>
      </c>
      <c r="E44" s="54" t="s">
        <v>15</v>
      </c>
      <c r="F44" s="5"/>
      <c r="G44" s="41" t="s">
        <v>13</v>
      </c>
      <c r="H44" s="5"/>
      <c r="I44" s="5"/>
      <c r="J44" s="5"/>
      <c r="L44" s="5"/>
      <c r="M44" s="5"/>
    </row>
    <row r="45" spans="3:13" ht="26.25" customHeight="1">
      <c r="C45" s="5"/>
      <c r="D45" s="54" t="s">
        <v>15</v>
      </c>
      <c r="E45" s="54" t="s">
        <v>15</v>
      </c>
      <c r="F45" s="5"/>
      <c r="G45" s="41" t="s">
        <v>13</v>
      </c>
      <c r="H45" s="5"/>
      <c r="I45" s="5"/>
      <c r="J45" s="5"/>
      <c r="L45" s="5"/>
      <c r="M45" s="5"/>
    </row>
    <row r="46" spans="3:13" ht="26.25" customHeight="1">
      <c r="C46" s="5"/>
      <c r="D46" s="54" t="s">
        <v>15</v>
      </c>
      <c r="E46" s="54" t="s">
        <v>15</v>
      </c>
      <c r="F46" s="5"/>
      <c r="G46" s="41" t="s">
        <v>13</v>
      </c>
      <c r="H46" s="5"/>
      <c r="I46" s="5"/>
      <c r="J46" s="5"/>
      <c r="L46" s="5"/>
      <c r="M46" s="5"/>
    </row>
    <row r="47" spans="3:13" ht="26.25" customHeight="1">
      <c r="C47" s="54"/>
      <c r="D47" s="54" t="s">
        <v>15</v>
      </c>
      <c r="E47" s="54" t="s">
        <v>15</v>
      </c>
      <c r="F47" s="54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15</v>
      </c>
      <c r="E48" s="54" t="s">
        <v>15</v>
      </c>
      <c r="F48" s="54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15</v>
      </c>
      <c r="E49" s="54" t="s">
        <v>15</v>
      </c>
      <c r="F49" s="54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15</v>
      </c>
      <c r="E50" s="54" t="s">
        <v>15</v>
      </c>
      <c r="F50" s="54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15</v>
      </c>
      <c r="E51" s="54" t="s">
        <v>15</v>
      </c>
      <c r="F51" s="54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15</v>
      </c>
      <c r="E52" s="54" t="s">
        <v>15</v>
      </c>
      <c r="F52" s="54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15</v>
      </c>
      <c r="E53" s="54" t="s">
        <v>15</v>
      </c>
      <c r="F53" s="54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15</v>
      </c>
      <c r="E54" s="54" t="s">
        <v>15</v>
      </c>
      <c r="F54" s="54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15</v>
      </c>
      <c r="E55" s="54" t="s">
        <v>15</v>
      </c>
      <c r="F55" s="54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15</v>
      </c>
      <c r="E56" s="54" t="s">
        <v>15</v>
      </c>
      <c r="F56" s="54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15</v>
      </c>
      <c r="E57" s="54" t="s">
        <v>15</v>
      </c>
      <c r="F57" s="54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15</v>
      </c>
      <c r="E58" s="54" t="s">
        <v>15</v>
      </c>
      <c r="F58" s="54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15</v>
      </c>
      <c r="E59" s="54" t="s">
        <v>15</v>
      </c>
      <c r="F59" s="54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15</v>
      </c>
      <c r="E60" s="54" t="s">
        <v>15</v>
      </c>
      <c r="F60" s="54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15</v>
      </c>
      <c r="E61" s="54" t="s">
        <v>15</v>
      </c>
      <c r="F61" s="54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15</v>
      </c>
      <c r="E62" s="54" t="s">
        <v>15</v>
      </c>
      <c r="F62" s="54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15</v>
      </c>
      <c r="E63" s="54" t="s">
        <v>15</v>
      </c>
      <c r="F63" s="54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15</v>
      </c>
      <c r="E64" s="54" t="s">
        <v>15</v>
      </c>
      <c r="F64" s="54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15</v>
      </c>
      <c r="E65" s="54" t="s">
        <v>15</v>
      </c>
      <c r="F65" s="54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15</v>
      </c>
      <c r="E66" s="54" t="s">
        <v>15</v>
      </c>
      <c r="F66" s="54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15</v>
      </c>
      <c r="E67" s="54" t="s">
        <v>15</v>
      </c>
      <c r="F67" s="54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15</v>
      </c>
      <c r="E68" s="54" t="s">
        <v>15</v>
      </c>
      <c r="F68" s="54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15</v>
      </c>
      <c r="E69" s="54" t="s">
        <v>15</v>
      </c>
      <c r="F69" s="54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15</v>
      </c>
      <c r="E70" s="54" t="s">
        <v>15</v>
      </c>
      <c r="F70" s="54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15</v>
      </c>
      <c r="E71" s="54" t="s">
        <v>15</v>
      </c>
      <c r="F71" s="54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15</v>
      </c>
      <c r="E72" s="54" t="s">
        <v>15</v>
      </c>
      <c r="F72" s="54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15</v>
      </c>
      <c r="E73" s="54" t="s">
        <v>15</v>
      </c>
      <c r="F73" s="54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15</v>
      </c>
      <c r="E74" s="54" t="s">
        <v>15</v>
      </c>
      <c r="F74" s="54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15</v>
      </c>
      <c r="E75" s="54" t="s">
        <v>15</v>
      </c>
      <c r="F75" s="54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15</v>
      </c>
      <c r="E76" s="54" t="s">
        <v>15</v>
      </c>
      <c r="F76" s="54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15</v>
      </c>
      <c r="E77" s="54" t="s">
        <v>15</v>
      </c>
      <c r="F77" s="54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15</v>
      </c>
      <c r="E78" s="54" t="s">
        <v>15</v>
      </c>
      <c r="F78" s="54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15</v>
      </c>
      <c r="E79" s="54" t="s">
        <v>15</v>
      </c>
      <c r="F79" s="54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15</v>
      </c>
      <c r="E80" s="54" t="s">
        <v>15</v>
      </c>
      <c r="F80" s="54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15</v>
      </c>
      <c r="E81" s="54" t="s">
        <v>15</v>
      </c>
      <c r="F81" s="54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15</v>
      </c>
      <c r="E82" s="54" t="s">
        <v>15</v>
      </c>
      <c r="F82" s="54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15</v>
      </c>
      <c r="E83" s="54" t="s">
        <v>15</v>
      </c>
      <c r="F83" s="54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15</v>
      </c>
      <c r="E84" s="54" t="s">
        <v>15</v>
      </c>
      <c r="F84" s="54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15</v>
      </c>
      <c r="E85" s="54" t="s">
        <v>15</v>
      </c>
      <c r="F85" s="54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15</v>
      </c>
      <c r="E86" s="54" t="s">
        <v>15</v>
      </c>
      <c r="F86" s="54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15</v>
      </c>
      <c r="E87" s="54" t="s">
        <v>15</v>
      </c>
      <c r="F87" s="54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15</v>
      </c>
      <c r="E88" s="54" t="s">
        <v>15</v>
      </c>
      <c r="F88" s="54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15</v>
      </c>
      <c r="E89" s="54" t="s">
        <v>15</v>
      </c>
      <c r="F89" s="54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15</v>
      </c>
      <c r="E90" s="54" t="s">
        <v>15</v>
      </c>
      <c r="F90" s="54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15</v>
      </c>
      <c r="E91" s="54" t="s">
        <v>15</v>
      </c>
      <c r="F91" s="54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15</v>
      </c>
      <c r="E92" s="54" t="s">
        <v>15</v>
      </c>
      <c r="F92" s="54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15</v>
      </c>
      <c r="E93" s="54" t="s">
        <v>15</v>
      </c>
      <c r="F93" s="54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15</v>
      </c>
      <c r="E94" s="54" t="s">
        <v>15</v>
      </c>
      <c r="F94" s="54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15</v>
      </c>
      <c r="E95" s="54" t="s">
        <v>15</v>
      </c>
      <c r="F95" s="54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15</v>
      </c>
      <c r="E96" s="54" t="s">
        <v>15</v>
      </c>
      <c r="F96" s="54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15</v>
      </c>
      <c r="E97" s="54" t="s">
        <v>15</v>
      </c>
      <c r="F97" s="54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15</v>
      </c>
      <c r="E98" s="54" t="s">
        <v>15</v>
      </c>
      <c r="F98" s="54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15</v>
      </c>
      <c r="E99" s="54" t="s">
        <v>15</v>
      </c>
      <c r="F99" s="54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15</v>
      </c>
      <c r="E100" s="54" t="s">
        <v>15</v>
      </c>
      <c r="F100" s="54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0" priority="12" operator="containsText" text="white">
      <formula>NOT(ISERROR(SEARCH("white",F1)))</formula>
    </cfRule>
    <cfRule type="containsText" dxfId="9" priority="13" operator="containsText" text="YELLOW">
      <formula>NOT(ISERROR(SEARCH("YELLOW",F1)))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7:D1048576 D1:D5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CEAA45B1-42C9-4539-9E14-BF44A146AB22}">
      <formula1>"Shrink,No Data"</formula1>
    </dataValidation>
    <dataValidation type="list" allowBlank="1" showInputMessage="1" showErrorMessage="1" sqref="F2:F5 F7:F1048576" xr:uid="{72AFA704-1D7A-4BB8-ABA8-88EB0AC534D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tabSelected="1" zoomScale="70" zoomScaleNormal="70" workbookViewId="0">
      <selection activeCell="H7" sqref="H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16</v>
      </c>
      <c r="E7" s="54" t="s">
        <v>16</v>
      </c>
      <c r="F7" s="59"/>
      <c r="G7" s="41" t="s">
        <v>13</v>
      </c>
      <c r="H7" s="54" t="s">
        <v>37</v>
      </c>
      <c r="I7" s="55"/>
      <c r="J7" s="55"/>
      <c r="K7" s="1"/>
      <c r="L7" s="38"/>
      <c r="M7" s="38"/>
    </row>
    <row r="8" spans="3:19" ht="28.8" customHeight="1">
      <c r="C8" s="40"/>
      <c r="D8" s="54" t="s">
        <v>16</v>
      </c>
      <c r="E8" s="54" t="s">
        <v>16</v>
      </c>
      <c r="F8" s="41"/>
      <c r="G8" s="41" t="s">
        <v>13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16</v>
      </c>
      <c r="E9" s="54" t="s">
        <v>16</v>
      </c>
      <c r="F9" s="41"/>
      <c r="G9" s="41" t="s">
        <v>13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16</v>
      </c>
      <c r="E10" s="54" t="s">
        <v>16</v>
      </c>
      <c r="F10" s="41"/>
      <c r="G10" s="41" t="s">
        <v>13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16</v>
      </c>
      <c r="E11" s="54" t="s">
        <v>16</v>
      </c>
      <c r="F11" s="41"/>
      <c r="G11" s="41" t="s">
        <v>13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16</v>
      </c>
      <c r="E12" s="54" t="s">
        <v>16</v>
      </c>
      <c r="F12" s="41"/>
      <c r="G12" s="41" t="s">
        <v>13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16</v>
      </c>
      <c r="E13" s="54" t="s">
        <v>16</v>
      </c>
      <c r="F13" s="41"/>
      <c r="G13" s="41" t="s">
        <v>13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16</v>
      </c>
      <c r="E14" s="54" t="s">
        <v>16</v>
      </c>
      <c r="F14" s="41"/>
      <c r="G14" s="41" t="s">
        <v>13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16</v>
      </c>
      <c r="E15" s="54" t="s">
        <v>16</v>
      </c>
      <c r="F15" s="41"/>
      <c r="G15" s="41" t="s">
        <v>13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16</v>
      </c>
      <c r="E16" s="54" t="s">
        <v>16</v>
      </c>
      <c r="F16" s="41"/>
      <c r="G16" s="41" t="s">
        <v>13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16</v>
      </c>
      <c r="E17" s="54" t="s">
        <v>16</v>
      </c>
      <c r="F17" s="41"/>
      <c r="G17" s="41" t="s">
        <v>13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16</v>
      </c>
      <c r="E18" s="54" t="s">
        <v>16</v>
      </c>
      <c r="F18" s="41"/>
      <c r="G18" s="41" t="s">
        <v>13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16</v>
      </c>
      <c r="E19" s="54" t="s">
        <v>16</v>
      </c>
      <c r="F19" s="41"/>
      <c r="G19" s="41" t="s">
        <v>13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16</v>
      </c>
      <c r="E20" s="54" t="s">
        <v>16</v>
      </c>
      <c r="F20" s="41"/>
      <c r="G20" s="41" t="s">
        <v>13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16</v>
      </c>
      <c r="E21" s="54" t="s">
        <v>16</v>
      </c>
      <c r="F21" s="41"/>
      <c r="G21" s="41" t="s">
        <v>13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16</v>
      </c>
      <c r="E22" s="54" t="s">
        <v>16</v>
      </c>
      <c r="F22" s="41"/>
      <c r="G22" s="41" t="s">
        <v>13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16</v>
      </c>
      <c r="E23" s="54" t="s">
        <v>16</v>
      </c>
      <c r="F23" s="41"/>
      <c r="G23" s="41" t="s">
        <v>13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16</v>
      </c>
      <c r="E24" s="54" t="s">
        <v>16</v>
      </c>
      <c r="F24" s="41"/>
      <c r="G24" s="41" t="s">
        <v>13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16</v>
      </c>
      <c r="E25" s="54" t="s">
        <v>16</v>
      </c>
      <c r="F25" s="41"/>
      <c r="G25" s="41" t="s">
        <v>13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16</v>
      </c>
      <c r="E26" s="54" t="s">
        <v>16</v>
      </c>
      <c r="F26" s="41"/>
      <c r="G26" s="41" t="s">
        <v>13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16</v>
      </c>
      <c r="E27" s="54" t="s">
        <v>16</v>
      </c>
      <c r="F27" s="41"/>
      <c r="G27" s="41" t="s">
        <v>13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16</v>
      </c>
      <c r="E28" s="54" t="s">
        <v>16</v>
      </c>
      <c r="F28" s="41"/>
      <c r="G28" s="41" t="s">
        <v>13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16</v>
      </c>
      <c r="E29" s="54" t="s">
        <v>16</v>
      </c>
      <c r="F29" s="41"/>
      <c r="G29" s="41" t="s">
        <v>13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16</v>
      </c>
      <c r="E30" s="54" t="s">
        <v>16</v>
      </c>
      <c r="F30" s="41"/>
      <c r="G30" s="41" t="s">
        <v>13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16</v>
      </c>
      <c r="E31" s="54" t="s">
        <v>16</v>
      </c>
      <c r="F31" s="41"/>
      <c r="G31" s="41" t="s">
        <v>13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16</v>
      </c>
      <c r="E32" s="54" t="s">
        <v>16</v>
      </c>
      <c r="F32" s="41"/>
      <c r="G32" s="41" t="s">
        <v>13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16</v>
      </c>
      <c r="E33" s="54" t="s">
        <v>16</v>
      </c>
      <c r="F33" s="41"/>
      <c r="G33" s="41" t="s">
        <v>13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16</v>
      </c>
      <c r="E34" s="54" t="s">
        <v>16</v>
      </c>
      <c r="F34" s="41"/>
      <c r="G34" s="41" t="s">
        <v>13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16</v>
      </c>
      <c r="E35" s="54" t="s">
        <v>16</v>
      </c>
      <c r="F35" s="41"/>
      <c r="G35" s="41" t="s">
        <v>13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16</v>
      </c>
      <c r="E36" s="54" t="s">
        <v>16</v>
      </c>
      <c r="F36" s="41"/>
      <c r="G36" s="41" t="s">
        <v>13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16</v>
      </c>
      <c r="E37" s="54" t="s">
        <v>16</v>
      </c>
      <c r="F37" s="41"/>
      <c r="G37" s="41" t="s">
        <v>13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16</v>
      </c>
      <c r="E38" s="54" t="s">
        <v>16</v>
      </c>
      <c r="F38" s="41"/>
      <c r="G38" s="41" t="s">
        <v>13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16</v>
      </c>
      <c r="E39" s="54" t="s">
        <v>16</v>
      </c>
      <c r="F39" s="41"/>
      <c r="G39" s="41" t="s">
        <v>13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16</v>
      </c>
      <c r="E40" s="54" t="s">
        <v>16</v>
      </c>
      <c r="F40" s="41"/>
      <c r="G40" s="41" t="s">
        <v>13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16</v>
      </c>
      <c r="E41" s="54" t="s">
        <v>16</v>
      </c>
      <c r="F41" s="41"/>
      <c r="G41" s="41" t="s">
        <v>13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16</v>
      </c>
      <c r="E42" s="54" t="s">
        <v>16</v>
      </c>
      <c r="F42" s="41"/>
      <c r="G42" s="41" t="s">
        <v>13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16</v>
      </c>
      <c r="E43" s="54" t="s">
        <v>16</v>
      </c>
      <c r="F43" s="41"/>
      <c r="G43" s="41" t="s">
        <v>13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16</v>
      </c>
      <c r="E44" s="54" t="s">
        <v>16</v>
      </c>
      <c r="F44" s="41"/>
      <c r="G44" s="41" t="s">
        <v>13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16</v>
      </c>
      <c r="E45" s="54" t="s">
        <v>16</v>
      </c>
      <c r="F45" s="41"/>
      <c r="G45" s="41" t="s">
        <v>13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16</v>
      </c>
      <c r="E46" s="54" t="s">
        <v>16</v>
      </c>
      <c r="F46" s="41"/>
      <c r="G46" s="41" t="s">
        <v>13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16</v>
      </c>
      <c r="E47" s="54" t="s">
        <v>16</v>
      </c>
      <c r="F47" s="41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16</v>
      </c>
      <c r="E48" s="54" t="s">
        <v>16</v>
      </c>
      <c r="F48" s="41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16</v>
      </c>
      <c r="E49" s="54" t="s">
        <v>16</v>
      </c>
      <c r="F49" s="41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16</v>
      </c>
      <c r="E50" s="54" t="s">
        <v>16</v>
      </c>
      <c r="F50" s="41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16</v>
      </c>
      <c r="E51" s="54" t="s">
        <v>16</v>
      </c>
      <c r="F51" s="41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16</v>
      </c>
      <c r="E52" s="54" t="s">
        <v>16</v>
      </c>
      <c r="F52" s="41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16</v>
      </c>
      <c r="E53" s="54" t="s">
        <v>16</v>
      </c>
      <c r="F53" s="41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16</v>
      </c>
      <c r="E54" s="54" t="s">
        <v>16</v>
      </c>
      <c r="F54" s="41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16</v>
      </c>
      <c r="E55" s="54" t="s">
        <v>16</v>
      </c>
      <c r="F55" s="41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16</v>
      </c>
      <c r="E56" s="54" t="s">
        <v>16</v>
      </c>
      <c r="F56" s="41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16</v>
      </c>
      <c r="E57" s="54" t="s">
        <v>16</v>
      </c>
      <c r="F57" s="41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16</v>
      </c>
      <c r="E58" s="54" t="s">
        <v>16</v>
      </c>
      <c r="F58" s="41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16</v>
      </c>
      <c r="E59" s="54" t="s">
        <v>16</v>
      </c>
      <c r="F59" s="41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16</v>
      </c>
      <c r="E60" s="54" t="s">
        <v>16</v>
      </c>
      <c r="F60" s="41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16</v>
      </c>
      <c r="E61" s="54" t="s">
        <v>16</v>
      </c>
      <c r="F61" s="41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16</v>
      </c>
      <c r="E62" s="54" t="s">
        <v>16</v>
      </c>
      <c r="F62" s="41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16</v>
      </c>
      <c r="E63" s="54" t="s">
        <v>16</v>
      </c>
      <c r="F63" s="41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16</v>
      </c>
      <c r="E64" s="54" t="s">
        <v>16</v>
      </c>
      <c r="F64" s="41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16</v>
      </c>
      <c r="E65" s="54" t="s">
        <v>16</v>
      </c>
      <c r="F65" s="41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16</v>
      </c>
      <c r="E66" s="54" t="s">
        <v>16</v>
      </c>
      <c r="F66" s="41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16</v>
      </c>
      <c r="E67" s="54" t="s">
        <v>16</v>
      </c>
      <c r="F67" s="41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16</v>
      </c>
      <c r="E68" s="54" t="s">
        <v>16</v>
      </c>
      <c r="F68" s="41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16</v>
      </c>
      <c r="E69" s="54" t="s">
        <v>16</v>
      </c>
      <c r="F69" s="41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16</v>
      </c>
      <c r="E70" s="54" t="s">
        <v>16</v>
      </c>
      <c r="F70" s="41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16</v>
      </c>
      <c r="E71" s="54" t="s">
        <v>16</v>
      </c>
      <c r="F71" s="41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16</v>
      </c>
      <c r="E72" s="54" t="s">
        <v>16</v>
      </c>
      <c r="F72" s="41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16</v>
      </c>
      <c r="E73" s="54" t="s">
        <v>16</v>
      </c>
      <c r="F73" s="41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16</v>
      </c>
      <c r="E74" s="54" t="s">
        <v>16</v>
      </c>
      <c r="F74" s="41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16</v>
      </c>
      <c r="E75" s="54" t="s">
        <v>16</v>
      </c>
      <c r="F75" s="41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16</v>
      </c>
      <c r="E76" s="54" t="s">
        <v>16</v>
      </c>
      <c r="F76" s="41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16</v>
      </c>
      <c r="E77" s="54" t="s">
        <v>16</v>
      </c>
      <c r="F77" s="41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16</v>
      </c>
      <c r="E78" s="54" t="s">
        <v>16</v>
      </c>
      <c r="F78" s="41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16</v>
      </c>
      <c r="E79" s="54" t="s">
        <v>16</v>
      </c>
      <c r="F79" s="41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16</v>
      </c>
      <c r="E80" s="54" t="s">
        <v>16</v>
      </c>
      <c r="F80" s="41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16</v>
      </c>
      <c r="E81" s="54" t="s">
        <v>16</v>
      </c>
      <c r="F81" s="41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16</v>
      </c>
      <c r="E82" s="54" t="s">
        <v>16</v>
      </c>
      <c r="F82" s="41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16</v>
      </c>
      <c r="E83" s="54" t="s">
        <v>16</v>
      </c>
      <c r="F83" s="41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16</v>
      </c>
      <c r="E84" s="54" t="s">
        <v>16</v>
      </c>
      <c r="F84" s="41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16</v>
      </c>
      <c r="E85" s="54" t="s">
        <v>16</v>
      </c>
      <c r="F85" s="41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16</v>
      </c>
      <c r="E86" s="54" t="s">
        <v>16</v>
      </c>
      <c r="F86" s="41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16</v>
      </c>
      <c r="E87" s="54" t="s">
        <v>16</v>
      </c>
      <c r="F87" s="41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16</v>
      </c>
      <c r="E88" s="54" t="s">
        <v>16</v>
      </c>
      <c r="F88" s="41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16</v>
      </c>
      <c r="E89" s="54" t="s">
        <v>16</v>
      </c>
      <c r="F89" s="41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16</v>
      </c>
      <c r="E90" s="54" t="s">
        <v>16</v>
      </c>
      <c r="F90" s="41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16</v>
      </c>
      <c r="E91" s="54" t="s">
        <v>16</v>
      </c>
      <c r="F91" s="41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16</v>
      </c>
      <c r="E92" s="54" t="s">
        <v>16</v>
      </c>
      <c r="F92" s="41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16</v>
      </c>
      <c r="E93" s="54" t="s">
        <v>16</v>
      </c>
      <c r="F93" s="41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16</v>
      </c>
      <c r="E94" s="54" t="s">
        <v>16</v>
      </c>
      <c r="F94" s="41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16</v>
      </c>
      <c r="E95" s="54" t="s">
        <v>16</v>
      </c>
      <c r="F95" s="41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16</v>
      </c>
      <c r="E96" s="54" t="s">
        <v>16</v>
      </c>
      <c r="F96" s="41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16</v>
      </c>
      <c r="E97" s="54" t="s">
        <v>16</v>
      </c>
      <c r="F97" s="41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16</v>
      </c>
      <c r="E98" s="54" t="s">
        <v>16</v>
      </c>
      <c r="F98" s="41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16</v>
      </c>
      <c r="E99" s="54" t="s">
        <v>16</v>
      </c>
      <c r="F99" s="41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16</v>
      </c>
      <c r="E100" s="54" t="s">
        <v>16</v>
      </c>
      <c r="F100" s="41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26" priority="10" operator="containsText" text="White">
      <formula>NOT(ISERROR(SEARCH("White",F1)))</formula>
    </cfRule>
  </conditionalFormatting>
  <conditionalFormatting sqref="J1:J7 J10:J11 J13 J15:J45 J47:J1048576">
    <cfRule type="containsText" dxfId="25" priority="7" operator="containsText" text="120">
      <formula>NOT(ISERROR(SEARCH("120",J1)))</formula>
    </cfRule>
    <cfRule type="containsText" dxfId="24" priority="8" operator="containsText" text="10">
      <formula>NOT(ISERROR(SEARCH("10",J1)))</formula>
    </cfRule>
  </conditionalFormatting>
  <conditionalFormatting sqref="F8:F9">
    <cfRule type="containsText" dxfId="23" priority="5" operator="containsText" text="white">
      <formula>NOT(ISERROR(SEARCH("white",F8)))</formula>
    </cfRule>
    <cfRule type="containsText" dxfId="22" priority="6" operator="containsText" text="YELLOW">
      <formula>NOT(ISERROR(SEARCH("YELLOW",F8)))</formula>
    </cfRule>
  </conditionalFormatting>
  <conditionalFormatting sqref="J8:J9">
    <cfRule type="containsText" dxfId="21" priority="2" operator="containsText" text="120">
      <formula>NOT(ISERROR(SEARCH("120",J8)))</formula>
    </cfRule>
    <cfRule type="containsText" dxfId="20" priority="3" operator="containsText" text="10">
      <formula>NOT(ISERROR(SEARCH("10",J8)))</formula>
    </cfRule>
  </conditionalFormatting>
  <conditionalFormatting sqref="F1:F1048576"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7:D1048576 D2:D5" xr:uid="{00000000-0002-0000-0300-000001000000}">
      <formula1>"String"</formula1>
    </dataValidation>
    <dataValidation type="list" allowBlank="1" showInputMessage="1" showErrorMessage="1" sqref="E7:E1048576 E2:E5" xr:uid="{FA9F545E-1D6E-40EB-8404-F24A0C987B36}">
      <formula1>"String,No Data"</formula1>
    </dataValidation>
    <dataValidation type="list" allowBlank="1" showInputMessage="1" showErrorMessage="1" sqref="F7:F1048576 F2:F5" xr:uid="{D801B63E-53F0-4FBF-A31A-3FDBFDE671F4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18" width="9.109375" style="25" customWidth="1"/>
    <col min="19" max="16384" width="9.109375" style="25"/>
  </cols>
  <sheetData>
    <row r="1" spans="4:19" ht="15" customHeight="1">
      <c r="G1" s="103" t="s">
        <v>15</v>
      </c>
      <c r="H1" s="84"/>
      <c r="I1" s="84"/>
      <c r="J1" s="85"/>
      <c r="K1" s="89" t="s">
        <v>0</v>
      </c>
      <c r="L1" s="84"/>
      <c r="M1" s="84"/>
      <c r="N1" s="66"/>
      <c r="O1" s="97" t="s">
        <v>14</v>
      </c>
      <c r="P1" s="84"/>
      <c r="Q1" s="84"/>
      <c r="R1" s="102"/>
      <c r="S1" s="63"/>
    </row>
    <row r="2" spans="4:19" ht="15" customHeight="1">
      <c r="D2" s="27"/>
      <c r="E2" s="27"/>
      <c r="F2" s="27"/>
      <c r="G2" s="83"/>
      <c r="H2" s="84"/>
      <c r="I2" s="84"/>
      <c r="J2" s="85"/>
      <c r="K2" s="90"/>
      <c r="L2" s="68"/>
      <c r="M2" s="68"/>
      <c r="N2" s="69"/>
      <c r="O2" s="83"/>
      <c r="P2" s="84"/>
      <c r="Q2" s="84"/>
      <c r="R2" s="67"/>
      <c r="S2" s="69"/>
    </row>
    <row r="3" spans="4:19" ht="15" customHeight="1">
      <c r="D3" s="27"/>
      <c r="E3" s="27"/>
      <c r="F3" s="27"/>
      <c r="G3" s="95"/>
      <c r="H3" s="62"/>
      <c r="I3" s="62"/>
      <c r="J3" s="63"/>
      <c r="K3" s="95"/>
      <c r="L3" s="62"/>
      <c r="M3" s="62"/>
      <c r="N3" s="63"/>
      <c r="O3" s="95"/>
      <c r="P3" s="62"/>
      <c r="Q3" s="63"/>
      <c r="R3" s="95"/>
      <c r="S3" s="63"/>
    </row>
    <row r="4" spans="4:19" ht="15.75" customHeight="1">
      <c r="D4" s="27"/>
      <c r="E4" s="27"/>
      <c r="F4" s="27"/>
      <c r="G4" s="67"/>
      <c r="H4" s="68"/>
      <c r="I4" s="68"/>
      <c r="J4" s="69"/>
      <c r="K4" s="67"/>
      <c r="L4" s="68"/>
      <c r="M4" s="68"/>
      <c r="N4" s="69"/>
      <c r="O4" s="67"/>
      <c r="P4" s="68"/>
      <c r="Q4" s="69"/>
      <c r="R4" s="67"/>
      <c r="S4" s="69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77" t="s">
        <v>17</v>
      </c>
      <c r="H6" s="78"/>
      <c r="I6" s="78"/>
      <c r="J6" s="79"/>
      <c r="K6" s="77" t="s">
        <v>12</v>
      </c>
      <c r="L6" s="78"/>
      <c r="M6" s="78"/>
      <c r="N6" s="79"/>
      <c r="O6" s="30" t="s">
        <v>18</v>
      </c>
      <c r="P6" s="30" t="s">
        <v>19</v>
      </c>
      <c r="Q6" s="58" t="s">
        <v>20</v>
      </c>
      <c r="R6" s="107" t="s">
        <v>16</v>
      </c>
      <c r="S6" s="108"/>
    </row>
    <row r="7" spans="4:19" ht="15" customHeight="1">
      <c r="D7" s="27"/>
      <c r="E7" s="27"/>
      <c r="F7" s="27"/>
      <c r="G7" s="104" t="e">
        <f>LOOKUP(2,1/(Shrink!F:F="Machine S"),Shrink!J:J)</f>
        <v>#N/A</v>
      </c>
      <c r="H7" s="84"/>
      <c r="I7" s="84"/>
      <c r="J7" s="85"/>
      <c r="K7" s="100" t="e" cm="1">
        <f t="array" ref="K7">LOOKUP(2,1/(Pallet!E:E="Cartoon"),Pallet!J:J)</f>
        <v>#N/A</v>
      </c>
      <c r="L7" s="81"/>
      <c r="M7" s="81"/>
      <c r="N7" s="82"/>
      <c r="O7" s="92" t="e">
        <f>LOOKUP(2,1/(Card!F:F=1028),Card!J:J)</f>
        <v>#N/A</v>
      </c>
      <c r="P7" s="92" t="e">
        <f>LOOKUP(2,1/(Card!F:F=1031),Card!J:J)</f>
        <v>#N/A</v>
      </c>
      <c r="Q7" s="101" t="e">
        <f>LOOKUP(2,1/(Card!F:F=3024),Card!J:J)</f>
        <v>#N/A</v>
      </c>
      <c r="R7" s="105" t="e">
        <f t="array" ref="R7">LOOKUP(2,1/(String!F:F="White"),String!J:J)</f>
        <v>#N/A</v>
      </c>
      <c r="S7" s="106"/>
    </row>
    <row r="8" spans="4:19" ht="15" customHeight="1">
      <c r="D8" s="27"/>
      <c r="E8" s="27"/>
      <c r="F8" s="27"/>
      <c r="G8" s="83"/>
      <c r="H8" s="84"/>
      <c r="I8" s="84"/>
      <c r="J8" s="85"/>
      <c r="K8" s="83"/>
      <c r="L8" s="84"/>
      <c r="M8" s="84"/>
      <c r="N8" s="85"/>
      <c r="O8" s="93"/>
      <c r="P8" s="93"/>
      <c r="Q8" s="83"/>
      <c r="R8" s="83"/>
      <c r="S8" s="66"/>
    </row>
    <row r="9" spans="4:19" ht="15.75" customHeight="1" thickBot="1">
      <c r="D9" s="27"/>
      <c r="E9" s="27"/>
      <c r="F9" s="27"/>
      <c r="G9" s="86"/>
      <c r="H9" s="87"/>
      <c r="I9" s="87"/>
      <c r="J9" s="88"/>
      <c r="K9" s="86"/>
      <c r="L9" s="87"/>
      <c r="M9" s="87"/>
      <c r="N9" s="88"/>
      <c r="O9" s="94"/>
      <c r="P9" s="94"/>
      <c r="Q9" s="86"/>
      <c r="R9" s="90"/>
      <c r="S9" s="69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77" t="s">
        <v>21</v>
      </c>
      <c r="H13" s="78"/>
      <c r="I13" s="78"/>
      <c r="J13" s="79"/>
      <c r="K13" s="77" t="s">
        <v>22</v>
      </c>
      <c r="L13" s="78"/>
      <c r="M13" s="78"/>
      <c r="N13" s="79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80" t="e">
        <f>LOOKUP(2,1/(Shrink!F:F="Machine B"),Shrink!J:J)</f>
        <v>#N/A</v>
      </c>
      <c r="H14" s="81"/>
      <c r="I14" s="81"/>
      <c r="J14" s="82"/>
      <c r="K14" s="91" t="e">
        <f>LOOKUP(2,1/(Pallet!E:E="Wood"),Pallet!J:J)</f>
        <v>#N/A</v>
      </c>
      <c r="L14" s="81"/>
      <c r="M14" s="81"/>
      <c r="N14" s="82"/>
      <c r="O14" s="92" t="e">
        <f>LOOKUP(2,1/(Card!F:F=3023),Card!J:J)</f>
        <v>#N/A</v>
      </c>
      <c r="P14" s="92" t="e">
        <f>LOOKUP(2,1/(Card!F:F=3014),Card!J:J)</f>
        <v>#N/A</v>
      </c>
      <c r="Q14" s="92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3"/>
      <c r="H15" s="84"/>
      <c r="I15" s="84"/>
      <c r="J15" s="85"/>
      <c r="K15" s="83"/>
      <c r="L15" s="84"/>
      <c r="M15" s="84"/>
      <c r="N15" s="85"/>
      <c r="O15" s="93"/>
      <c r="P15" s="93"/>
      <c r="Q15" s="93"/>
      <c r="R15" s="29"/>
      <c r="S15" s="29"/>
    </row>
    <row r="16" spans="4:19" ht="15.75" customHeight="1" thickBot="1">
      <c r="D16" s="27"/>
      <c r="E16" s="27"/>
      <c r="F16" s="27"/>
      <c r="G16" s="86"/>
      <c r="H16" s="87"/>
      <c r="I16" s="87"/>
      <c r="J16" s="88"/>
      <c r="K16" s="86"/>
      <c r="L16" s="87"/>
      <c r="M16" s="87"/>
      <c r="N16" s="88"/>
      <c r="O16" s="94"/>
      <c r="P16" s="94"/>
      <c r="Q16" s="94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77" t="s">
        <v>26</v>
      </c>
      <c r="H20" s="78"/>
      <c r="I20" s="78"/>
      <c r="J20" s="79"/>
      <c r="K20" s="96"/>
      <c r="L20" s="84"/>
      <c r="M20" s="84"/>
      <c r="N20" s="84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98" t="e">
        <f>LOOKUP(2,1/(Shrink!F:F="Manual"),Shrink!J:J)</f>
        <v>#N/A</v>
      </c>
      <c r="H21" s="81"/>
      <c r="I21" s="81"/>
      <c r="J21" s="82"/>
      <c r="K21" s="99"/>
      <c r="L21" s="84"/>
      <c r="M21" s="84"/>
      <c r="N21" s="84"/>
      <c r="O21" s="92" t="e">
        <f>LOOKUP(2,1/(Card!F:F=2013),Card!J:J)</f>
        <v>#N/A</v>
      </c>
      <c r="P21" s="92" t="e">
        <f>LOOKUP(2,1/(Card!F:F=1029),Card!J:J)</f>
        <v>#N/A</v>
      </c>
      <c r="Q21" s="92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3"/>
      <c r="H22" s="84"/>
      <c r="I22" s="84"/>
      <c r="J22" s="85"/>
      <c r="K22" s="84"/>
      <c r="L22" s="84"/>
      <c r="M22" s="84"/>
      <c r="N22" s="84"/>
      <c r="O22" s="93"/>
      <c r="P22" s="93"/>
      <c r="Q22" s="93"/>
      <c r="R22" s="29"/>
      <c r="S22" s="29"/>
    </row>
    <row r="23" spans="4:19" ht="15.75" customHeight="1" thickBot="1">
      <c r="D23" s="27"/>
      <c r="E23" s="27"/>
      <c r="F23" s="27"/>
      <c r="G23" s="86"/>
      <c r="H23" s="87"/>
      <c r="I23" s="87"/>
      <c r="J23" s="88"/>
      <c r="K23" s="84"/>
      <c r="L23" s="84"/>
      <c r="M23" s="84"/>
      <c r="N23" s="84"/>
      <c r="O23" s="94"/>
      <c r="P23" s="94"/>
      <c r="Q23" s="94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92" t="e">
        <f>LOOKUP(2,1/(Card!F:F=1016),Card!J:J)</f>
        <v>#N/A</v>
      </c>
      <c r="P26" s="92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96"/>
      <c r="H27" s="84"/>
      <c r="I27" s="84"/>
      <c r="J27" s="84"/>
      <c r="K27" s="27"/>
      <c r="L27" s="27"/>
      <c r="M27" s="27"/>
      <c r="N27" s="27"/>
      <c r="O27" s="93"/>
      <c r="P27" s="93"/>
      <c r="Q27" s="29"/>
      <c r="R27" s="29"/>
      <c r="S27" s="29"/>
    </row>
    <row r="28" spans="4:19" ht="15" customHeight="1" thickBot="1">
      <c r="D28" s="27"/>
      <c r="E28" s="27"/>
      <c r="F28" s="27"/>
      <c r="G28" s="99"/>
      <c r="H28" s="84"/>
      <c r="I28" s="84"/>
      <c r="J28" s="84"/>
      <c r="K28" s="27"/>
      <c r="L28" s="27"/>
      <c r="M28" s="27"/>
      <c r="N28" s="27"/>
      <c r="O28" s="94"/>
      <c r="P28" s="94"/>
      <c r="Q28" s="29"/>
      <c r="R28" s="29"/>
      <c r="S28" s="29"/>
    </row>
    <row r="29" spans="4:19" ht="15" customHeight="1">
      <c r="D29" s="27"/>
      <c r="E29" s="27"/>
      <c r="F29" s="27"/>
      <c r="G29" s="84"/>
      <c r="H29" s="84"/>
      <c r="I29" s="84"/>
      <c r="J29" s="84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84"/>
      <c r="H30" s="84"/>
      <c r="I30" s="84"/>
      <c r="J30" s="84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R1:S2"/>
    <mergeCell ref="G1:J2"/>
    <mergeCell ref="Q14:Q16"/>
    <mergeCell ref="G6:J6"/>
    <mergeCell ref="G13:J13"/>
    <mergeCell ref="G7:J9"/>
    <mergeCell ref="K3:N4"/>
    <mergeCell ref="R3:S4"/>
    <mergeCell ref="R7:S9"/>
    <mergeCell ref="R6:S6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G3:J4"/>
    <mergeCell ref="K7:N9"/>
    <mergeCell ref="O7:O9"/>
    <mergeCell ref="Q7:Q9"/>
    <mergeCell ref="P7:P9"/>
    <mergeCell ref="O21:O23"/>
    <mergeCell ref="G20:J20"/>
    <mergeCell ref="G14:J16"/>
    <mergeCell ref="K1:N2"/>
    <mergeCell ref="K14:N16"/>
    <mergeCell ref="O14:O16"/>
    <mergeCell ref="O3:Q4"/>
    <mergeCell ref="K6:N6"/>
    <mergeCell ref="K13:N13"/>
    <mergeCell ref="P14:P1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zoomScale="80" zoomScaleNormal="80" workbookViewId="0">
      <selection activeCell="E7" sqref="E7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2026-05-11T19:07:40Z</dcterms:modified>
</cp:coreProperties>
</file>